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sher分析" sheetId="1" state="visible" r:id="rId1"/>
    <sheet name="分析結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維度</t>
        </is>
      </c>
      <c r="B1" s="1" t="inlineStr">
        <is>
          <t>相似組平均</t>
        </is>
      </c>
      <c r="C1" s="1" t="inlineStr">
        <is>
          <t>不相似組平均</t>
        </is>
      </c>
      <c r="D1" s="1" t="inlineStr">
        <is>
          <t>類間距離</t>
        </is>
      </c>
      <c r="E1" s="1" t="inlineStr">
        <is>
          <t>類內方差</t>
        </is>
      </c>
      <c r="F1" s="1" t="inlineStr">
        <is>
          <t>Fisher Score</t>
        </is>
      </c>
      <c r="G1" s="1" t="inlineStr">
        <is>
          <t>Fisher權重</t>
        </is>
      </c>
      <c r="H1" s="1" t="inlineStr">
        <is>
          <t>預設權重</t>
        </is>
      </c>
      <c r="I1" s="1" t="inlineStr">
        <is>
          <t>差異</t>
        </is>
      </c>
    </row>
    <row r="2">
      <c r="A2" t="inlineStr">
        <is>
          <t>liability</t>
        </is>
      </c>
      <c r="B2" t="n">
        <v>1</v>
      </c>
      <c r="C2" t="n">
        <v>0</v>
      </c>
      <c r="D2" t="n">
        <v>1</v>
      </c>
      <c r="E2" t="n">
        <v>0</v>
      </c>
      <c r="F2" t="n">
        <v>1000</v>
      </c>
      <c r="G2" t="n">
        <v>0.9999157786843257</v>
      </c>
      <c r="H2" t="n">
        <v>0.5</v>
      </c>
      <c r="I2" t="n">
        <v>0.4999157786843257</v>
      </c>
    </row>
    <row r="3">
      <c r="A3" t="inlineStr">
        <is>
          <t>items</t>
        </is>
      </c>
      <c r="B3" t="n">
        <v>0.5832804232804233</v>
      </c>
      <c r="C3" t="n">
        <v>0.5421904761904762</v>
      </c>
      <c r="D3" t="n">
        <v>0.04108994708994707</v>
      </c>
      <c r="E3" t="n">
        <v>0.04313129565241735</v>
      </c>
      <c r="F3" t="n">
        <v>0.03914521292058663</v>
      </c>
      <c r="G3" t="n">
        <v>3.914191605925211e-05</v>
      </c>
      <c r="H3" t="n">
        <v>0.1</v>
      </c>
      <c r="I3" t="n">
        <v>-0.09996085808394076</v>
      </c>
    </row>
    <row r="4">
      <c r="A4" t="inlineStr">
        <is>
          <t>injury</t>
        </is>
      </c>
      <c r="B4" t="n">
        <v>0.6444444444444445</v>
      </c>
      <c r="C4" t="n">
        <v>0.605</v>
      </c>
      <c r="D4" t="n">
        <v>0.0394444444444445</v>
      </c>
      <c r="E4" t="n">
        <v>0.0460692901234568</v>
      </c>
      <c r="F4" t="n">
        <v>0.03377226333120075</v>
      </c>
      <c r="G4" t="n">
        <v>3.37694189867497e-05</v>
      </c>
      <c r="H4" t="n">
        <v>0.1</v>
      </c>
      <c r="I4" t="n">
        <v>-0.09996623058101325</v>
      </c>
    </row>
    <row r="5">
      <c r="A5" t="inlineStr">
        <is>
          <t>violation</t>
        </is>
      </c>
      <c r="B5" t="n">
        <v>0.6622222222222223</v>
      </c>
      <c r="C5" t="n">
        <v>0.7</v>
      </c>
      <c r="D5" t="n">
        <v>0.03777777777777769</v>
      </c>
      <c r="E5" t="n">
        <v>0.1261753086419753</v>
      </c>
      <c r="F5" t="n">
        <v>0.0113109332498385</v>
      </c>
      <c r="G5" t="n">
        <v>1.130998062815869e-05</v>
      </c>
      <c r="H5" t="n">
        <v>0.15</v>
      </c>
      <c r="I5" t="n">
        <v>-0.1499886900193718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分析結論</t>
        </is>
      </c>
    </row>
    <row r="2">
      <c r="A2">
        <f>== Fisher 判別力分析結果（基於 50 Query）===</f>
        <v/>
      </c>
    </row>
    <row r="3">
      <c r="A3" t="inlineStr"/>
    </row>
    <row r="4">
      <c r="A4" t="inlineStr">
        <is>
          <t>總樣本數：140 對（移除 3 分）</t>
        </is>
      </c>
    </row>
    <row r="5">
      <c r="A5" t="inlineStr">
        <is>
          <t>相似組：90 對</t>
        </is>
      </c>
    </row>
    <row r="6">
      <c r="A6" t="inlineStr">
        <is>
          <t>不相似組：50 對</t>
        </is>
      </c>
    </row>
    <row r="7">
      <c r="A7" t="inlineStr"/>
    </row>
    <row r="8">
      <c r="A8" t="inlineStr">
        <is>
          <t>各維度 Fisher Score（由高至低）：</t>
        </is>
      </c>
    </row>
    <row r="9">
      <c r="A9" t="inlineStr">
        <is>
          <t xml:space="preserve">  liability: 1000.000</t>
        </is>
      </c>
    </row>
    <row r="10">
      <c r="A10" t="inlineStr">
        <is>
          <t xml:space="preserve">  items: 0.039</t>
        </is>
      </c>
    </row>
    <row r="11">
      <c r="A11" t="inlineStr">
        <is>
          <t xml:space="preserve">  injury: 0.034</t>
        </is>
      </c>
    </row>
    <row r="12">
      <c r="A12" t="inlineStr">
        <is>
          <t xml:space="preserve">  violation: 0.011</t>
        </is>
      </c>
    </row>
    <row r="13">
      <c r="A13" t="inlineStr"/>
    </row>
    <row r="14">
      <c r="A14" t="inlineStr">
        <is>
          <t>建議權重（基於 Fisher 判別力）：</t>
        </is>
      </c>
    </row>
    <row r="15">
      <c r="A15" t="inlineStr">
        <is>
          <t xml:space="preserve">  liability: 100.0%</t>
        </is>
      </c>
    </row>
    <row r="16">
      <c r="A16" t="inlineStr">
        <is>
          <t xml:space="preserve">  items: 0.0%</t>
        </is>
      </c>
    </row>
    <row r="17">
      <c r="A17" t="inlineStr">
        <is>
          <t xml:space="preserve">  injury: 0.0%</t>
        </is>
      </c>
    </row>
    <row r="18">
      <c r="A18" t="inlineStr">
        <is>
          <t xml:space="preserve">  violation: 0.0%</t>
        </is>
      </c>
    </row>
    <row r="19">
      <c r="A19" t="inlineStr"/>
    </row>
    <row r="20">
      <c r="A20" t="inlineStr">
        <is>
          <t>關鍵發現：</t>
        </is>
      </c>
    </row>
    <row r="21">
      <c r="A21" t="inlineStr">
        <is>
          <t xml:space="preserve">  判別力最強：liability (Fisher=1000.000)</t>
        </is>
      </c>
    </row>
    <row r="22">
      <c r="A22" t="inlineStr">
        <is>
          <t xml:space="preserve">  判別力最弱：violation (Fisher=0.011)</t>
        </is>
      </c>
    </row>
    <row r="23">
      <c r="A23" t="inlineStr"/>
    </row>
    <row r="24">
      <c r="A24" t="inlineStr">
        <is>
          <t>說明：</t>
        </is>
      </c>
    </row>
    <row r="25">
      <c r="A25" t="inlineStr">
        <is>
          <t xml:space="preserve">  • Fisher Score 越高 → 該維度越能有效區分相似/不相似案例</t>
        </is>
      </c>
    </row>
    <row r="26">
      <c r="A26" t="inlineStr">
        <is>
          <t xml:space="preserve">  • 類間距離大、類內方差小 → 判別效果好</t>
        </is>
      </c>
    </row>
    <row r="27">
      <c r="A27" t="inlineStr">
        <is>
          <t xml:space="preserve">  • Fisher 權重 = Fisher Score / 總和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2025-12-11T04:51:09Z</dcterms:created>
  <dcterms:modified xsi:type="dcterms:W3CDTF">2025-12-11T04:51:09Z</dcterms:modified>
</cp:coreProperties>
</file>