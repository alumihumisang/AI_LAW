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sher分析" sheetId="1" state="visible" r:id="rId1"/>
    <sheet name="分析結論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維度</t>
        </is>
      </c>
      <c r="B1" s="1" t="inlineStr">
        <is>
          <t>相似組平均</t>
        </is>
      </c>
      <c r="C1" s="1" t="inlineStr">
        <is>
          <t>不相似組平均</t>
        </is>
      </c>
      <c r="D1" s="1" t="inlineStr">
        <is>
          <t>類間距離</t>
        </is>
      </c>
      <c r="E1" s="1" t="inlineStr">
        <is>
          <t>類內方差</t>
        </is>
      </c>
      <c r="F1" s="1" t="inlineStr">
        <is>
          <t>Fisher Score</t>
        </is>
      </c>
      <c r="G1" s="1" t="inlineStr">
        <is>
          <t>正規化權重</t>
        </is>
      </c>
      <c r="H1" s="1" t="inlineStr">
        <is>
          <t>預設權重</t>
        </is>
      </c>
      <c r="I1" s="1" t="inlineStr">
        <is>
          <t>差異</t>
        </is>
      </c>
    </row>
    <row r="2">
      <c r="A2" t="inlineStr">
        <is>
          <t>amount</t>
        </is>
      </c>
      <c r="B2" t="n">
        <v>0.6746612969793672</v>
      </c>
      <c r="C2" t="n">
        <v>0.5376661725488663</v>
      </c>
      <c r="D2" t="n">
        <v>0.1369951244305009</v>
      </c>
      <c r="E2" t="n">
        <v>0.07537251983827745</v>
      </c>
      <c r="F2" t="n">
        <v>0.2489987618564052</v>
      </c>
      <c r="G2" t="n">
        <v>0.764186592480843</v>
      </c>
      <c r="H2" t="n">
        <v>0.1</v>
      </c>
      <c r="I2" t="n">
        <v>0.664186592480843</v>
      </c>
    </row>
    <row r="3">
      <c r="A3" t="inlineStr">
        <is>
          <t>injury</t>
        </is>
      </c>
      <c r="B3" t="n">
        <v>0.779032258064516</v>
      </c>
      <c r="C3" t="n">
        <v>0.6982758620689654</v>
      </c>
      <c r="D3" t="n">
        <v>0.08075639599555062</v>
      </c>
      <c r="E3" t="n">
        <v>0.09280427455546332</v>
      </c>
      <c r="F3" t="n">
        <v>0.07027257661814526</v>
      </c>
      <c r="G3" t="n">
        <v>0.2156691883537893</v>
      </c>
      <c r="H3" t="n">
        <v>0.1</v>
      </c>
      <c r="I3" t="n">
        <v>0.1156691883537893</v>
      </c>
    </row>
    <row r="4">
      <c r="A4" t="inlineStr">
        <is>
          <t>violation</t>
        </is>
      </c>
      <c r="B4" t="n">
        <v>0.3967741935483872</v>
      </c>
      <c r="C4" t="n">
        <v>0.3620689655172414</v>
      </c>
      <c r="D4" t="n">
        <v>0.03470522803114579</v>
      </c>
      <c r="E4" t="n">
        <v>0.1835023341965674</v>
      </c>
      <c r="F4" t="n">
        <v>0.006563692271094595</v>
      </c>
      <c r="G4" t="n">
        <v>0.0201442191653677</v>
      </c>
      <c r="H4" t="n">
        <v>0.15</v>
      </c>
      <c r="I4" t="n">
        <v>-0.1298557808346323</v>
      </c>
    </row>
    <row r="5">
      <c r="A5" t="inlineStr">
        <is>
          <t>liability</t>
        </is>
      </c>
      <c r="B5" t="n">
        <v>1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0.4</v>
      </c>
      <c r="I5" t="n">
        <v>-0.4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分析結論</t>
        </is>
      </c>
    </row>
    <row r="2">
      <c r="A2">
        <f>== Fisher 判別力分析結果 ===</f>
        <v/>
      </c>
    </row>
    <row r="3">
      <c r="A3" t="inlineStr"/>
    </row>
    <row r="4">
      <c r="A4" t="inlineStr">
        <is>
          <t>總樣本數：120 對</t>
        </is>
      </c>
    </row>
    <row r="5">
      <c r="A5" t="inlineStr">
        <is>
          <t>相似組：62 對</t>
        </is>
      </c>
    </row>
    <row r="6">
      <c r="A6" t="inlineStr">
        <is>
          <t>不相似組：58 對</t>
        </is>
      </c>
    </row>
    <row r="7">
      <c r="A7" t="inlineStr"/>
    </row>
    <row r="8">
      <c r="A8" t="inlineStr">
        <is>
          <t>各維度 Fisher Score（由高至低）：</t>
        </is>
      </c>
    </row>
    <row r="9">
      <c r="A9" t="inlineStr">
        <is>
          <t xml:space="preserve">  amount: 0.249</t>
        </is>
      </c>
    </row>
    <row r="10">
      <c r="A10" t="inlineStr">
        <is>
          <t xml:space="preserve">  injury: 0.070</t>
        </is>
      </c>
    </row>
    <row r="11">
      <c r="A11" t="inlineStr">
        <is>
          <t xml:space="preserve">  violation: 0.007</t>
        </is>
      </c>
    </row>
    <row r="12">
      <c r="A12" t="inlineStr">
        <is>
          <t xml:space="preserve">  liability: 0.000</t>
        </is>
      </c>
    </row>
    <row r="13">
      <c r="A13" t="inlineStr"/>
    </row>
    <row r="14">
      <c r="A14" t="inlineStr">
        <is>
          <t>建議權重（基於 Fisher 判別力）：</t>
        </is>
      </c>
    </row>
    <row r="15">
      <c r="A15" t="inlineStr">
        <is>
          <t xml:space="preserve">  amount: 76.4%</t>
        </is>
      </c>
    </row>
    <row r="16">
      <c r="A16" t="inlineStr">
        <is>
          <t xml:space="preserve">  injury: 21.6%</t>
        </is>
      </c>
    </row>
    <row r="17">
      <c r="A17" t="inlineStr">
        <is>
          <t xml:space="preserve">  violation: 2.0%</t>
        </is>
      </c>
    </row>
    <row r="18">
      <c r="A18" t="inlineStr">
        <is>
          <t xml:space="preserve">  liability: 0.0%</t>
        </is>
      </c>
    </row>
    <row r="19">
      <c r="A19" t="inlineStr"/>
    </row>
    <row r="20">
      <c r="A20" t="inlineStr">
        <is>
          <t>結論：</t>
        </is>
      </c>
    </row>
    <row r="21">
      <c r="A21" t="inlineStr">
        <is>
          <t xml:space="preserve">  判別力最強：amount</t>
        </is>
      </c>
    </row>
    <row r="22">
      <c r="A22" t="inlineStr">
        <is>
          <t xml:space="preserve">  判別力最弱：liability</t>
        </is>
      </c>
    </row>
    <row r="23">
      <c r="A23" t="inlineStr"/>
    </row>
    <row r="24">
      <c r="A24" t="inlineStr">
        <is>
          <t>註：Fisher Score 越高，代表該維度越能有效區分相似與不相似案例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2025-12-10T05:35:37Z</dcterms:created>
  <dcterms:modified xsi:type="dcterms:W3CDTF">2025-12-10T05:35:37Z</dcterms:modified>
</cp:coreProperties>
</file>