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ita8\Desktop\AI法律用rag\"/>
    </mc:Choice>
  </mc:AlternateContent>
  <xr:revisionPtr revIDLastSave="0" documentId="13_ncr:1_{9776D083-C93E-4BE5-A791-03AC8D40A8E9}" xr6:coauthVersionLast="47" xr6:coauthVersionMax="47" xr10:uidLastSave="{00000000-0000-0000-0000-000000000000}"/>
  <bookViews>
    <workbookView xWindow="-108" yWindow="-108" windowWidth="23256" windowHeight="12576" tabRatio="552" xr2:uid="{B15AD278-BB83-4326-84F6-2B43B7FE8A77}"/>
  </bookViews>
  <sheets>
    <sheet name="工作表1" sheetId="1" r:id="rId1"/>
  </sheets>
  <definedNames>
    <definedName name="_xlnm._FilterDatabase" localSheetId="0" hidden="1">工作表1!$A$1:$K$1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2" i="1" l="1"/>
</calcChain>
</file>

<file path=xl/sharedStrings.xml><?xml version="1.0" encoding="utf-8"?>
<sst xmlns="http://schemas.openxmlformats.org/spreadsheetml/2006/main" count="270" uniqueCount="260">
  <si>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</si>
  <si>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</si>
  <si>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</si>
  <si>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</si>
  <si>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</si>
  <si>
    <t xml:space="preserve">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
</t>
  </si>
  <si>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</si>
  <si>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</si>
  <si>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</si>
  <si>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</si>
  <si>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</si>
  <si>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</si>
  <si>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另一原告王惠滿，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</si>
  <si>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</si>
  <si>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</si>
  <si>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</si>
  <si>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查被告劉慧綾為車牌號碼000-000號普通重型機車之車主，將其車輛提供無駕照之被告余泳霖酒後駕駛，致發生本件交通事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</si>
  <si>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</si>
  <si>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</si>
  <si>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</si>
  <si>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</si>
  <si>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</si>
  <si>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</si>
  <si>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</si>
  <si>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原告丁○○、原告丙○○花費9,336元，共18,672元，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</si>
  <si>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</si>
  <si>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</si>
  <si>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</si>
  <si>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</si>
  <si>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</si>
  <si>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</si>
  <si>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</si>
  <si>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</si>
  <si>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</si>
  <si>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</si>
  <si>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</si>
  <si>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</si>
  <si>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</si>
  <si>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</si>
  <si>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</si>
  <si>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</si>
  <si>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</si>
  <si>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</si>
  <si>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</si>
  <si>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</si>
  <si>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</si>
  <si>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</si>
  <si>
    <t>模擬輸入內容</t>
  </si>
  <si>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原告於民國</t>
    </r>
    <r>
      <rPr>
        <sz val="10"/>
        <color theme="1"/>
        <rFont val="Arial"/>
        <family val="2"/>
      </rPr>
      <t>97</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10</t>
    </r>
    <r>
      <rPr>
        <sz val="10"/>
        <color theme="1"/>
        <rFont val="微軟正黑體"/>
        <family val="2"/>
        <charset val="136"/>
      </rPr>
      <t>日</t>
    </r>
    <r>
      <rPr>
        <sz val="10"/>
        <color theme="1"/>
        <rFont val="Arial"/>
        <family val="2"/>
      </rPr>
      <t>10</t>
    </r>
    <r>
      <rPr>
        <sz val="10"/>
        <color theme="1"/>
        <rFont val="微軟正黑體"/>
        <family val="2"/>
        <charset val="136"/>
      </rPr>
      <t>時</t>
    </r>
    <r>
      <rPr>
        <sz val="10"/>
        <color theme="1"/>
        <rFont val="Arial"/>
        <family val="2"/>
      </rPr>
      <t>40</t>
    </r>
    <r>
      <rPr>
        <sz val="10"/>
        <color theme="1"/>
        <rFont val="微軟正黑體"/>
        <family val="2"/>
        <charset val="136"/>
      </rPr>
      <t>分許，騎乘車牌</t>
    </r>
    <r>
      <rPr>
        <sz val="10"/>
        <color theme="1"/>
        <rFont val="Arial"/>
        <family val="2"/>
      </rPr>
      <t>000-000</t>
    </r>
    <r>
      <rPr>
        <sz val="10"/>
        <color theme="1"/>
        <rFont val="微軟正黑體"/>
        <family val="2"/>
        <charset val="136"/>
      </rPr>
      <t>號機車，途經屏東縣枋山鄉楓港村南平</t>
    </r>
    <r>
      <rPr>
        <sz val="10"/>
        <color theme="1"/>
        <rFont val="Arial"/>
        <family val="2"/>
      </rPr>
      <t>40</t>
    </r>
    <r>
      <rPr>
        <sz val="10"/>
        <color theme="1"/>
        <rFont val="微軟正黑體"/>
        <family val="2"/>
        <charset val="136"/>
      </rPr>
      <t>之</t>
    </r>
    <r>
      <rPr>
        <sz val="10"/>
        <color theme="1"/>
        <rFont val="Arial"/>
        <family val="2"/>
      </rPr>
      <t>1</t>
    </r>
    <r>
      <rPr>
        <sz val="10"/>
        <color theme="1"/>
        <rFont val="微軟正黑體"/>
        <family val="2"/>
        <charset val="136"/>
      </rPr>
      <t>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t>
    </r>
    <r>
      <rPr>
        <sz val="10"/>
        <color theme="1"/>
        <rFont val="Arial"/>
        <family val="2"/>
      </rPr>
      <t xml:space="preserve">:
</t>
    </r>
    <r>
      <rPr>
        <sz val="10"/>
        <color theme="1"/>
        <rFont val="微軟正黑體"/>
        <family val="2"/>
        <charset val="136"/>
      </rPr>
      <t>原告因本次事故而受有腦挫傷、臉部多處裂傷及擦傷、四處多處裂傷及擦傷等傷害，且被告於原告因上開事故倒臥於地上時，以手壓制原告臉部，另致原告牙齒受有損壞。
三、請求賠償的事實根據</t>
    </r>
    <r>
      <rPr>
        <sz val="10"/>
        <color theme="1"/>
        <rFont val="Arial"/>
        <family val="2"/>
      </rPr>
      <t xml:space="preserve">:
</t>
    </r>
    <r>
      <rPr>
        <sz val="10"/>
        <color theme="1"/>
        <rFont val="MS Gothic"/>
        <family val="3"/>
        <charset val="128"/>
      </rPr>
      <t>㈠醫療費用</t>
    </r>
    <r>
      <rPr>
        <sz val="10"/>
        <color theme="1"/>
        <rFont val="Arial"/>
        <family val="2"/>
      </rPr>
      <t>38,073</t>
    </r>
    <r>
      <rPr>
        <sz val="10"/>
        <color theme="1"/>
        <rFont val="微軟正黑體"/>
        <family val="2"/>
        <charset val="136"/>
      </rPr>
      <t>元
原告主張其因受有上開傷害，被告應賠償其至枋寮醫院就診之醫療費用</t>
    </r>
    <r>
      <rPr>
        <sz val="10"/>
        <color theme="1"/>
        <rFont val="Arial"/>
        <family val="2"/>
      </rPr>
      <t>38,073</t>
    </r>
    <r>
      <rPr>
        <sz val="10"/>
        <color theme="1"/>
        <rFont val="微軟正黑體"/>
        <family val="2"/>
        <charset val="136"/>
      </rPr>
      <t>元，並有枋寮醫院醫療費用收據</t>
    </r>
    <r>
      <rPr>
        <sz val="10"/>
        <color theme="1"/>
        <rFont val="Arial"/>
        <family val="2"/>
      </rPr>
      <t>2</t>
    </r>
    <r>
      <rPr>
        <sz val="10"/>
        <color theme="1"/>
        <rFont val="微軟正黑體"/>
        <family val="2"/>
        <charset val="136"/>
      </rPr>
      <t xml:space="preserve">紙為證。
</t>
    </r>
    <r>
      <rPr>
        <sz val="10"/>
        <color theme="1"/>
        <rFont val="MS Gothic"/>
        <family val="3"/>
        <charset val="128"/>
      </rPr>
      <t>㈡看護費用</t>
    </r>
    <r>
      <rPr>
        <sz val="10"/>
        <color theme="1"/>
        <rFont val="Arial"/>
        <family val="2"/>
      </rPr>
      <t>9,000</t>
    </r>
    <r>
      <rPr>
        <sz val="10"/>
        <color theme="1"/>
        <rFont val="微軟正黑體"/>
        <family val="2"/>
        <charset val="136"/>
      </rPr>
      <t>元
原告主張因其為</t>
    </r>
    <r>
      <rPr>
        <sz val="10"/>
        <color theme="1"/>
        <rFont val="Arial"/>
        <family val="2"/>
      </rPr>
      <t>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日出生，於車禍發生時已逾</t>
    </r>
    <r>
      <rPr>
        <sz val="10"/>
        <color theme="1"/>
        <rFont val="Arial"/>
        <family val="2"/>
      </rPr>
      <t>86</t>
    </r>
    <r>
      <rPr>
        <sz val="10"/>
        <color theme="1"/>
        <rFont val="微軟正黑體"/>
        <family val="2"/>
        <charset val="136"/>
      </rPr>
      <t>歲，受此傷害確有僱請看護之必要，而原告當時係住院</t>
    </r>
    <r>
      <rPr>
        <sz val="10"/>
        <color theme="1"/>
        <rFont val="Arial"/>
        <family val="2"/>
      </rPr>
      <t>9</t>
    </r>
    <r>
      <rPr>
        <sz val="10"/>
        <color theme="1"/>
        <rFont val="微軟正黑體"/>
        <family val="2"/>
        <charset val="136"/>
      </rPr>
      <t>日，以</t>
    </r>
    <r>
      <rPr>
        <sz val="10"/>
        <color theme="1"/>
        <rFont val="Arial"/>
        <family val="2"/>
      </rPr>
      <t>1</t>
    </r>
    <r>
      <rPr>
        <sz val="10"/>
        <color theme="1"/>
        <rFont val="微軟正黑體"/>
        <family val="2"/>
        <charset val="136"/>
      </rPr>
      <t>日</t>
    </r>
    <r>
      <rPr>
        <sz val="10"/>
        <color theme="1"/>
        <rFont val="Arial"/>
        <family val="2"/>
      </rPr>
      <t>1,000</t>
    </r>
    <r>
      <rPr>
        <sz val="10"/>
        <color theme="1"/>
        <rFont val="微軟正黑體"/>
        <family val="2"/>
        <charset val="136"/>
      </rPr>
      <t>元看護費用計算，其受有看護費用</t>
    </r>
    <r>
      <rPr>
        <sz val="10"/>
        <color theme="1"/>
        <rFont val="Arial"/>
        <family val="2"/>
      </rPr>
      <t>9,000</t>
    </r>
    <r>
      <rPr>
        <sz val="10"/>
        <color theme="1"/>
        <rFont val="微軟正黑體"/>
        <family val="2"/>
        <charset val="136"/>
      </rPr>
      <t>元之損失，並提出該名看護之結業證書</t>
    </r>
    <r>
      <rPr>
        <sz val="10"/>
        <color theme="1"/>
        <rFont val="Arial"/>
        <family val="2"/>
      </rPr>
      <t>1</t>
    </r>
    <r>
      <rPr>
        <sz val="10"/>
        <color theme="1"/>
        <rFont val="微軟正黑體"/>
        <family val="2"/>
        <charset val="136"/>
      </rPr>
      <t xml:space="preserve">紙為證。
</t>
    </r>
    <r>
      <rPr>
        <sz val="10"/>
        <color theme="1"/>
        <rFont val="MS Gothic"/>
        <family val="3"/>
        <charset val="128"/>
      </rPr>
      <t>㈢牙齒損害費用</t>
    </r>
    <r>
      <rPr>
        <sz val="10"/>
        <color theme="1"/>
        <rFont val="Arial"/>
        <family val="2"/>
      </rPr>
      <t>20,000</t>
    </r>
    <r>
      <rPr>
        <sz val="10"/>
        <color theme="1"/>
        <rFont val="微軟正黑體"/>
        <family val="2"/>
        <charset val="136"/>
      </rPr>
      <t>元
如上所述，原告主張車禍後，被告將其臉壓制在地上，致其受有牙齒損害，而需就醫治療共花費</t>
    </r>
    <r>
      <rPr>
        <sz val="10"/>
        <color theme="1"/>
        <rFont val="Arial"/>
        <family val="2"/>
      </rPr>
      <t>20,000</t>
    </r>
    <r>
      <rPr>
        <sz val="10"/>
        <color theme="1"/>
        <rFont val="微軟正黑體"/>
        <family val="2"/>
        <charset val="136"/>
      </rPr>
      <t xml:space="preserve">元。
</t>
    </r>
    <r>
      <rPr>
        <sz val="10"/>
        <color theme="1"/>
        <rFont val="MS Gothic"/>
        <family val="3"/>
        <charset val="128"/>
      </rPr>
      <t>㈣精神慰撫金</t>
    </r>
    <r>
      <rPr>
        <sz val="10"/>
        <color theme="1"/>
        <rFont val="Arial"/>
        <family val="2"/>
      </rPr>
      <t>20,000</t>
    </r>
    <r>
      <rPr>
        <sz val="10"/>
        <color theme="1"/>
        <rFont val="微軟正黑體"/>
        <family val="2"/>
        <charset val="136"/>
      </rPr>
      <t>元
查原告係</t>
    </r>
    <r>
      <rPr>
        <sz val="10"/>
        <color theme="1"/>
        <rFont val="Arial"/>
        <family val="2"/>
      </rPr>
      <t>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日出生，國小肄業，喪偶，有</t>
    </r>
    <r>
      <rPr>
        <sz val="10"/>
        <color theme="1"/>
        <rFont val="Arial"/>
        <family val="2"/>
      </rPr>
      <t>3</t>
    </r>
    <r>
      <rPr>
        <sz val="10"/>
        <color theme="1"/>
        <rFont val="微軟正黑體"/>
        <family val="2"/>
        <charset val="136"/>
      </rPr>
      <t>個兒子，前為務農，目前無業，有土地、房子及</t>
    </r>
    <r>
      <rPr>
        <sz val="10"/>
        <color theme="1"/>
        <rFont val="Arial"/>
        <family val="2"/>
      </rPr>
      <t>1</t>
    </r>
    <r>
      <rPr>
        <sz val="10"/>
        <color theme="1"/>
        <rFont val="微軟正黑體"/>
        <family val="2"/>
        <charset val="136"/>
      </rPr>
      <t>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t>
    </r>
    <r>
      <rPr>
        <sz val="10"/>
        <color theme="1"/>
        <rFont val="Arial"/>
        <family val="2"/>
      </rPr>
      <t>20,000</t>
    </r>
    <r>
      <rPr>
        <sz val="10"/>
        <color theme="1"/>
        <rFont val="微軟正黑體"/>
        <family val="2"/>
        <charset val="136"/>
      </rPr>
      <t>元精神慰撫金。</t>
    </r>
    <phoneticPr fontId="3" type="noConversion"/>
  </si>
  <si>
    <t>query_id</t>
    <phoneticPr fontId="3" type="noConversion"/>
  </si>
  <si>
    <t>Boolean</t>
    <phoneticPr fontId="3" type="noConversion"/>
  </si>
  <si>
    <t>Severity</t>
    <phoneticPr fontId="3" type="noConversion"/>
  </si>
  <si>
    <t>XRAG-Generation</t>
    <phoneticPr fontId="3" type="noConversion"/>
  </si>
  <si>
    <t>Ground Truth-gpt-4o-mini</t>
    <phoneticPr fontId="3" type="noConversion"/>
  </si>
  <si>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繕本送達翌日起至清償日止，按年息5%計算之利息。</t>
  </si>
  <si>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</si>
  <si>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</si>
  <si>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</si>
  <si>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</si>
  <si>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</si>
  <si>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</si>
  <si>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</si>
  <si>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繕本送達翌日起至清償日止，按年息5%計算之利息。</t>
  </si>
  <si>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</si>
  <si>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（一）原告陳慶華部分：
1. 醫療費用：1,036元
原告陳慶華因本次事故受有左肩及右小腿挫傷之傷害，前往淡水馬偕醫院治療，支出醫療費用1,036元。
2. 車損修理費用：413,300元
原告陳慶華所有之系爭自小客車因本次事故嚴重受損，需支出修復費用413,300元。
3. 慰撫金：300,000元
原告陳慶華為大學畢業，於事故發生時為28歲，職業為甜點師，月收入約38,000元。被告於本次事故後拒絕承認肇事責任，亦不賠償原告損害，甚且誣指原告陳慶華肇事逃逸，更加深原告痛苦，爰請求慰撫金300,000元。
（二）原告朱庭慧部分：
1. 醫療費用：4,862元
原告朱庭慧因本次事故受有頭部外傷合併右眼瞼撕裂傷、牙齦挫傷等傷害，前往淡水馬偕醫院急診及後續門診治療，支出醫療費用4,862元。
2. 薪資損失：3,225元
原告朱庭慧因本次事故受傷，向任職公司請假而遭扣薪3,225元。
3. 慰撫金：300,000元
原告朱庭慧為大學畢業，於事故發生時為27歲，職業為未婚聯誼顧問，月收入約5至6萬元。原告因本次事故受傷，於臉上留下疤痕，身心恐懼，經常失眠，且因此自信受創，業績下降。被告事後拒絕承認肇事責任，亦不賠償原告損害，經檢察官起訴後仍毫無悔意，更加深原告痛苦，爰請求慰撫金300,000元。
（三）綜上所陳，被告應賠償原告陳慶華之損害，包含醫療費用1,036元、車損修理費用413,300元及慰撫金300,000元，總計714,336元；應賠償原告朱庭慧之損害，包含醫療費用4,862元、薪資損失3,225元及慰撫金300,000元，總計308,087元。</t>
  </si>
  <si>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</si>
  <si>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繕本送達翌日起至清償日止，按年息5%計算之利息。</t>
  </si>
  <si>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</si>
  <si>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</si>
  <si>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</si>
  <si>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</si>
  <si>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</si>
  <si>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</si>
  <si>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</si>
  <si>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</si>
  <si>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</si>
  <si>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繕本送達翌日起至清償日止，按年息5%計算之利息。</t>
  </si>
  <si>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</si>
  <si>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</si>
  <si>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</si>
  <si>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</si>
  <si>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</si>
  <si>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</si>
  <si>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</si>
  <si>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</si>
  <si>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</si>
  <si>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</si>
  <si>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</si>
  <si>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</si>
  <si>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</si>
  <si>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</si>
  <si>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</si>
  <si>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</si>
  <si>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</si>
  <si>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</si>
  <si>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</si>
  <si>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</si>
  <si>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</si>
  <si>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</si>
  <si>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</si>
  <si>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</si>
  <si>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</si>
  <si>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（一）醫療復健費用：190元
原告因本次事故受有左膝挫傷、半月軟骨受傷等傷害，為治療復健上開傷勢而就醫，支出醫療復健費用190元。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原告因本次車禍受傷，依醫囑需休養4月，無法工作，造成工作收入損失33,000元。
（五）慰撫金：99,000元
原告因本次車禍造成身體傷害，不僅造成身體上的痛苦，更因傷勢工作，承受巨大精神壓力，爰向被告請求慰撫金99,000元。
（六）綜上所陳，被告應賠償原告之損害，包含醫療復健費用190元、車輛修復費用181,144元、交通費用4,500元、休養期間工作收入損失33,000元、慰撫金99,000元，總計317,834元，並自起訴狀副本送達翌日起至清償日止，按年息5%計算之利息。</t>
    <phoneticPr fontId="7" type="noConversion"/>
  </si>
  <si>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（一）醫療復健費用：11,067元
原告因本次事故受有左膝部挫傷、左側肩關節扭傷之傷害（系爭傷害），為治療復健上開傷勢而就醫，支出醫療復健費用11,067元。
（二）車輛修復費用：10,850元
原告因本次事故導致所駕駛之機車受損，共計10,850元。
（三）交通費用：380元
原告因就醫往返，支出交通費用380元。
（四）休養期間工作收入損失：24,400元
原告因本次車禍受傷，依醫囑需休養4至8週，無法工作，造成工作收入損失24,400元。
（五）預估醫療費用：50,000元
原告主張因系爭事故而需支出未來開刀醫療費用新台幣50,000元。
（五）慰撫金：300,000元
原告因本次車禍造成身體傷害，不僅造成身體上的痛苦，更因傷勢影響日常生活及工作及需多次就醫治療，承受巨大精神壓力，爰向被告請求慰撫金300,000元。
（六）綜上所陳，被告應賠償原告之損害，包含醫療復健費用11,067元、車輛修復費用10,850元、交通費用380元、休養期間工作收入損失24,400元、預估醫療費用50,000元、慰撫金300,000元，總計396,697元，並自起訴狀副本送達翌日起至清償日止，按年息5%計算之利息。</t>
    <phoneticPr fontId="7" type="noConversion"/>
  </si>
  <si>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（一）醫療費用部分：83,016元
原告因本次事故受有頭部外傷、腦部創傷等傷害，需就醫治療，原告因系爭車禍於112年10月27日經急診入院，並於同日接受顱內監測器放置手術，後來於000年00月00日出院，期間之手術及住診費用共計支出新臺幣5萬3,122元，有基隆長庚紀念醫院（以下簡稱基隆長庚）復健科費用收據可以證明，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平日除常有偏頭痛之症狀，夜間更因患有憂鬱症而失眠無法正常入睡，即便入睡後亦常於半夜驚醒，故原告於113年2月14日至基隆長庚精神科看診接受治療，支出有診用510元，共計83,016元。
（二）交通費部分：215元
原告於113年5月28日因須至基隆長庚醫院整形外科回診，來回一共支出計程車交通費用215元。
（三）看護費用部分：525,000元
原告因本次事故受傷，經醫師診斷需專人照護，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共計525,000元。
（四）無法家務勞動之損失部分：189,080元
原告擔任家庭主婦，依醫囑需休養，期間無法從事家務勞動，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共計189,080元。
（五）慰撫金部分：1,300,000元
原告因本次事故受有創傷性腦損傷、腦損傷、出血等傷害，經緊急手術後住院將近1個月，造成生活諸多不便，且需定期回診接受治療，考量原告擔任家庭主婦，尚有二名未成年子女須扶養照顧，因本次事故致無法照顧未成年子女與從事家務勞動，爰請求慰撫金1,300,000元。
（六）綜上所陳，被告應賠償原告之損害，包含醫療費用部分83,016元、交通費部分215元、看護費用部分525,000元、無法家務勞動之損失部分189,080元、慰撫金部分1,300,000元，總計2,097,311元，並自起訴狀副本送達翌日起至清償日止，按年息5%計算之利息。</t>
    <phoneticPr fontId="7" type="noConversion"/>
  </si>
  <si>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（一）醫療復健費用：255,075元
原告因本次事故受有原告因本件車禍事故受有左肩、左前臂、左手擦傷、左踝擦挫傷等傷害。，為治療上開傷勢而就醫，支出醫療復健費用255,075元。
（二）看護費用：74,000元
原告因傷需專人照護，支出看護費用74,000元。
（三）車輛修復費用：20,900元
原告因本次事故導致所駕駛之機車受損，支出修復費用20,900元。
（四）工作收入損失：420,000元
原告因本次車禍受傷，依醫囑需休養，無法正常工作，造成工作收入損失420,000元。
（五）其他費用：2,973元
原告因本次事故導致衣物、鞋子等物品毀損，支出購置費用2,973元。
（六）慰撫金：990,000元
原告因本次事故受有相關傷害，對於身心靈造成莫大痛苦，爰請求慰撫金990,000元。
（七）綜上所陳，被告應賠償原告之損害，包含醫療復健費用255,075元、看護費用74,000元、車輛修復費用20,900元、工作收入損失420,000元、其他費用2,973元、慰撫金990,000元，總計176萬2,948元，並自起訴狀副本送達翌日起至清償日止，按年息5%計算之利息。</t>
    <phoneticPr fontId="7" type="noConversion"/>
  </si>
  <si>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（一）醫療復健費用：225,086元
原告因本次事故受有原告因為此次交通事故受有左側脛骨遠端骨折、左側腓骨外踝骨折、左側腎臟撕裂、左下眼瞼及鼻淚管撕裂、舌部撕裂、左耳鼓膜破損、左側第4第5第6第7肋骨骨折等傷害。，為治療上開傷勢而就醫，支出醫療復健費用225,086元。
（二）慰撫金：1,000,000元
原告因本次事故受有相關傷害，對於身心靈造成莫大痛苦，爰請求慰撫金1,000,000元。
（三）綜上所陳，被告應賠償原告之損害，包含醫療復健費用225,086元、慰撫金1,000,000元，總計122萬5,086元，並自起訴狀副本送達翌日起至清償日止，按年息5%計算之利息。</t>
    <phoneticPr fontId="7" type="noConversion"/>
  </si>
  <si>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（一）醫療復健費用：28,506元
原告因本次事故受有左側踝部挫傷及擦傷、左側手肘挫傷及擦傷、左側髖擦傷、左側膝部擦傷、頭部外傷合併左後枕部挫傷、頭部外傷症候群等傷害，為治療上開傷勢而就醫，支出醫療復健費用28,506元。
（二）車輛修復費用：6,900元
原告因本次事故導致所駕駛之機車受損，共計6,900元。
（三）休養期間工作收入損失：141,092元
原告因本次車禍受傷，依醫囑需休養5月，無法工作，造成工作收入損失141,092元。
（四）慰撫金：623,502元
原告因本次車禍造成身體傷害，不僅造成身體上的痛苦，承受精神上的痛苦，爰向被告請求慰撫金623,502元。
（五）綜上所陳，被告應賠償原告之損害，包含醫療復健費用28,506元、車輛修復費用6,900元、休養期間工作收入損失141,092元、慰撫金623,502元，總計800,000元，並自起訴狀副本送達翌日起至清償日止，按年息5%計算之利息。</t>
    <phoneticPr fontId="7" type="noConversion"/>
  </si>
  <si>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（一）已支出醫療費用：10,740元
原告三、請求賠償的事實根據:
原告主張因本次事故所受傷害，因而致臺大竹分院生醫醫院就醫支出醫療費用10,740元
（二）預估未來醫療費用：200,000元
原告並且原告因本次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（三）看護費用：882,500元
原告於111年2月14日起至112年1月31日止期間，有由原告家屬擔任全日看護之必要，看護費用以每日2,500元計算，而請求看護費用882,500元
（四）工作收入損失：320,372元
原告因本次事故所受傷害而於111年2月14日起至112年1月31日止期間，不能工作而受有薪資損失320,372元
（五）交通費用：9,442元
原告所有系爭車輛因本次事故受損、需以計程車代步，請求被告給付9,442元
（六）財產損失：140,850元
系爭車輛於106年8月出廠，在車況正常、保養情形良好下，經過新竹區汽車商業同業公會於111年4月28日鑑定之合理市價為33萬元，又原告於111年4月23日將系爭車輛以價金20萬元出賣予訴外人王其能，因此原告向被告請求賠償系爭車輛因本件事故所導致交易價值減損為13萬元；原告系爭嬰兒車因本件事故受損致無法使用而需購買新品，而系爭嬰兒車經扣除折舊後之損害為10,850元，財產損失總計140,850元
（七）拖吊費用：1,171元
原告因本次事故而受有支出系爭車輛拖吊費1,171元
（八）慰撫金：300,000元
原告因本次事故受有頭部挫傷、頭暈、噁心想吐、頸部挫傷、疑腦震盪、背部拉傷等傷害，造成原告身心因此承受重大痛苦，並導致系爭身心症狀。又原告為碩士畢業，任職高中老師、月收入約8萬元，請求法院斟酌兩造經濟、身分地位，及被告前揭過失肇事及侵害情節、致原告受有前開傷害之程度、對原告所造成之痛苦等一切情狀，爰請求精神慰撫金300,000元。
（九）綜上所陳，被告應賠償原告之損害，包含已支出醫療費用10,740元、預估未來醫療費用200,000元、看護費用882,500元、工作收入損失320,372元、交通費用9,442元、財產損失140,850元、拖吊費用1,171元、慰撫金300,000元，總計1,865,075元，並自起訴狀副本送達翌日起至清償日止，按年息5%計算之利息。</t>
    <phoneticPr fontId="7" type="noConversion"/>
  </si>
  <si>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（一）醫療費用：663,793元
原告因本次事故受傷，為治療傷勢而就醫，支出醫療費用，包括醫療費用460元、臺大醫院醫療費用81,356元、長庚醫院醫療費用2,290元、高雄義大醫院醫療費用476,103元、高雄義大醫院醫療費用53,804元、高雄義大醫院醫療費用4,280元、醫療費用45,500元。
（二）看護費用：391,600元
原告因傷勢嚴重需專人照護，支出看護費用391,600元。
（三）交通費用：51,499元
原告因就醫及其他必要事務支出交通費用51,499元。
（四）車輛修復費用：50,250元
原告因本次事故導致所駕駛之車輛受損，支出修理費用50,250元。
（五）工作收入損失：341,951元
原告因本次事故受傷無法工作，造成工作收入損失341,951元。
（六）未來勞動力減損：6,362,032元
原告因本次事故導致勞動能力減損，預計未來勞動力損失6,362,032元。
（七）復健費用：510,000元
原告因傷勢需要持續復健治療，預估復健費用510,000元。
（八）慰撫金：500,000元
原告因本次車禍造成身體傷害及精神痛苦，請求慰撫金500,000元。
（九）綜上所陳，被告應賠償原告之損害，包含醫療費用663,793元、看護費用391,600元、交通費用51,499元、車輛修復費用50,250元、工作收入損失341,951元、未來勞動力減損6,362,032元、復健費用510,000元、慰撫金500,000元，總計8,871,125元，並自起訴狀副本送達翌日起至清償日止，按年息5%計算之利息。</t>
    <phoneticPr fontId="7" type="noConversion"/>
  </si>
  <si>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（一）醫療復健費用：662,640元
原告乙○○、丙○○因本次車禍事故受有傷害，為治療上開傷勢而支出醫療費用，乙○○
（二）工作收入損失：250,670元
原告乙○○因傷無法工作期間達6個月以上，每月工作所得為30,157元，以6個月計，工作收入損失
（三）精神慰撫金：2,300,000元
原告丙○○因被告之侵權行為導致顱內出血及顏面骨骨折，有頭疼、頭暈且記憶力減退之後遺症等現象，均影響生活、工作，為此請求精神賠償300,000元。原告乙○○因被告之侵權行為而導致下腹部挫傷合併恥骨骨折、卵巢破裂合併內出血等傷害，已切除卵巢百分之50且可能導致終生不孕，生育對女性而言乃視為極為重要之天職，若無法生孕，甚至可能造成婚姻之不幸福及家庭之缺憾，因而使原告極其痛苦，爰請求精神慰撫金2,000,000元。</t>
    <phoneticPr fontId="7" type="noConversion"/>
  </si>
  <si>
    <t>一、緣被告於民國000年0月00日下午5時許，駕駛車牌號碼0000-00號自用小客車，自基隆市中正區碧砂漁港駛出欲右轉往中正路方向行駛之際，於該址路口本應注意行駛在閃紅燈之支線道車應暫停讓幹線道車先行，以避免危險或交通事故之發生，且依當時天候及路況，並無不能注意之情事，竟疏未注意上情而貿然前行。此時原告甲父騎乘車牌號碼000-000號普通重型機車，附載原告甲及甲母行駛至系爭地點，雙方因而發生碰撞，致原告甲、甲父、甲母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（一）原告甲父部分：
1. 醫療費用：53,715元
因原告甲父因系爭事故受有脾臟重度撕裂傷合併腹內出血及休克、左側第6至第9肋骨骨折、左小腿及左腳踝大面積傷口、左側肺挫傷併少量血胸等傷害，為此赴衛生福利部基隆醫院、長庚財團法人基隆長庚紀念醫院就醫，支出醫療費用合計53,715元。
2. 看護費用：152,500元
因原告甲父因受有前揭傷害，自110年2月16日起至110年3月3日在基隆長庚醫院住院治療並接受腹腔鏡血塊引流手術，住院期間需專人全日照顧，術後則因脾臟重度撕裂傷，需休養1個月；肋骨骨折部分則需休養3個月，故原告甲父主張住院期間以每日看護新臺幣2,500元計算，休養3個月部分則以半日看護費用1,250元計算，合計得請求看護費用為152,500元。
3. 交通費用：965元
原告甲父因就醫需求，於110年2月16日曾自費搭乘救護車前往急診，其後並多次搭乘計程車往返住家及部立基隆醫院及基隆長庚醫院，合計支出7,215元，惟此處僅以965元為度。
4. 工作收入損失：335,070元
原告甲父於系爭事故發生時在生達化學製藥股份有限公司任職，於事發前1年（即110年度）之全年薪資為1,340,292元，折算日薪為3,723元，又原告甲父因受前揭傷害而有3個月不能工作，於休養期間之工作收入損失合計為335,070元。
5. 精神慰撫金：800,000元
因原告甲父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
6. B車受損修理費用：7,977元
因系爭事故需支出B車維修費用7,977元。
7. 財物損失：6,250元
因系爭事故造成身上攜帶之手機、眼鏡、手錶；身著之安全帽及衣服破損，受有價值相當於6,250元之損害。
（二）原告甲母部分：
1. 精神慰撫金：50,000元
因原告甲母因系爭事故受有四肢及臉部多處挫傷及擦傷，因此破相，且傷口難免留疤而永久影響外觀。
（三）原告甲部分：
1. 精神慰撫金：150,000元
因原告甲於系爭事故發生時年紀尚輕，因系爭事故受有左膝挫傷、擦傷及左手第五掌骨閉鎖性骨折之傷害，經多次回診治療，左手掌需以外物固定而無法彎曲，生活學業受有很大影響，且有永久影響左手握力與日常生活功能之虞。
綜上所陳，應賠償原告甲父之損害，包括醫療費用53,715元、看護費用152,500元、交通費用965元、工作收入損失335,070元、精神慰撫金800,000元、B車受損修理費用7,977元及財物損失6,250元，總計1,356,477元；應賠償原告甲母之損害，包括精神慰撫金50,000元，總計50,000元；應賠償原告甲之損害，包括精神慰撫金150,000元，總計150,000元。並自起訴狀副本送達翌日起至清償日止，按年息5計算之利息。</t>
    <phoneticPr fontId="7" type="noConversion"/>
  </si>
  <si>
    <t>一、緣被告於民國111年8月4日23時17分許，無駕駛執照，騎駛車牌號碼000-0000號普通重型機車，沿新北市三重區中正北路往蘆洲方向行駛，行經中正北路及中正北路312巷之交岔路口時，本應注意機車行駛時，駕駛人應注意車前狀況，並隨時採取必要之安全措施，而依當時天候晴朗，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林肜宇及吳彩雲均人車倒地。被告上開行為，經鈞院113年度審交簡字第50號刑事簡易判決判處拘役40日有罪確定，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原告林肜宇因本次事故受傷就醫，支出醫療費用20,185元。
2. 看護費用：132,000元
原告林肜宇因本次事故需專人看護2個月，支出看護費用132,000元。
3. 工作損失：324,000元
原告林肜宇因本次事故無法工作2個月，受有工作損失324,000元。
4. 交通費：1,335元
原告林肜宇因本次事故就醫，支出交通費用1,335元。
5. 車輛損失：7,970元
原告林肜宇因本次事故機車受損，支出修復費用7,970元。
6. 慰撫金：200,000元
原告林肜宇因本次事故受有身心痛苦，請求精神慰撫金200,000元。
（二）原告吳彩雲之損害：
1. 醫療費用：3,200元
原告吳彩雲因本次事故受傷就醫，支出醫療費用3,200元。
2. 工作損失：3,000元
原告吳彩雲因本次事故無法工作3日，受有工作損失3,000元。
3. 慰撫金：50,000元
原告吳彩雲因本次事故受有身心痛苦，請求精神慰撫金50,000元。
四、結論：綜上所陳，被告應賠償原告林肜宇之損害，包含醫療費用20,185元、看護費用132,000元、工作損失324,000元、交通費1,335元、車輛損失7,970元、慰撫金200,000元；原告吳彩雲醫療費用3,200元、工作損失3,000元、慰撫金50,000元，總計741,690元，並自起訴狀副本送達翌日起至清償日止，按年息5%計算之利息。</t>
    <phoneticPr fontId="7"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</si>
  <si>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之NME-3378號牌普通重型機車。被告因系爭事故過失傷害原告甲○○而為鈞院112年度交易字第614號刑事判決判刑確定，足證原告甲○○因被告之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（一）醫療費用：167,384元
原告因本次事故受傷就醫，支出醫療費用共計167,384元。
（二）看護費用：75,000元
原告因本次事故需專人照顧，支出看護費用共計75,000元。
（三）工作損失：245,935元
原告因本次事故無法工作，受有薪資損失共計245,935元。
（四）機車損害：63,175元
原告機車因事故受損，經折舊及變賣後之損失為63,175元。
（五）精神慰撫金（甲○○）：350,000元
原告甲○○因本次事故受有身心痛苦，請求精神慰撫金共計350,000元。
（六）精神慰撫金（乙○○）：50,000元
原告乙○○因本次事故受驚嚇及身體不適，請求精神慰撫金共計50,000元。
（七）綜上所陳，被告應賠償原告甲○○之損害，包含醫療費用167,384元、看護費用75,000元、工作損失245,935元、機車損害63,175元、精神慰撫金350,000元；原告乙○○之精神慰撫金50,000元，總計951,494元，並自起訴狀副本送達翌日起至清償日止，按年息5%計算之利息。</t>
    <phoneticPr fontId="7" type="noConversion"/>
  </si>
  <si>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陳慶華及原告朱庭慧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原告陳慶華因本次事故受傷就醫，支出醫療費用1,036元。
2. 車損修理費用：413,300元
原告陳慶華因本次事故車輛受損，支出修復費用413,300元。
3. 精神慰撫金：300,000元
原告陳慶華因被告拒絕承認責任及誣指肇事逃逸，遭受精神痛苦，請求精神慰撫金300,000元。
（二）原告朱庭慧之損害：
1. 醫療費用：4,862元
原告朱庭慧因本次事故受傷就醫，支出醫療費用4,862元。
2. 薪資損失：3,225元
原告朱庭慧因本次事故請假，遭受薪資扣除損失3,225元。
3. 精神慰撫金：300,000元
原告朱庭慧因臉部留下疤痕、自信受創、業績下降及被告拒絕承認責任，遭受精神痛苦，請求精神慰撫金300,000元。
（三）綜上所陳，被告應賠償原告陳慶華之損害，包含醫療費用1,036元、車損修理費用413,300元、精神慰撫金300,000元；原告朱庭慧之損害包含醫療費用4,862元、薪資損失3,225元、精神慰撫金300,000元，總計1,023,423元，並自起訴狀副本送達翌日起至清償日止，按年息5%計算之利息。</t>
    <phoneticPr fontId="7" type="noConversion"/>
  </si>
  <si>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李承祐當時係騎該車搭載賴秀雲，沿黎明路由東往西方向行駛）擦撞之車禍事故。因被告前述行為，致原告李承祐及賴秀雲受到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(1) 賴秀雲：
醫療費用大概五萬九千多元，有榮總看病、中醫診所、骨科診所、還有奇美診所，加起來數字有點不同但是差不多這樣。
買紗布藥水大概四千多。
因為不能工作10週，損失薪水六萬多。
機車修理零件工資，本來花兩萬多，但折舊後只算12620元。
眼鏡壞掉要4250元。
坐計程車跑醫院大概21225元。
勞動力減損23622元。
慰撫金三十萬。
合計看起來是四十八萬八千七百七十五元。
(2) 李承祐：
醫療費用32440元。
護腰支出1242元。
交通費19755元。
鑑價費5000元但要算一半，就是2500元。
薪資損失57萬6千元。
勞動能力減損458897元。
慰撫金三十萬。
總共1390834元。
三、所以總計兩個原告一起賠償是1879609元。</t>
    <phoneticPr fontId="7"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</si>
  <si>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依當時天候晴、日間自然光線、柏油路面乾燥、無缺陷、無障礙物阻擋、視距良好，並無不能注意之情事，竟疏未注意及此，即貿然前行。適有原告陳皆宏駕駛車牌號碼000-0000號自用小客車，車上搭載乘客訴外人王惠滿及另一原告王惠華，沿同向行駛於上揭被告所駕駛車輛前方，嗣被告所駕上揭車輛竟自後追撞原告陳皆宏所駕駛之系爭車輛，致發生本件交通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醫療費用：466元。
交通費用：15,575元（內含466+1,855+700+12,820，計算結果為15,841，但此處仍以15,575元記載）。
代步租車費用：34,000元。
車輛價值減損：100,000元。
工作損失：8,000元。
精神慰撫金：10,000元。
（二）原告王惠滿之損害：
醫療費用：13,532元。
交通費用：23,525元。
精神慰撫金：72,000元。
四、結論：
綜合前述，原告陳皆宏之損害合計為466 + 15,575 + 34,000 + 100,000 + 8,000 + 10,000 = 168,041元（與原文計算488,775不一致）。原告王惠滿之損害合計為13,532 + 23,525 + 72,000 = 109,057元（有小差異）。兩原告合計總額應為168,041 + 109,057 = 277,198元（與277,098元略有不同）。</t>
    <phoneticPr fontId="7" type="noConversion"/>
  </si>
  <si>
    <t>一、緣被告沈柏佑於民國107年7月17日晚間11時48分許，騎乘車號000-000號普通重型機車搭載張世昌，沿臺南市永康區大灣一街由西往東方向行駛，至該路段與民族路口時，本應注意支線道車輛應讓幹道車輛先行，以避免發生危險。當時天候晴朗，夜間有道路照明，路面乾燥且無明顯缺陷，道路亦無任何障礙物，視距良好，並無任何不能注意之情事，詎被告沈柏佑竟疏未注意於此。適有被告汪建廷駕駛車號0000-00號自用小客貨車，沿臺南市永康區民族路由南往北方向行駛至該交岔路口時，亦未注意車前狀況及減速慢行，與被告沈柏佑所騎乘之上開機車發生碰撞，導致被告沈柏佑拋飛朝臺南市永康區文賢街口方向，撞擊原告所騎乘之車號000-000號普通重型機車，致原告人、車均倒地。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（一）醫療費用：11,240元
原告因本次事故受傷就醫，支出醫療費用共計新臺幣11,240元。
（二）工作損失：360,000元
原告因本次事故無法工作，受有薪資損失共計新臺幣360,000元。
（三）慰撫金：200,000元
原告因本次事故受有身心痛苦，請求精神慰撫金200,000元。
（四）綜上所陳，被告沈柏佑、汪建廷應連帶賠償原告之損害，包含原告醫療費用11,240元、工作損失360,000元、慰撫金200,000元，總計551,240元，並自起訴狀副本送達翌日起至清償日止，按年息5%計算之利息。</t>
    <phoneticPr fontId="7" type="noConversion"/>
  </si>
  <si>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（一）醫療費用：163,227元
原告因本次事故受傷就醫，支出醫療費用共計163,227元。
（二）增加生活必要費用：1,570元
原告因本次事故需使用輔具，購買助行器等輔具費用共計1,570元。
（三）看護費用：198,000元
原告因本次事故需專人照顧，支出看護費用共計198,000元。
（四）機車修復費用：19,250元
原告因本次事故機車受損，支出修復費用共計19,250元。
（五）不能工作之損失：150,000元
原告因本次事故無法處理家務，受有損失共計150,000元。
（六）精神慰撫金：未提及最終求償金額
原告因本次事故受有身心痛苦，請求精神慰撫金，具體金額未明確提及。
（七）減少勞動能力損失：2,206,934元
原告因本次事故導致肢體功能受損，減少勞動能力導致損失共計2,206,934元。
（八）綜上所陳，被告應賠償原告乙○○之損害，包含醫療費用163,227元、增加生活必要費用1,570元、看護費用198,000元、機車修復費用19,250元、不能工作之損失150,000元、減少勞動能力損失2,206,934元，總計2,738,981元，並自起訴狀副本送達翌日起至清償日止，按年息5%計算之利息。</t>
    <phoneticPr fontId="7"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</si>
  <si>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又被告洪琮閔為上開車號000-0000號自用小客車之車主，其明知被告高珮瑄並未領有駕照，竟仍出借車輛予被告高珮瑄，應負共同侵權行為之責。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（一）醫療費用：2,370元
原告因本次事故就醫，支出台北馬偕紀念醫院醫療費用2,370元。
（二）復健費用：5,200元
原告因本次事故需持續復健，支出群康復健診所復健費用5,200元。
（三）診斷證書費用：1,030元
原告因本次事故需取得診斷證明，支出診斷證書費用1,030元。
（四）住院雜費：2,074元
原告因本次事故住院期間，支出病房內必要物品及洗頭費用2,074元。
（五）交通費：15,710元
原告因本次事故就醫復健往返，支出交通費用15,710元。
（六）看護費用：360,000元
原告因本次事故需專人看護，支出看護費用共計360,000元。
（七）精神慰撫金：300,000元
原告因本次事故受有身心痛苦，請求精神慰撫金300,000元。
（八）綜上所陳，被告高珮瑄、洪琮閔應連帶賠償原告之損害，包含原告醫療費用2,370元、復健費用5,200元、診斷證書費用1,030元、住院雜費2,074元、交通費15,710元、看護費用360,000元、精神慰撫金300,000元，總計344,168元，並自起訴狀副本送達翌日起至清償日止，按年息5%計算之利息。</t>
    <phoneticPr fontId="7" type="noConversion"/>
  </si>
  <si>
    <t>一、緣被告余泳霖於民國110年4月24日晚間10時許，於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（一）醫療費用：56,000元
原告因本次事故受傷就醫，支出醫療費用共計56,000元。
（二）工作損失：84,000元
原告因本次事故無法工作，導致薪資損失共計84,000元。
（三）營養補充費：2,424元
原告因本次事故受傷，支出營養補充費用共計2,424元。
（四）復健費用：18,000元
原告因本次事故受傷，接受復健治療支出費用共計18,000元。
（五）機車損害：7,500元
原告因本次事故機車受損，必要修復費用共計7,500元。
（六）精神慰撫金：100,000元
原告因本次事故受有身心痛苦，請求精神慰撫金100,000元。
（七）綜上所陳，被告余泳霖、劉慧綾應連帶賠償原告之損害，包含原告醫療費用56,000元、工作損失84,000元、營養補充費2,424元、復健費用18,000元、機車損害7,500元、精神慰撫金100,000元，總計267,924元，並自起訴狀副本送達翌日起至清償日止，按年息5%計算之利息。</t>
    <phoneticPr fontId="7" type="noConversion"/>
  </si>
  <si>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（三）原告所受損之損害：
1. 醫療費用：66,483元
原告所受損因本次事故受傷，為治療傷勢而就醫，支出醫療費用66,483元。
（四）原告受傷情之損害：
1. 醫療費用：66,483元
原告受傷情因本次事故受傷，為治療傷勢而就醫，支出醫療費用66,483元。
2. 交通費用：93,900元
原告受傷情因足部受傷就醫需搭乘計程車，支出交通費用93,900元。
（五）原告因本件之損害：
1. 醫療費用：66,483元
原告因本件因本次事故受傷，為治療傷勢而就醫，支出醫療費用66,483元。
2. 交通費用：93,900元
原告因本件因足部受傷就醫需搭乘計程車，支出交通費用93,900元。
（六）原告因被告之損害：
1. 醫療費用：66,483元
原告因被告因本次事故受傷，為治療傷勢而就醫，支出醫療費用66,483元。
2. 交通費用：93,900元
原告因被告因足部受傷就醫需搭乘計程車，支出交通費用93,900元。
（七）原告因所受之損害：
1. 醫療費用：66,483元
原告因所受因本次事故受傷，為治療傷勢而就醫，支出醫療費用66,483元。
2. 交通費用：93,900元
原告因所受因足部受傷就醫需搭乘計程車，支出交通費用93,900元。
3. 工作收入損失：176,750元
原告因所受因本次事故受傷無法工作，造成工作收入損失176,750元。
4. 未分類：378,159元
原告因所受因本次事故受有損害378,159元。
5. 車輛修復費用：30,100元
原告因所受所騎乘之機車因本次事故受損，修復費用為30,100元。
（八）原告並主張之損害：
1. 醫療費用：66,483元
原告並主張因本次事故受傷，為治療傷勢而就醫，支出醫療費用66,483元。
2. 交通費用：93,900元
原告並主張因足部受傷就醫需搭乘計程車，支出交通費用93,900元。
3. 工作收入損失：176,750元
原告並主張因本次事故受傷無法工作，造成工作收入損失176,750元。
4. 未分類：378,159元
原告並主張因本次事故受有損害378,159元。
（九）原告因其中之損害：
1. 工作收入損失：176,750元
原告因其中因本次事故受傷無法工作，造成工作收入損失176,750元。
2. 未分類：378,159元
原告因其中因本次事故受有損害378,159元。
3. 車輛修復費用：30,100元
原告因其中所騎乘之機車因本次事故受損，修復費用為30,100元。
4. 慰撫金：40,000元
原告因其中因本次車禍造成身體傷害及精神痛苦，請求慰撫金40,000元。
（十）原告減少勞之損害：
1. 工作收入損失：176,750元
原告減少勞因本次事故受傷無法工作，造成工作收入損失176,750元。
2. 未分類：378,159元
原告減少勞因本次事故受有損害378,159元。
3. 車輛修復費用：30,100元
原告減少勞所騎乘之機車因本次事故受損，修復費用為30,100元。
4. 慰撫金：40,000元
原告減少勞因本次車禍造成身體傷害及精神痛苦，請求慰撫金40,000元。
（11）原告受有左之損害：
1. 醫療費用：66,483元
原告受有左因本次事故受傷，為治療傷勢而就醫，支出醫療費用66,483元。
2. 交通費用：93,900元
原告受有左因足部受傷就醫需搭乘計程車，支出交通費用93,900元。
3. 未分類：378,159元
原告受有左因本次事故受有損害378,159元。
4. 車輛修復費用：30,100元
原告受有左所騎乘之機車因本次事故受損，修復費用為30,100元。
5. 慰撫金：40,000元
原告受有左因本次車禍造成身體傷害及精神痛苦，請求慰撫金40,000元。
（12）原告受有身之損害：
1. 未分類：378,159元
原告受有身因本次事故受有損害378,159元。
2. 車輛修復費用：30,100元
原告受有身所騎乘之機車因本次事故受損，修復費用為30,100元。
3. 慰撫金：40,000元
原告受有身因本次車禍造成身體傷害及精神痛苦，請求慰撫金40,000元。
（13）原告請求被之損害：
1. 醫療費用：66,483元
原告請求被因本次事故受傷，為治療傷勢而就醫，支出醫療費用66,483元。
2. 交通費用：93,900元
原告請求被因足部受傷就醫需搭乘計程車，支出交通費用93,900元。
3. 工作收入損失：176,750元
原告請求被因本次事故受傷無法工作，造成工作收入損失176,750元。
4. 未分類：378,159元
原告請求被因本次事故受有損害378,159元。
5. 車輛修復費用：30,100元
原告請求被所騎乘之機車因本次事故受損，修復費用為30,100元。
6. 慰撫金：40,000元
原告請求被因本次車禍造成身體傷害及精神痛苦，請求慰撫金40,000元。
（14）綜上所陳，被告應賠償原告所受損之損害，包含醫療費用66,483元，總計66,483元; 應賠償原告受傷情之損害，包含醫療費用66,483元、交通費用93,900元，總計160,383元; 應賠償原告因本件之損害，包含醫療費用66,483元、交通費用93,900元，總計160,383元; 應賠償原告因被告之損害，包含醫療費用66,483元、交通費用93,900元，總計160,383元; 應賠償原告因所受之損害，包含醫療費用66,483元、工作損失176,750元、交通費用93,900元、車輛修復費用30,100元，總計745,392元; 應賠償原告並主張之損害，包含醫療費用66,483元、工作損失176,750元、交通費用93,900元，總計715,292元; 應賠償原告因其中之損害，包含工作損失176,750元、車輛修復費用30,100元、慰撫金40,000元，總計625,009元; 應賠償原告減少勞之損害，包含工作損失176,750元、車輛修復費用30,100元、慰撫金40,000元，總計625,009元; 應賠償原告受有左之損害，包含醫療費用66,483元、交通費用93,900元、車輛修復費用30,100元、慰撫金40,000元，總計608,642元; 應賠償原告受有身之損害，包含車輛修復費用30,100元、慰撫金40,000元，總計448,259元; 應賠償原告請求被之損害，包含醫療費用66,483元、工作損失176,750元、交通費用93,900元、車輛修復費用30,100元、慰撫金40,000元，總計785,392元。兩原告之請求金額合計5,100,627元，並自起訴狀副本送達翌日起至清償日止，按年息5%計算之利息。</t>
    <phoneticPr fontId="7" type="noConversion"/>
  </si>
  <si>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（一）原告所有之損害：
1. 醫療費用：2,210元
原告所有因本次事故受傷，為治療傷勢而就醫，支出醫療費用2,210元。
（二）原告表示其之損害：
1. 醫療費用：2,210元
原告表示其因本次事故受傷，為治療傷勢而就醫，支出醫療費用2,210元。
（三）綜上所陳，被告應賠償原告所有之損害，包含醫療費用2,210元，總計2,210元; 應賠償原告表示其之損害，包含醫療費用2,210元，總計2,210元。兩原告之請求金額合計4,420元，並自起訴狀副本送達翌日起至清償日止，按年息5%計算之利息。</t>
    <phoneticPr fontId="7" type="noConversion"/>
  </si>
  <si>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（一）原告受傷之損害：
1. 工作收入損失：33,440元
原告受傷因本次事故受傷無法工作，造成工作收入損失33,440元。
2. 車輛修復費用：162,491元
原告受傷所騎乘之機車因本次事故受損，修復費用為162,491元。
（二）原告受雇之損害：
1. 工作收入損失：33,440元
原告受雇因本次事故受傷無法工作，造成工作收入損失33,440元。
2. 車輛修復費用：162,491元
原告受雇所騎乘之機車因本次事故受損，修復費用為162,491元。
（三）原告所有之損害：
1. 工作收入損失：33,440元
原告所有因本次事故受傷無法工作，造成工作收入損失33,440元。
2. 車輛修復費用：162,491元
原告所有所騎乘之機車因本次事故受損，修復費用為162,491元。
（四）原告之身體之損害：
1. 工作收入損失：33,440元
原告之身體因本次事故受傷無法工作，造成工作收入損失33,440元。
2. 慰撫金：300,000元
原告之身體因本次車禍造成身體傷害及精神痛苦，請求慰撫金300,000元。
3. 車輛修復費用：162,491元
原告之身體所騎乘之機車因本次事故受損，修復費用為162,491元。
（五）綜上所陳，被告應賠償原告受傷之損害，包含工作損失33,440元、車輛修復費用162,491元，總計195,931元; 應賠償原告受雇之損害，包含工作損失33,440元、車輛修復費用162,491元，總計195,931元; 應賠償原告所有之損害，包含工作損失33,440元、車輛修復費用162,491元，總計195,931元; 應賠償原告之身體之損害，包含工作損失33,440元、車輛修復費用162,491元、慰撫金300,000元，總計495,931元。兩原告之請求金額合計1,083,724元，並自起訴狀副本送達翌日起至清償日止，按年息5%計算之利息。</t>
    <phoneticPr fontId="7" type="noConversion"/>
  </si>
  <si>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（一）原告蕭曉峰之損害：
1. 其他費用：26,880元
原告蕭曉峰因本次事故受有損害26,880元。
2. 交通費用：195,640元
原告蕭曉峰因就醫及其他必要事務支出交通費用195,640元。
3. 醫療費用：12,710元
原告蕭曉峰因本次事故受傷，為治療傷勢而就醫，支出醫療費用12,710元。
4. 車輛修復費用：6,000元
原告蕭曉峰因本次事故導致所駕駛之車輛受損，修復費用6,000元。
5. 慰撫金：69,560元
原告蕭曉峰因本次車禍造成身體傷害及精神痛苦，請求慰撫金69,560元。
（二）原告雖已之損害：
1. 交通費用：195,640元
原告雖已因就醫及其他必要事務支出交通費用195,640元。
2. 慰撫金：60,000元
原告雖已因本次車禍造成身體傷害及精神痛苦，請求慰撫金60,000元。
（三）綜上所陳，被告應賠償原告蕭曉峰之損害，包含醫療費用12,710元、交通費用195,640元、車輛修復費用6,000元、慰撫金69,560元，總計310,790元; 應賠償原告雖已之損害，包含交通費用195,640元、慰撫金60,000元，總計255,640元。兩原告之請求金額合計566,430元，並自起訴狀副本送達翌日起至清償日止，按年息5%計算之利息。</t>
    <phoneticPr fontId="7" type="noConversion"/>
  </si>
  <si>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（一）原告受傷情之損害：
1. 未分類：400元
原告受傷情因本次事故受有損害400元。
2. 醫療費用：740元
原告受傷情因本次事故受傷，為治療傷勢而就醫，支出醫療費用740元。
（二）原告所受傷之損害：
1. 慰撫金：50,000元
原告所受傷因本次事故受有傷害，需就醫回診，承受身體不適及工作上受到相當程度影響，受有相當之精神痛苦，爰請求慰撫金50,000元。
（三）綜上所陳，被告應賠償原告受傷情之損害，包含醫療費用740元，總計1,140元; 應賠償原告所受傷之損害，包含慰撫金50,000元，總計50,000元。兩原告之請求金額合計51,140元，並自起訴狀副本送達翌日起至清償日止，按年息5%計算之利息。</t>
    <phoneticPr fontId="7" type="noConversion"/>
  </si>
  <si>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（一）醫療費用：59,993元
原告因本次事故受傷，為治療傷勢而就醫，支出醫療費用59,993元。
（二）工作收入損失：86,916元
原告因本次事故受傷無法工作，造成工作收入損失86,916元。
（三）慰撫金：70,000元
原告因本次車禍造成身體傷害及精神痛苦，請求慰撫金70,000元。
（四）綜上所陳，被告應賠償原告之損害，包含醫療費用59,993元、工作收入損失86,916元、慰撫金70,000元，總計216,909元，並自起訴狀副本送達翌日起至清償日止，按年息5%計算之利息。</t>
    <phoneticPr fontId="7" type="noConversion"/>
  </si>
  <si>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（一）醫療費用：7,580元
原告因本次事故受傷，為治療傷勢而就醫，支出醫療費用7,580元。
（二）綜上所陳，被告應賠償原告之損害，包含醫療費用7,580元，並自起訴狀副本送達翌日起至清償日止，按年息5%計算之利息。</t>
    <phoneticPr fontId="7" type="noConversion"/>
  </si>
  <si>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phoneticPr fontId="7" type="noConversion"/>
  </si>
  <si>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（一）原告鄭和昌之損害：
1. 看護費用：232,500元
原告鄭和昌因傷勢需專人照護，支出看護費用232,500元。
2. 慰撫金：318,472元
原告鄭和昌因本次車禍造成身體傷害及精神痛苦，請求慰撫金318,472元。
3. 其他費用：1,348元
原告鄭和昌因本次事故受有損害1,348元。
4. 醫療費用：23,262元
原告鄭和昌因本次事故受傷，為治療傷勢而就醫，支出醫療費用23,262元。
（二）原告鄭劉菊之損害：
1. 看護費用：232,500元
原告鄭劉菊因傷勢需專人照護，支出看護費用232,500元。
2. 慰撫金：318,472元
原告鄭劉菊因本次車禍造成身體傷害及精神痛苦，請求慰撫金318,472元。
3. 其他費用：1,348元
原告鄭劉菊因本次事故受有損害1,348元。
4. 醫療費用：23,262元
原告鄭劉菊因本次事故受傷，為治療傷勢而就醫，支出醫療費用23,262元。
（三）綜上所陳，被告應賠償原告鄭和昌之損害，包含醫療費用23,262元、看護費用232,500元、慰撫金318,472元，總計575,582元; 應賠償原告鄭劉菊之損害，包含醫療費用23,262元、看護費用232,500元、慰撫金318,472元，總計575,582元。兩原告之請求金額合計1,151,164元，並自起訴狀副本送達翌日起至清償日止，按年息5%計算之利息。</t>
    <phoneticPr fontId="7"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</si>
  <si>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（一）原告莊士紘之損害：
1. 醫療費用：6,905元
原告莊士紘因本次事故受傷，為治療傷勢而就醫，支出醫療費用6,905元。
2. 未分類：29,111元
原告莊士紘因本次事故受有損害29,111元。
3. 工作收入損失：5,600元
原告莊士紘因本次事故受傷無法工作，造成工作收入損失5,600元。
（二）原告林淑玲之損害：
1. 醫療費用：6,905元
原告林淑玲因本次事故受傷，為治療傷勢而就醫，支出醫療費用6,905元。
2. 未分類：29,111元
原告林淑玲因本次事故受有損害29,111元。
3. 工作收入損失：5,600元
原告林淑玲因本次事故受傷無法工作，造成工作收入損失5,600元。
（三）綜上所陳，被告應賠償原告莊士紘之損害，包含醫療費用6,905元、工作損失5,600元，總計41,616元; 應賠償原告林淑玲之損害，包含醫療費用6,905元、工作損失5,600元，總計41,616元。兩原告之請求金額合計83,232元，並自起訴狀副本送達翌日起至清償日止，按年息5%計算之利息。</t>
    <phoneticPr fontId="7" type="noConversion"/>
  </si>
  <si>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（一）原告受傷情之損害：
1. 未分類：12,372元
原告受傷情因本次事故受有損害12,372元。
2. 交通費用：87,000元
原告受傷情因足部受傷就醫需搭乘計程車，支出交通費用87,000元。
3. 醫療費用：12,372元
原告受傷情因本次事故受傷，為治療傷勢而就醫，支出醫療費用12,372元。
（二）原告因本次之損害：
1. 未分類：12,372元
原告因本次因本次事故受有損害12,372元。
2. 交通費用：87,000元
原告因本次因足部受傷就醫需搭乘計程車，支出交通費用87,000元。
3. 醫療費用：12,372元
原告因本次因本次事故受傷，為治療傷勢而就醫，支出醫療費用12,372元。
（三）原告因受傷之損害：
1. 未分類：12,372元
原告因受傷因本次事故受有損害12,372元。
2. 交通費用：87,000元
原告因受傷因足部受傷就醫需搭乘計程車，支出交通費用87,000元。
3. 醫療費用：12,372元
原告因受傷因本次事故受傷，為治療傷勢而就醫，支出醫療費用12,372元。
（四）原告在車禍之損害：
1. 交通費用：87,000元
原告在車禍因足部受傷就醫需搭乘計程車，支出交通費用87,000元。
（五）綜上所陳，被告應賠償原告受傷情之損害，包含醫療費用12,372元、交通費用87,000元，總計111,744元; 應賠償原告因本次之損害，包含醫療費用12,372元、交通費用87,000元，總計111,744元; 應賠償原告因受傷之損害，包含醫療費用12,372元、交通費用87,000元，總計111,744元; 應賠償原告在車禍之損害，包含交通費用87,000元，總計87,000元。兩原告之請求金額合計422,232元，並自起訴狀副本送達翌日起至清償日止，按年息5%計算之利息。</t>
    <phoneticPr fontId="7" type="noConversion"/>
  </si>
  <si>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（一）原告受有右之損害：
1. 醫療費用：4,300元
原告受有右因本次事故受傷，為治療傷勢而就醫，支出醫療費用4,300元。
（二）原告因系爭之損害：
1. 醫療費用：173,242元
原告因系爭因本次事故受傷，為治療傷勢而就醫，支出醫療費用173,242元。
2. 交通費用：12,790元
原告因系爭因足部受傷就醫需搭乘計程車，支出交通費用12,790元。
（三）原告受有承之損害：
1. 醫療費用：100,887元
原告受有承因本次事故受傷，為治療傷勢而就醫，支出醫療費用100,887元。
2. 交通費用：1,900元
原告受有承因足部受傷就醫需搭乘計程車，支出交通費用1,900元。
（四）原告行動不之損害：
1. 醫療費用：61,400元
原告行動不因本次事故受傷，為治療傷勢而就醫，支出醫療費用61,400元。
（五）原告受有支之損害：
1. 醫療費用：173,242元
原告受有支因本次事故受傷，為治療傷勢而就醫，支出醫療費用173,242元。
2. 交通費用：12,790元
原告受有支因足部受傷就醫需搭乘計程車，支出交通費用12,790元。
（六）原告為小學之損害：
1. 醫療費用：96,587元
原告為小學因本次事故受傷，為治療傷勢而就醫，支出醫療費用96,587元。
（七）原告受傷期之損害：
1. 醫療費用：96,587元
原告受傷期因本次事故受傷，為治療傷勢而就醫，支出醫療費用96,587元。
（八）原告精神上之損害：
1. 醫療費用：96,587元
原告精神上因本次事故受傷，為治療傷勢而就醫，支出醫療費用96,587元。
（九）原告自得請之損害：
1. 醫療費用：96,587元
原告自得請因本次事故受傷，為治療傷勢而就醫，支出醫療費用96,587元。
（十）綜上所陳，被告應賠償原告受有右之損害，包含醫療費用4,300元，總計4,300元; 應賠償原告因系爭之損害，包含醫療費用173,242元、交通費用12,790元，總計186,032元; 應賠償原告受有承之損害，包含醫療費用100,887元、交通費用1,900元，總計102,787元; 應賠償原告行動不之損害，包含醫療費用61,400元，總計61,400元; 應賠償原告受有支之損害，包含醫療費用173,242元、交通費用12,790元，總計186,032元; 應賠償原告為小學之損害，包含醫療費用96,587元，總計96,587元; 應賠償原告受傷期之損害，包含醫療費用96,587元，總計96,587元; 應賠償原告精神上之損害，包含醫療費用96,587元，總計96,587元; 應賠償原告自得請之損害，包含醫療費用96,587元，總計96,587元。兩原告之請求金額合計926,899元，並自起訴狀副本送達翌日起至清償日止，按年息5%計算之利息。</t>
    <phoneticPr fontId="7"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</si>
  <si>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（一）車輛修復費用：13,750元
原告所騎乘之機車因本次事故受損，修復費用為13,750元。
（二）工作收入損失：156,000元
原告因本次事故受傷無法工作，造成工作收入損失156,000元。
（三）綜上所陳，被告應賠償原告之損害，包含車輛修復費用13,750元、工作收入損失156,000元，總計169,750元，並自起訴狀副本送達翌日起至清償日止，按年息5%計算之利息。</t>
    <phoneticPr fontId="7"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</si>
  <si>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（一）原告受傷情之損害：
1. 未分類：30,000元
原告受傷情因本次事故受有損害30,000元。
2. 醫療費用：190,948元
原告受傷情因本次事故受傷，為治療傷勢而就醫，支出醫療費用190,948元。
（二）原告因本次之損害：
1. 未分類：30,000元
原告因本次因本次事故受有損害30,000元。
2. 醫療費用：190,948元
原告因本次因本次事故受傷，為治療傷勢而就醫，支出醫療費用190,948元。
（三）原告主張因之損害：
1. 未分類：30,000元
原告主張因因本次事故受有損害30,000元。
2. 醫療費用：190,948元
原告主張因因本次事故受傷，為治療傷勢而就醫，支出醫療費用190,948元。
3. 交通費用：10,350元
原告主張因因足部受傷就醫需搭乘計程車，支出交通費用10,350元。
（四）原告因事故之損害：
1. 未分類：30,000元
原告因事故因本次事故受有損害30,000元。
2. 醫療費用：190,948元
原告因事故因本次事故受傷，為治療傷勢而就醫，支出醫療費用190,948元。
3. 交通費用：10,350元
原告因事故因足部受傷就醫需搭乘計程車，支出交通費用10,350元。
（五）原告再主張之損害：
1. 未分類：30,000元
原告再主張因本次事故受有損害30,000元。
2. 醫療費用：190,948元
原告再主張因本次事故受傷，為治療傷勢而就醫，支出醫療費用190,948元。
3. 交通費用：10,350元
原告再主張因足部受傷就醫需搭乘計程車，支出交通費用10,350元。
（六）原告於本件之損害：
1. 未分類：30,000元
原告於本件因本次事故受有損害30,000元。
2. 交通費用：10,350元
原告於本件因足部受傷就醫需搭乘計程車，支出交通費用10,350元。
（七）原告因被告之損害：
1. 未分類：30,000元
原告因被告因本次事故受有損害30,000元。
2. 醫療費用：190,948元
原告因被告因本次事故受傷，為治療傷勢而就醫，支出醫療費用190,948元。
3. 交通費用：10,350元
原告因被告因足部受傷就醫需搭乘計程車，支出交通費用10,350元。
（八）原告是大專之損害：
1. 交通費用：10,350元
原告是大專因足部受傷就醫需搭乘計程車，支出交通費用10,350元。
（九）綜上所陳，被告應賠償原告受傷情之損害，包含醫療費用190,948元，總計220,948元; 應賠償原告因本次之損害，包含醫療費用190,948元，總計220,948元; 應賠償原告主張因之損害，包含醫療費用190,948元、交通費用10,350元，總計231,298元; 應賠償原告因事故之損害，包含醫療費用190,948元、交通費用10,350元，總計231,298元; 應賠償原告再主張之損害，包含醫療費用190,948元、交通費用10,350元，總計231,298元; 應賠償原告於本件之損害，包含交通費用10,350元，總計40,350元; 應賠償原告因被告之損害，包含醫療費用190,948元、交通費用10,350元，總計231,298元; 應賠償原告是大專之損害，包含交通費用10,350元，總計10,350元。兩原告之請求金額合計1,417,788元，並自起訴狀副本送達翌日起至清償日止，按年息5%計算之利息。</t>
    <phoneticPr fontId="7" type="noConversion"/>
  </si>
  <si>
    <t>一、緣被告甲○○○於民國112年6月23日上午10時3分許，駕駛微型電動二輪車，沿臺南市永康區富強路1段由南往北方向行駛，行經富強路1段350號前時，本應注意慢車不得侵入快車道行駛，而依當時狀況並無不能注意之情事，竟疏未注意而行駛內側快車道。適有原告駕駛車牌號碼000-000號普通輕型機車，於車道中停等，欲由東往西跨越車道，未看清來往車輛，致二車發生碰撞。又甲○○○於本件車禍事故發生時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phoneticPr fontId="7" type="noConversion"/>
  </si>
  <si>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（一）醫療費用：287,957元
原告因本次事故受傷，為治療傷勢而就醫，支出醫療費用287,957元。
（二）看護費用：21,600元
原告因傷勢需專人照護，支出看護費用21,600元。
（三）交通費用：3,224元
原告因就醫及其他必要事務支出交通費用3,224元。
（四）綜上所陳，被告應賠償原告之損害，包含醫療費用287,957元、看護費用21,600元、交通費用3,224元，總計312,781元，並自起訴狀副本送達翌日起至清償日止，按年息5%計算之利息。</t>
    <phoneticPr fontId="7" type="noConversion"/>
  </si>
  <si>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就醫交通費：255,830元
原告甲○○○因本次事故受傷需就醫治療，支出就醫交通費255,830元。
2. 其他費用：272,000元
原告甲○○○因本次事故支出其他相關費用272,000元。
3. 薪資損失：138,875元
原告甲○○○因本次事故受傷無法正常工作，造成薪資損失138,875元。
4. 精神慰撫金：300,000元
原告甲○○○因本次車禍造成身體傷害及精神痛苦，請求精神慰撫金300,000元。</t>
    <phoneticPr fontId="7" type="noConversion"/>
  </si>
  <si>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（一）原告受傷情形之損害：
1. 醫療費用：182,690元
原告受傷情形因本次事故受傷，為治療傷勢而就醫，支出醫療費用182,690元。
（二）綜上所陳，被告應賠償原告受傷情形之損害，包含醫療費用182,690元，總計182,690元。兩原告之請求金額合計182,690元，並自起訴狀副本送達翌日起至清償日止，按年息5%計算之利息。</t>
    <phoneticPr fontId="7" type="noConversion"/>
  </si>
  <si>
    <t>一、緣被告王煜翔於000年0月00日下午2時49分許，駕駛車牌號碼000-0000號自用小貨車，沿花蓮縣吉安鄉中山路一段由南往北方向行駛，行經中山路一段222之1號時，原告駕駛之車牌號碼0000-00號自用小客車已在前方行駛。被告王煜翔於此時應注意車前狀況，隨時採取必要之安全措施，然依當時天候晴朗、日間自然光線充足、柏油路面乾燥、路面無明顯缺陷、視距良好且無任何障礙物等客觀情形，並無不能注意之情事，被告王煜翔竟疏未注意，貿然前行，不慎撞擊前方原告所駕駛之自用小客車，造成原告車輛受損及原告受傷。又查被告王煜翔肇事時受雇於被告張治國即高銘瓦斯行，並駕駛車斗上噴塗有「高銘瓦斯行」等字之自用小貨車，故被告張治國亦應與被告王煜翔就本件車禍事故所生之損害賠償責任連帶負責。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（一）醫療費用：43,795元
原告因本次事故受傷就醫，支出醫療費用共計43,795元。
（二）交通費：9,600元
原告因本次事故無法自行交通，支出交通費用共計9,600元。
（三）醫療器材支出：6,000元
原告因本次事故行動不便，購買醫療器材支出共計6,000元。
（四）減少勞動損失：3,003,560元
原告因本次事故致失能，導致勞動能力減少，共計3,003,560元。
（五）看護費：4,895,591元
原告因本次事故致失能，需他人照護，支出看護費用共計4,895,591元。
（六）車輛維修費用：44,000元
原告因本次事故車輛受損，支出維修費用共計44,000元。
（七）精神慰撫金：1,000,000元
原告因本次事故身心遭受痛苦，請求精神慰撫金共計1,000,000元。
（八）綜上所陳，被告王煜翔、張治國應連帶賠償原告之損害，包含原告醫療費用43,795元、交通費9,600元、醫療器材支出6,000元、看護費4,895,591元，總計4,954,986元，並自起訴狀副本送達翌日起至清償日止，按年息5%計算之利息。</t>
    <phoneticPr fontId="7" type="noConversion"/>
  </si>
  <si>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（一）原告另主張其之損害：
1. 工作收入損失：67,871元
原告另主張其因本次事故受傷無法工作，造成工作收入損失67,871元。
2. 醫療費用：3,705元
原告另主張其因本次事故受傷，為治療傷勢而就醫，支出醫療費用3,705元。
（二）原告大學畢業之損害：
1. 工作收入損失：67,871元
原告大學畢業因本次事故受傷無法工作，造成工作收入損失67,871元。
（三）綜上所陳，被告應賠償原告另主張其之損害，包含醫療費用3,705元、工作損失67,871元，總計71,576元; 應賠償原告大學畢業之損害，包含工作損失67,871元，總計67,871元。兩原告之請求金額合計139,447元，並自起訴狀副本送達翌日起至清償日止，按年息5%計算之利息。</t>
    <phoneticPr fontId="7" type="noConversion"/>
  </si>
  <si>
    <t>一、緣被告乙○○○受僱於被告甲○○○○○○○○○○（即小博士幼兒園）從事駕駛工作，於民國110年3月29日上午7時50分許，駕駛車牌號碼0000-00號自小客車（車身噴（貼）有被告小博士幼兒園設立許可文號：「府教特字第9204000437號」字樣）搭載隨車之教保人員及幼童，沿雲林縣斗六市石榴路由東向西行駛，行經石榴路與振興路口右轉彎時，原應注意汽車行駛至交岔路口轉彎時，應於交岔路口30公尺前顯示方向燈光，且轉彎車應禮讓直行車，而依當時之天候及路況，客觀上並無不能注意之情事，竟疏未注意原告騎乘車牌號碼000-0000號普通重型機車同向行駛在其右側後方。詎被告乙○○○未禮讓直行之原告先行即貿然右轉彎，原告見狀閃避不及，兩車因而發生擦撞，致原告人車倒地。又被告乙○○○於本件交通事故當時所駕駛之系爭幼童車，其車身噴（貼）有被告小博士幼兒園相關核准登記字號及文字，客觀上即為執行職務之行為，則被告小博士幼兒園因被告乙○○○之過失所造成原告之損害，應與被告乙○○○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（一）醫療費用：205,312元
台大雲林分院醫療費用：33,112元。此為事故後立即前往醫院進行檢查與治療所支付之醫療費。
翁牙醫診所牙齒醫療費用：172,200元。原告因牙齒脫落及矯正相關治療而支付，屬必要之醫療支出。
（二）交通費用：51,050元
往返台大雲林分院斗六院區：6,400元。此為多次往返治療所支出之交通費。
往返台大雲林分院虎尾院區：920元。此為後續追蹤治療及檢查之交通費用。
往返翁牙醫診所：44,730元。因多次牙科治療頻繁往返所支付之費用。
（三）工作損失：171,000元
原告因牙齒脫落及齒列矯正，導致口齒不清，無法正常招攬保險業務，需休養三個月，每月收入57,000元，合計損失171,000元。
（四）車輛修復費用：24,590元
原告所騎乘之機車於本件事故受損，修復所需零件及工資合計24,590元。該請求權已由車主張吳錦治讓與予原告。
（五）筆記型電腦修理費用：26,200元
原告於事故時隨身攜帶之蘋果筆記型電腦受損，送修後支出修理費26,200元。
（六）慰撫金：250,000元
原告為保險公司員工，月薪57,000元。因本件事故造成臉部多處挫傷、牙齒脫落及腦震盪等傷害，且日後仍須齒列矯正，對其身體與精神皆造成重大痛苦，爰請求慰撫金250,000元。
（七）綜上所陳，被告乙○○○、甲○○○○○○○○○○應連帶賠償原告原告之損害，包含醫療費用205,312元、交通費用51,050元、工作損失171,000元、車輛修復費用24,590元、筆記型電腦修理費26,200元、慰撫金250,000元。合計金額為728,152元。被告應就前述金額負連帶賠償責任，並自起訴狀副本送達翌日起至清償日止，按年息5%計算利息。</t>
    <phoneticPr fontId="7" type="noConversion"/>
  </si>
  <si>
    <t>一、緣被告騰達國際人力開發股份有限公司之受僱人即被告謝斐伊，於民國111年9月22日下午5時18分許，因執行騰達國際人力開發股份有限公司之職務，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與原告騎乘自身所有車牌號碼000-0000號普通重型機車發生碰撞，原告因此人車倒地，系爭機車亦因此損壞。而事發當日，謝斐伊係代表騰達國際人力開發股份有限公司前往川湖科技股份有限公司辦理外籍移工文件之用印業務，故謝斐伊於系爭事故，既確實受僱於騰達國際人力開發股份有限公司，更係在協助騰達國際人力開發股份有限公司業務期間發生系爭事故，依據民法1881條規定，騰達國際人力開發股份有限公司應對原告所受之損害負連帶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（一）醫療費用：121,698元
原告因事故就醫治療，累計各醫院收據共計121,698元，但計算過程中部分收據加總為121,688元，與表列數字略有差異。
（二）醫美除疤費用：17,000元
因留有明顯疤痕，需進行醫美治療，預估費用17,000元。
（三）看護費用：91,200元
事故後行動不便，需雇用看護38日，每日2,400元，計為92,200元。
（四）交通費用：16,975元
多次回診搭乘交通工具所支出，收據加總16,975元。
（五）其他費用：14,673元
包含醫療用品購置及個人物品損壞更換，計14,673元。
（六）機車修繕費用：20,750元
系爭機車維修報價單為20,750元。
（七）工作損失：96,000元
事故致使無法工作，依月薪24,000元停工四個月計算，應為96,000元。
（八）精神慰撫金：500,000元
原告因受傷及日後矯正治療，精神痛苦重大，請求慰撫金500,000元。
（九）綜上所陳，前述各項醫療費用121,698元、醫美費用17,000元、看護費用91,200元、交通費16,975元、其他費用14,673元、機車修繕20,750元、工作損失96,000元、慰撫金500,000元。合計為840,546元。是以，被告謝斐伊及騰達國際人力開發股份有限公司應連帶賠償原告上開損害，並自起訴狀副本送達翌日起，按年息5%計算利息至清償日止。</t>
    <phoneticPr fontId="7" type="noConversion"/>
  </si>
  <si>
    <t>一、緣被告陳俊雄於112年2月21日17時19分許，駕駛車牌號碼000-0000號營業小貨車，行經臺北市○○區○○○路0段00號前，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前述處所，並且於起駛時，疏未注意，適原告騎乘車牌號碼000-0000號普通重型機車沿同路段後方行駛，致被告陳俊雄不慎與原告發生碰撞，造成原告人車倒地。被告陳俊雄事發時為被告御馬運輸公司執行職務中，故御馬運輸公司自應負連帶責任。且被告陳俊雄上開行為，業經本院刑事庭113年度審交簡字第31號刑事判決判處被告陳俊雄犯過失傷害罪，處有期徒刑4月確定，足資證明其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（一）醫療費用：102,118元
原告因本次事故支出醫療費用共計102,118元。
（二）看護費用：180,000元
原告因本次事故支出看護費用共計180,000元。
（三）機車修繕費用：6,550元
原告因本次事故支出修繕費用共計6,550元。
（四）工作損失：372,000元
原告因本次事故受有薪資損失共計372,000元。
（五）勞動能力減損：1,732,920元
原告因本次事故受有長期損失共計1,732,920元。
（六）慰撫金：1,000,000元
原告因本次事故受傷，身心受創，請求精神慰撫金共計1,000,000元。
（七）綜上所陳，被告應賠償原告之損害，包含原告醫療費用102,118元、看護費用180,000元、工作損失372,000元、勞動能力減損1,732,920元、精神慰撫金1,000,000元，總計3,387,038元，並自起訴狀副本送達翌日起至清償日止，按年息5%計算之利息。</t>
    <phoneticPr fontId="7" type="noConversion"/>
  </si>
  <si>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（一）原告主張之損害：
1. 慰撫金：255,000元
原告主張因本次車禍造成身體傷害及精神痛苦，請求慰撫金255,000元。
2. 醫療費用：18,282元
原告主張因本次事故受傷，為治療傷勢而就醫，支出醫療費用18,282元。
3. 交通費用：29,720元
原告主張因就醫及其他必要事務支出交通費用29,720元。
（二）原告達成和解之損害：
1. 慰撫金：500,000元
原告達成和解因本次車禍造成身體傷害及精神痛苦，請求慰撫金500,000元。
2. 其他費用：10,960元
原告達成和解因本次事故受有損害10,960元。
3. 工作收入損失：6,100元
原告達成和解因本次事故受傷無法工作，造成工作收入損失6,100元。
（三）綜上所陳，被告應賠償原告主張之損害，包含醫療費用18,282元、交通費用29,720元、慰撫金255,000元，總計303,002元; 應賠償原告達成和解之損害，包含工作損失6,100元、慰撫金500,000元，總計517,060元。兩原告之請求金額合計820,062元，並自起訴狀副本送達翌日起至清償日止，按年息5%計算之利息。</t>
    <phoneticPr fontId="7" type="noConversion"/>
  </si>
  <si>
    <t>一、緣被告於民國109年5月18日晚上8時04分許，在新北市板橋區光復橋上橋處之道路，因疏未注意管束其所飼養之犬隻，導致掙脫狗鍊奔跑至道路上。原告當時正騎乘車牌號碼000-0000號重型機車沿新北市板橋區中山路2段往新北市方向直行，因閃避不及而撞擊上開犬隻後人車倒地，致原告受有傷害。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（一）醫療費用：28,170元
原告因本次事故受傷就醫，支出醫療費用共計28,170元。
（二）手機維修費用：5,450元
原告因本次事故手機損壞，支出維修費用共計5,450元。
（三）安全帽及鞋子損壞費用：3,300元
原告因本次事故安全帽及鞋子損壞，支出更換費用共計3,300元。
（四）機車維修費用：90,000元
原告因本次事故機車損壞，支出維修費用共計90,000元。
（五）工作損失：90,000元
原告因本次事故無法工作，受有薪資損失共計90,000元。
（六）精神慰撫金：45,000元
原告因本次事故受有身心痛苦，請求精神慰撫金45,000元。
（七）綜上所陳，被告應賠償原告之損害，包含原告醫療費用28,170元、手機維修費用5,450元、安全帽及鞋子損壞費用3,300元、機車維修費用90,000元、工作損失90,000元、精神慰撫金45,000元，總計258,620元，並自起訴狀副本送達翌日起至清償日止，按年息5%計算之利息。</t>
    <phoneticPr fontId="7" type="noConversion"/>
  </si>
  <si>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致該犬隻沿大學62街由東往西跑向德中路上。適有謝佳純騎乘車牌號碼000-000號普通重型機車沿德中路慢車道南往北直行至大學62街口，因閃避不及與該犬隻發生碰撞，致謝佳純受有傷害。被告因未盡妥善飼養及管理之責，導致系爭事故發生，應負賠償責任。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（一）醫療費用：316,857元
已支出醫療：23,000元。
憂鬱症治療：123,857元。
除疤治療：146,000元。
（二）醫療用品：14,340元
事故後購買藥品與紗布，費用14,340元。
（三）看護費：104,800元
已支出看護：104,800元。
後續看護：24,000元。
合計仍為104,800元。
（四）交通費：2,010元
計程車：1,730元。
停車：280元。
合計2,010元。
（五）勞動能力減損：468,202元
因事故造成10%減損，計468,202元。
（六）慰撫金：800,000元
因事故多次手術與精神痛苦，請求800,000元。
（七）結論：
醫療316,857元，用品14,340元，看護104,800元，交通2,010元，勞動能力468,202元，慰撫金800,000元。總計1,690,009元。</t>
    <phoneticPr fontId="7" type="noConversion"/>
  </si>
  <si>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（三）原告回診時之損害：
1. 慰撫金：150,000元
原告回診時因本次車禍造成身體傷害及精神痛苦，請求慰撫金150,000元。
2. 工作收入損失：86,001元
原告回診時因本次事故受傷無法工作，造成工作收入損失86,001元。
3. 醫療費用：15,565元
原告回診時因本次事故受傷，為治療傷勢而就醫，支出醫療費用15,565元。
4. 交通費用：10,670元
原告回診時因足部受傷就醫需搭乘計程車，支出交通費用10,670元。
（四）原告請求之損害：
1. 慰撫金：150,000元
原告請求因本次車禍造成身體傷害及精神痛苦，請求慰撫金150,000元。
2. 工作收入損失：86,001元
原告請求因本次事故受傷無法工作，造成工作收入損失86,001元。
3. 醫療費用：15,565元
原告請求因本次事故受傷，為治療傷勢而就醫，支出醫療費用15,565元。
4. 交通費用：10,670元
原告請求因足部受傷就醫需搭乘計程車，支出交通費用10,670元。
（五）綜上所陳，被告應賠償原告回診時之損害，包含醫療費用15,565元、工作損失86,001元、交通費用10,670元、慰撫金150,000元，總計262,236元; 應賠償原告請求之損害，包含醫療費用15,565元、工作損失86,001元、交通費用10,670元、慰撫金150,000元，總計262,236元。兩原告之請求金額合計524,472元，並自起訴狀副本送達翌日起至清償日止，按年息5%計算之利息。</t>
    <phoneticPr fontId="7" type="noConversion"/>
  </si>
  <si>
    <t>一、緣於民國104年10月7日上午7時30分許，原告騎乘車號000-000號機車沿三爪子坑路由瑞峯便橋往瑞芳國中方向行駛，行經新北市○○區○○○○路○號住宅前時，被告於住所前洗車，本應注意不得疏縱實際監管之寵物在道路奔走，妨害交通。詎被告疏未注意，任由實際監管之黃色中型狗在三爪子坑路上行走，且該犬隻突然穿越馬路，致原告閃避不及而撞及該狗隻，因而人車倒地。此際，被告已受鈞院105年度易字第296號刑事判決有罪確定，足見被告於本事件中存在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（一）醫療費用：12,982元
原告因本次事故受有骨折傷勢，產生醫療費用共計12,982元。
（二）工作損失：150,000元
原告因本次事故需休養一年無法工作，請求薪資損失共計150,000元。
（三）交通費：1,680元
原告因本次事故無法自行搭乘大眾運輸工具就醫，產生計程車交通費用共計1,680元。
（四）慰撫金：100,000元
原告因本次事故受有身體及精神上痛苦，請求精神慰撫金共計100,000元。
（五）綜上所陳，被告應賠償原告之損害，包含原告醫療費用12,982元、工作損失150,000元、交通費1,680元、精神慰撫金100,000元，總計264,662元，並自起訴狀副本送達翌日起至清償日止，按年息5%計算之利息。</t>
    <phoneticPr fontId="7" type="noConversion"/>
  </si>
  <si>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（一）原告所騎乘之損害：
1. 醫療費用：38,073元
原告所騎乘因本次事故受傷，為治療傷勢而就醫，支出醫療費用38,073元。
（三）原告臉部之損害：
1. 醫療費用：47,073元
原告臉部因本次事故受傷，為治療傷勢而就醫，支出醫療費用47,073元。
（四）原告主張之損害：
1. 醫療費用：47,073元
原告主張因本次事故受傷，為治療傷勢而就醫，支出醫療費用47,073元。
2. 其他費用：40,000元
原告主張因本次事故受有損害40,000元。
（五）原告精神上自之損害：
1. 醫療費用：9,000元
原告精神上自因本次事故受傷，為治療傷勢而就醫，支出醫療費用9,000元。
2. 其他費用：40,000元
原告精神上自因本次事故受有損害40,000元。
（六）綜上所陳，被告應賠償原告所騎乘之損害，包含醫療費用38,073元，總計38,073元; 應賠償原告臉部之損害，包含醫療費用47,073元，總計47,073元; 應賠償原告主張之損害，包含醫療費用47,073元，總計87,073元; 應賠償原告精神上自之損害，包含醫療費用9,000元，總計49,000元。兩原告之請求金額合計221,219元，並自起訴狀副本送達翌日起至清償日止，按年息5%計算之利息。</t>
    <phoneticPr fontId="7" type="noConversion"/>
  </si>
  <si>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（一）醫療費用：62,011元
原告因本次事故受傷就醫，支出醫療費用共計62,011元。
（二）營養品費用：39,208元
原告因手術治療後需補充營養，支出營養品費用共計39,208元。
（三）看護費用：18,000元
原告因住院需家人看護，因此產生看護費用共計18,000元。
（四）工作損失：129,780元
原告因本次事故無法工作，導致薪資損失共計129,780元。
（五）精神慰撫金：160,000元
原告因本次事故身心受創，請求精神慰撫金共計160,000元。
（六）綜上所陳，被告應賠償原告之損害，包含原告原告醫療費用62,011元、營養品費用39,208元；看護費用18,000元、工作損失129,780元、精神慰撫金160,000元，總計408,999元，並自起訴狀副本送達翌日起至清償日止，按年息5%計算之利息。</t>
    <phoneticPr fontId="7" type="noConversion"/>
  </si>
  <si>
    <t>一、緣被告於民國100年4月21日下午5時20分許，帶著其所豢養之犬在桃園縣中壢市○○○路與陸光一街交口附近之公園溜狗，被告身為動物飼主，本應確實看管犬隻，並妥善管束犬隻在公共道路上活動，以避免對交通安全造成危害。詎被告於當時並無任何不能注意之情事，對其所豢養之犬隻具有控制及管領之能力，竟因疏未注意，致使其所豢養之犬隻衝向陸光一街，而原告騎乘車牌號碼000-000號輕型機車適時行經該處，因反應不及，無法及時煞車，致原告機車與該犬隻發生碰撞，造成原告受有傷害。此被告之行為，顯有違反注意義務，構成過失。而桃園地方法院已於100年度壢交簡字第3001號刑事判決中認定被告因過失傷害，判決有罪確定，足資證明被告確有疏忽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（一）醫療費用：15,729元
原告因本次事故受傷就醫，支出醫療費用共計15,729元。
（二）精神慰撫金：157,271元
原告因本次事故受有腰椎、足部及膝部挫傷、擦傷，並經歷近兩年治療復健，請求精神慰撫金157,271元。
（三）綜上所陳，被告應賠償原告之損害，包含原告醫療費用15,729元、精神慰撫金157,271元，總計173,000元，並自起訴狀副本送達翌日起至清償日止，按年息5%計算之利息。</t>
    <phoneticPr fontId="7" type="noConversion"/>
  </si>
  <si>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（一）醫療復健費用：190元
原告主張醫療復健費用190元。
（二）車輛修復費用：181,144元
原告主張車輛修復費用181,144元。
（三）交通費用：4,500元
原告主張交通費用4,500元。
（四）工作收入損失：33,000元
原告主張休養期間工作收入損失33,000元。
（五）慰撫金：99,000元
原告主張慰撫金99,000元。
（六）綜上所陳，被告應賠償原告之損害，包含醫療復健費用190元、車輛修復費用181,144元、交通費用4,500元、工作收入損失33,000元、慰撫金99,000元，總計317,834元，並自起訴狀副本送達翌日起至清償日止，按年息5%計算之利息。</t>
    <phoneticPr fontId="7" type="noConversion"/>
  </si>
  <si>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（一）醫療費用：11,067元
原告因系爭傷害支出醫療費用11,067元。
（二）交通費用：380元
原告因就醫支出交通費用380元。
（三）工作損失：24,400元
原告因系爭事故受有不能工作之損失24,400元。原告需休養復健4至8週，影響其工作能力。
（四）機車維修費用：10,850元
原告4. 機車維修費用：系爭機車因事故受損支出修復費用共計10,850元，有估價單為證
（五）預估醫療費用：50,000元
原告主張因系爭事故而需支出未來開刀醫療費用50,000元。
（六）精神慰撫金：300,000元
原告6. 精神慰撫金：原告因系爭傷害多次就醫，造成生活上的不便，請求精神慰撫金300,000元
（七）綜上所陳，被告應賠償原告之損害，包含醫療費用11,067元、交通費用380元、工作損失24,400元、機車維修費用10,850元、預估醫療費用50,000元、精神慰撫金300,000元，總計396,697元，並自起訴狀副本送達翌日起至清償日止，按年息5%計算之利息。</t>
    <phoneticPr fontId="7" type="noConversion"/>
  </si>
  <si>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（一）醫療費用：83,016元
原告（一）醫療費用部分合計83,016元
（二）交通費用：215元
原告於113年5月28日因須至基隆長庚醫院整形外科回診，來回一共支出計程車交通費用215元。
（三）看護費用：525,000元
原告（三）看護費用部分共計525,000元
（四）無法家務勞動之損失：189,080元
原告雖然是家庭主婦，並無現實之工作收入資料可為參考，故其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原告因受傷無法從事家務勞動，計算方式如下：前3個月依據112年1月1日起實施之基本工資為每月26,400元；後4個月依據113年1月1日起實施之基本工資為每月27,470元，故原告此7個月無法從事家務勞動之工作損失應為189,080元(26,400元×3月＋27,470元×4月=189,080元)。
（五）慰撫金：1,300,000元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1,300,000元。
（八）綜上所陳，被告應賠償原告之損害，包含醫療費用83,016元、交通費用215元、看護費用525,000元、無法家務勞動之損失189,080元、慰撫金1,300,000元，總計2,097,311元，並自起訴狀副本送達翌日起至清償日止，按年息5%計算之利息。</t>
    <phoneticPr fontId="7" type="noConversion"/>
  </si>
  <si>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（一）醫療費用：54,741元
原告主張因本件車禍受傷至淡水馬偕紀念醫院、祐民聯合診所就醫，支出醫療費用54,741元，並且在111年9月27日購買藥品支出1,890元，以上有淡水馬偕紀念醫院醫療費用收據、祐民聯合診所醫療費用收據可以證明，而後至112年仍需要雷射除疤、中醫調養門診、來往醫院交通費用、自費醫材等預估醫療費用180,000元，並且有113年3月29日美仕媞時尚醫美診所18,444元醫療收據可以證明原告後續預估的醫療費用有後續治療之必要及實際支出。
（二）看護費用：74,000元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74,000元（即每日2,000元×37日＝74,000元）。
（三）工作損失：420,000元
原告主張本件事故發生前原告受僱康舒科技股份有限公司。有相關證明文件可資佐證。
（四）財物損失：3,973元
原告因本次事故受有財物損失3,973元。
（五）精神慰撫金：990,000元
原告因本件事故受有左肩、左前臂、左手擦傷、左踝擦挫傷等傷害，並且經過持續回診之情形，精神上受有相當痛苦；而原告為大學畢業，原任職於康舒科技股份有限公司，月薪72,800元，請求鈞院衡量原告所受傷勢、本件事故發生原因及兩造財產資力等一切情狀，命被告支付精神慰撫金990,000元，以填補原告所受非財產上損害。
（六）綜上所陳，被告應賠償原告之損害，包含醫療費用54,741元、看護費用74,000元、工作損失420,000元、財物損失3,973元、精神慰撫金990,000元，總計1,542,714元，並自起訴狀副本送達翌日起至清償日止，按年息5%計算之利息。</t>
  </si>
  <si>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（一）醫療費用：225,086元
原告主張其因被告之侵權行為自車禍發生後先後至北港馬祖醫院、嘉義長庚醫院、北港仁一醫院就診。有相關證明文件可資佐證。
（二）看護費用：92,400元
原告又看護工作較一般工作之時間為長，且須隨時注意傷患之病情反應，是原告主張以其實際支出之看護費用每日2,800元計算原告就看護費用部分請求之金額為92,400元（計算式：2,800元×16日＝44,800元，2,800元×34日×1/2＝47,600元，合計為92,400元）
（三）工作損失：950,400元
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50,000元，名下有1部自小客車，請求鈞院衡量原告所受傷勢、本件事故發生原因及兩造財產資力等一切情狀，命被告支付精神慰撫金1,000,000元，以填補原告所受精神痛苦。
（四）綜上所陳，被告應賠償原告之損害，包含醫療費用225,086元、看護費用92,400元、工作損失950,400元，總計1,267,886元，並自起訴狀副本送達翌日起至清償日止，按年息5%計算之利息。</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</si>
  <si>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（一）機車維修費用：6,900元
原告所有的機車因系爭車禍受損而需要更換全新零件，經機車行估計維修價格為6,900元，此有龍騎士車業有限公司估價單可佐證。
（二）醫療費用（台北馬偕紀念醫院）：5,371元
原告因系爭車禍事故受有左側踝部挫傷及擦傷、左側手肘挫傷及擦傷、左側髖擦傷、左側膝部擦傷、頭部外傷合併左後枕部挫傷、頭部外傷症候群等傷害。有相關證明文件可資佐證。
（三）醫療費用暨交通費用（和睦家診所）：9,895元
原告因右肩擦挫傷勢。有相關證明文件可資佐證。
（四）傷口包紮所需醫療器材費用：2,145元
原告因系爭車禍事故導致身體部位多處擦傷須購買如敷料等醫療用品加以包紮。有相關證明文件可資佐證。
（五）醫療費用（全昌堂中醫診所）：9,225元
原告另因左側手部、膝部挫傷與頭痛、偏頭痛等徵狀。有相關證明文件可資佐證。
（六）醫療費用（新光吳火獅紀念醫院）：1,870元
原告且因偏頭痛徵狀。有相關證明文件可資佐證。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30,000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
（九）綜上所陳，被告應賠償原告之損害，包含機車維修費用6,900元、醫療費用（台北馬偕紀念醫院）5,371元、醫療費用暨交通費用（和睦家診所）9,895元、傷口包紮所需醫療器材費用2,145元、醫療費用（全昌堂中醫診所）9,225元、醫療費用（新光吳火獅紀念醫院）1,870元、因傷不能工作之薪資損失141,092元、精神慰撫金623,502元，總計800,000元，並自起訴狀副本送達翌日起至清償日止，按年息5%計算之利息。</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</si>
  <si>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（一）醫療費用：10,740元
原告因本件車禍所受傷害。有相關證明文件可資佐證。
（二）看護費用：880,000元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（三）代步交通費：9,442元
原告所有系爭車輛因本件事故受損、需以計程車代步，請求被告給付9,442元。
（四）薪資損失：320,372元
原告因本件事故所受傷害而於111年2月14日起至112年1月31日止期間，不能工作而受有薪資損失320,372元。
（五）車輛交易價值減損：130,000元
系爭車輛於106年8月出廠，在車況正常、保養情形良好下，經過新竹區汽車商業同業公會於111年4月28日鑑定之合理市價為330,000元，又原告於111年4月23日將系爭車輛以價金200,000元出賣予訴外人王其能，因此原告主張向被告請求賠償系爭車輛因本件事故所導致交易價值減損為130,000元。
（六）嬰兒車損壞：10,850元
原告主張系爭嬰兒車因本件事故受損致無法使用而需購買新品，而系爭嬰兒車經扣除折舊後之損害為10,850元。
（七）拖吊費：1,171元
原告主張因本件車禍而受有支出系爭車輛拖吊費1,171元。
（八）精神慰撫金：300,000元
原告因本件車禍受有頭部挫傷、頭暈、噁心想吐、頸部挫傷、疑腦震盪、背部拉傷等傷害，造成原告身心因此承受重大痛苦，並導致系爭身心症狀。又原告為碩士畢業，任職高中老師、月收入約80,000元，請求鈞院斟酌兩造經濟、身分地位，及被告前揭過失肇事及侵害情節、致原告受有前開傷害之程度、對原告所造成之痛苦等一切情狀，命被告賠償精神慰撫金300,000元。
（九）綜上所陳，被告應賠償原告之損害，包含醫療費用10,740元、看護費用880,000元、代步交通費9,442元、薪資損失320,372元、車輛交易價值減損130,000元、嬰兒車損壞10,850元、拖吊費1,171元、精神慰撫金300,000元，總計1,662,575元，並自起訴狀副本送達翌日起至清償日止，按年息5%計算之利息。</t>
    <phoneticPr fontId="7" type="noConversion"/>
  </si>
  <si>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（一）醫療費用：512,473元
原告因本次事故受傷就醫，支出醫療費用512,473元。
（二）交通費及機車修理費：49,299元
原告前往高雄義大醫院就醫支出之交通費用、高速公路過路費用、油資共49,299元。系爭車禍導致機車受損。
（三）看護費用：391,600元
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391,600元
（四）勞動能力減損：6,339,232元
原告是依每月30,000元勞動能力減損76％計算，原告每月減損勞動能力之損失為22,800元（計算式：30,000元×76％＝22,800元），依霍夫曼式計算法扣除中間利息（首期給付不扣除中間利息）其勞動力減損金額為新臺幣6,339,232元
（五）復健費用：510,000元
並且原告至少需復健5年，未來需支出復健費用510,000元。
（六）診斷證明書、影印費及鑑定報告書費用：12,966元
原告因本次事故受有診斷證明書、影印費及鑑定報告書費用12,966元。
（七）綜上所陳，被告應賠償原告之損害，包含醫療費用512,473元、交通費及機車修理費49,299元、看護費用391,600元、勞動能力減損6,339,232元、復健費用510,000元、診斷證明書、影印費及鑑定報告書費用12,966元，總計7,815,570元，並自起訴狀副本送達翌日起至清償日止，按年息5%計算之利息。</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</si>
  <si>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（一）原告乙○○之損害：
1. 醫藥費用：38,706元
原告因本次事故受傷就醫，支出醫藥費用共新台幣38,706元。
2. 不能工作損失：69,728元
原告乙○○因本次事故受有不能工作損失69,728元。
3. 精神慰撫金：300,000元
原告因被告之侵權行為導致顱內出血及顏面骨折，有頭疼、頭暈且記憶力減退之後遺症等現象，均影響生活、工作及女生外貌甚鉅，導致原告精神痛苦不堪，為此爰請求精神賠償300,000元。
（二）原告丙○○之損害：
1. 醫藥費用：274,874元
原告丙○○1. 醫藥費用：共274,874元
2. 不能工作損失：180,942元
原告因傷無法工作期間達6個月以上，以其92年度綜合所得稅各類所得資料可知其每月工作所得為30,157元，以6個月計，則損失約180,942元。
3. 精神慰撫金：2,000,000元
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三）綜上所陳，被告應賠償原告之損害，就原告乙○○部分，包含醫藥費用38,706元、不能工作損失69,728元、精神慰撫金300,000元；就原告丙○○部分，包含醫藥費用274,874元、不能工作損失180,942元、精神慰撫金2,000,000元，總計2,864,250元，並自起訴狀副本送達翌日起至清償日止，按年息5%計算之利息。</t>
    <phoneticPr fontId="7" type="noConversion"/>
  </si>
  <si>
    <t>一、緣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
（一）綜上所陳，被告應賠償原告之損害，就原告甲父部分，包含醫療費用53,715元、看護費用152,500元、交通費用965元、工作收入損失335,070元、精神慰撫金800,000元、B車受損修理費用7,977元、財物損失6,250元；就原告甲母部分，包含精神慰撫金50,000元；就原告甲部分，包含精神慰撫金150,000元，總計1,553,477元，並自起訴狀副本送達翌日起至清償日止，按年息5%計算之利息。</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</si>
  <si>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主張因治療系爭傷害支出醫療暨醫療耗材費用共20,185元，並提出新北市立聯合醫院急診醫療費用收據、固的診所自費醫療明細收據暨藥品明細收據、臺北榮民總醫院門診醫療費用明細收據暨急診醫療費用明細收據等作為證據
2. 看護費用：132,000元
原告林肜宇主張因治療系爭傷害」顯示其需專人看護2個月，以每日看護2200元計算，費用為132,000元
3. 薪資損失：324,000元
4. 就醫交通費用：1,335元
原告林肜宇因系爭車禍足部受傷，回診必須搭乘計程車，已支付就醫交通費用1,335元。
5. 車輛損壞修復費用：7,970元
6. 精神慰撫金：200,000元
原告林肜宇因系爭傷害，需要定期就醫回診，生活受到相當程度影響，承受相當之精神痛苦，故請求精神慰撫金200,000元。
（二）原告吳彩雲之損害：
1. 醫療費用：3,200元
2. 薪資損失：3,000元
3. 精神慰撫金：50,000元
原告吳彩雲因系爭傷勢，同樣需要就醫回診，承受身體不適及工作上受到相當程度影響，承受相當之精神痛苦，故請求精神慰撫金50,000元。
（三）綜上所陳，被告應賠償原告之損害，就原告林肜宇部分，包含醫療費用20,185元、看護費用132,000元、薪資損失324,000元、就醫交通費用1,335元、車輛損壞修復費用7,970元、精神慰撫金200,000元；就原告吳彩雲部分，包含醫療費用3,200元、薪資損失3,000元、精神慰撫金50,000元，總計606,690元，並自起訴狀副本送達翌日起至清償日止，按年息5%計算之利息。</t>
    <phoneticPr fontId="7"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</si>
  <si>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醫療費用：167,384元
原告甲○○主張為此支出醫療費用167,384元（含轉診救護車費用），甲○○提出中科院石園聯合診所門診醫療費用明細收據可為證據
2. 看護費用：75,000元
原告甲○○而甲○○因骨折型態為粉碎性骨折，術後一個月應禁止大幅度上臂活動，且因劇烈疼痛，需全日專人照顧」等情，因此甲○○以專人照顧1個月，每日2,500元，請求看護費用75,000元
3. 工作損失：245,935元
原告甲○○甲○○因本次交通事故請假共3個月又4日，請求工作損失245,935元
4. 機車拖吊費：2,000元
原告甲○○之機車因事故受損需拖吊。有相關證明文件可資佐證。
5. 機車價額損失：63,175元
原告甲○○系爭機車因被告之過失行為受損，經折舊後之價額為87,175元，扣除變賣機車之24,000元後，認被告應賠償63,175元。
6. 財產損失：17,740元
原告甲○○的安全帽、藍芽通訊器、衣服、外套、手機架、大風鏡等物品因此次事故毀損，請求被告賠償財產損失共17,740元。
7. 精神慰撫金：350,000元
原告甲○○因被告之過失行為而有如上所述之傷害，住院兩次共3日，門診達20餘次，精神自受有相當痛苦，請求精神慰撫金350,000元。
（二）原告乙○○之損害：
1. 精神慰撫金：50,000元
原告乙○○因本次事故受有多處挫傷，並且飽受驚嚇，不敢騎車上路，身體似未完全康復，故請求精神慰撫金50,000元。
（三）綜上所陳，被告應賠償原告之損害，就原告甲○○部分，包含醫療費用167,384元、看護費用75,000元、薪資損失245,935元、機車拖吊費2,000元、機車損壞賠償63,175元、財物損失17,740元、精神慰撫金350,000元；就原告乙○○部分，包含精神慰撫金50,000元，總計1,007,409元，並自起訴狀副本送達翌日起至清償日止，按年息5%計算之利息。</t>
    <phoneticPr fontId="7" type="noConversion"/>
  </si>
  <si>
    <t>一、緣被告於民國106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原告陳慶華因本次車禍所受傷害，前往淡水馬偕醫院治療，支出醫療費用1,036 元，並有醫療費用單據為證
2. 車損修理費用：413,300元
系爭自小客車因本次車禍嚴重受損。
3. 精神慰撫金：300,000元
原告陳慶華為大學畢業，於事故發生時為28歲，職業為甜點師，月收入約為3萬8,000元，而被告於本次車禍後拒絕承認肇事責任，亦不賠償原告損害，甚且誣指原告陳慶華肇事逃逸，更加深原告痛苦，爰請求被告給付精神慰撫金300,000元。
（二）原告朱庭慧之損害：
1. 醫療費用：4,862元
原告朱庭慧因本次車禍所受傷害，前往淡水馬偕醫院急診及後續門診治療，合計支出醫療費用4,862 元
2. 薪資損失：3,225元
原告朱庭慧因本次車禍受傷，向任職公司請假，而遭扣薪共3,225元
3. 精神慰撫金：300,000元
原告朱庭慧為大學畢業，於事故發生時為27歲，職業為未婚聯誼顧問，月收入約為5至6萬元，因本次車禍受傷，於臉上留下疤痕，身心恐懼，經常失眠，且因此自信受創，業績下降，被告事後拒絕承認肇事責任，亦不賠償原告損害，經檢察官起訴後仍毫無悔意，更加深原告痛苦，爰請求被告給付精神慰撫金300,000元。
（三）綜上所陳，被告應賠償原告之損害，就原告陳慶華部分，包含醫療費用1,036元、車損修理費用413,300元、精神慰撫金300,000元；就原告朱庭慧部分，包含醫療費用4,862元、薪資損失3,225元、精神慰撫金300,000元，總計1,022,423元，並自起訴狀副本送達翌日起至清償日止，按年息5%計算之利息。</t>
    <phoneticPr fontId="7" type="noConversion"/>
  </si>
  <si>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擦撞之車禍事故。當時李承祐係騎系爭機車搭載賴秀雲，沿黎明路由東往西方向行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（一）原告賴秀雲之損害：
1. 醫療費用：73,238元
原告賴秀雲因系爭車禍事故就醫，支出臺中榮民總醫院9,160元、高堂中醫診所44,628元、蕭永明骨科診所15,350元、新奇美診所4,100元等醫療費用。
2. 藥品及耗材費用：4,050元
原告賴秀雲因系爭車禍事故受傷，支出紗布及藥水等衍生損失4,050元。
3. 工資損失：62,970元
原告賴秀雲因本次事故受有工資損失62,970元。
4. 機車維修費用：12,620元
原告賴秀雲因系爭車禍事故導致機車損壞，維修零件及工資金額為12,620元，其中零件折舊後加計工資之維修費用。
5. 眼鏡損壞損失：4,250元
原告賴秀雲因系爭車禍事故導致眼鏡架損壞，損失4,250元。
6. 計程車費用：21,225元
原告賴秀雲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21,225元
7. 勞動力減損：23,622元
原告賴秀雲因系爭車禍事故受傷後，受有勞動力減損23,622元。
8. 慰撫金：300,000元
原告賴秀雲因系爭車禍事故受有右肘、右足、右側胸壁挫傷、右足撕裂傷等傷害，造成精神痛苦，爰請求精神慰撫金300,000元。
（二）原告李承祐之損害：
1. 醫療費用：44,440元
原告李承祐因系爭車禍事故就醫，支出臺中榮民總醫院9,290元、高堂聯合中醫診所12,000元、蕭永明骨科診所23,150元等醫療費用。
2. 護腰莢費用：1,242元
原告李承祐因系爭車禍事故傷勢需要復健，購買護腰莢支出1,242元。
3. 就醫交通費用：19,755元
原告李承祐因本次事故受有就醫交通費用19,755元。
4. 鑑定費用：2,500元
原告李承祐因本次事故受有鑑定費用2,500元。
5. 工資損失：576,000元
原告李承祐因本次事故受有工資損失576,000元。
6. 勞動力減損：458,897元
原告李承祐因本次事故受有勞動力減損458,897元。
7. 慰撫金：300,000元
原告李承祐因系爭車禍事故受有腰椎椎間盤突出之傷害，受有精神上痛苦，爰請求精神慰撫金300,000元。
（三）綜上所陳，被告應賠償原告之損害，就原告賴秀雲部分，包含醫療費用73,238元、藥品及耗材費用4,050元、工資損失62,970元、機車維修費用12,620元、眼鏡損壞損失4,250元、計程車費用21,225元、勞動力減損23,622元、精神慰撫金300,000元；就原告李承祐部分，包含醫療費用44,440元、護腰莢費用1,242元、就醫交通費用19,755元、鑑定費用2,500元、工資損失576,000元、勞動力減損458,897元、精神慰撫金300,000元，總計1,904,809元，並自起訴狀副本送達翌日起至清償日止，按年息5%計算之利息。</t>
    <phoneticPr fontId="7"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</si>
  <si>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1. 醫療費用：466元
原告陳皆宏為治療系爭事故所生之傷勢，前往廣福診所醫院治療，合計醫療費用支出466元
2. 交通費用：1,855元
系爭事故後，因系爭車輛經拖吊，原告陳皆宏當日支出返家交通費用1,855元。
3. 治療期間交通費用：700元
4. 車輛修復期間交通費用：12,820元
原告陳皆宏因本次事故受有車輛修復期間交通費用12,820元。
5. 租賃代步費用：34,000元
因系爭車輛無法使用，原告陳皆宏以租賃代步，期間一個月之費用為34,000元。
6. 車輛價值減損：100,000元
7. 工作損失：8,000元
原告陳皆宏因本次事故受有工作損失8,000元。
8. 精神慰撫金：10,000元
系爭車輛受損後，原告被迫接受無法用車之不便、需重新設定住家與公司路線、已規劃行程取消，及額外心力安撫親戚家人，故請求精神慰撫金10,000元。
（二）原告王惠滿之損害：
1. 醫療費用：13,532元
原告王惠滿為治療系爭事故所生之傷勢，前後前往臺北市立聯合醫院、全心中醫診所回診、追蹤等治療，為此支出醫療費用13,532元。
2. 交通費用：23,525元
原告王惠滿並因受有系爭傷勢，致有後續門診回診之必要，並因此多次前往醫院就診復健，合計迄今原告支出之交通費用為23,525元
3. 精神慰撫金：72,000元
因系爭腦震盪傷勢致受有相當精神上之痛苦，原告王惠滿請求精神慰撫金72,000元。
（三）綜上所陳，被告應賠償原告之損害，就原告陳皆宏部分，包含醫療費用466元、交通費用1,855元、治療期間交通費用700元、車輛修復期間交通費用12,820元、租賃代步費用34,000元、車輛價值減損100,000元、工作損失8,000元、精神慰撫金10,000元；就原告王惠滿部分，包含醫療費用13,532元、交通費用23,525元、精神慰撫金72,000元，總計276,898元，並自起訴狀副本送達翌日起至清償日止，按年息5%計算之利息。</t>
    <phoneticPr fontId="7" type="noConversion"/>
  </si>
  <si>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
（一）綜上所陳，被告應連帶賠償原告之損害，包含醫療費用11,240元、不能工作損失360,000元、精神慰撫金200,000元，總計571,240元，並自起訴狀副本送達翌日起至清償日止，按年息5%計算之利息。</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</si>
  <si>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
（一）綜上所陳，被告應連帶賠償原告之損害，包含醫療費用163,227元、增加生活必要費用1,570元、看護費用198,000元、車號000-000號機車修復費用19,250元、不能工作之損失150,000元、交通費用25,430元、精神慰撫金450,000元、減少勞動能力損失2,206,934元，總計5,214,445元，並自起訴狀副本送達翌日起至清償日止，按年息5%計算之利息。</t>
    <phoneticPr fontId="7"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</si>
  <si>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（一）醫療費用：2,370元
原告於台北馬偕紀念醫院醫療費用支出2,370元
（二）交通費用：75元
原告因就醫須往返台北馬偕醫院及復健診所進行復健所支出之車資費用，以每次往返單次金額計算75元，共計15,710元
（三）看護費用：360,000元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（四）工作損失：360,000元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（五）精神損害：300,000元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
（六）綜上所陳，被告應連帶賠償原告之損害，包含醫療費用2,370元、交通費用75元、看護費用360,000元、工作損失360,000元、精神損害300,000元，總計1,022,445元，並自起訴狀副本送達翌日起至清償日止，按年息5%計算之利息。</t>
    <phoneticPr fontId="7" type="noConversion"/>
  </si>
  <si>
    <t>一、緣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（一）醫療費用：56,000元
原告因受傷害而至南門綜合醫院診斷證明書、國立臺灣大學醫學院附設醫院新竹臺大分院新竹醫院、傅內兒科診所、南門醫院就醫，共計支付醫療費56,000元
（二）工作損失：84,000元
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
（三）精神損害賠償：100,000元
原告因本次事故受有精神損害賠償100,000元。
（四）綜上所陳，被告應連帶賠償原告之損害，包含醫療費用56,000元、工作損失84,000元、精神損害賠償100,000元，總計240,000元，並自起訴狀副本送達翌日起至清償日止，按年息5%計算之利息。</t>
    <phoneticPr fontId="7" type="noConversion"/>
  </si>
  <si>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（一）醫療及醫療用品費用：66,483元
原告因本次事故受有醫療及醫療用品費用66,483元。
（二）就醫交通費用：2,880元
查原告因所受傷勢已搭乘計程車前往國軍醫院及龍合骨科診所追蹤治療共24次，單趟車資120元，將來仍有繼續追蹤復健之需，請求被告給付交通費用2,880元 (120元/趟 × 24趟)。
（三）看護費用：6,600元
原告並主張因所受左腕三角纖維軟骨破裂之傷害，於111年2月24日至同年月26日在國軍醫院住院接受內視鏡修補手術，需專人看護3日，此3日期間由親友看護，每日看護費以2,200元計算，共損失看護費6,600元 (2,200元/日 × 3日)。
（四）不能工作之薪資損失：176,750元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(25,250元/月 × 7個月)。
（五）勞動能力減損：378,159元
原告因本次事故受有勞動能力減損378,159元。
（六）本件機車維修費用：30,100元
查本件機車修理費用為30,100元（均為零件）。
（七）精神慰撫金：40,000元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
（八）綜上所陳，被告應連帶賠償原告之損害，包含醫療及醫療用品費用66,483元、就醫交通費用2,880元、看護費用6,600元、不能工作之薪資損失176,750元、勞動能力減損378,159元、本件機車維修費用30,100元、精神慰撫金40,000元，總計700,972元，並自起訴狀副本送達翌日起至清償日止，按年息5%計算之利息。</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</si>
  <si>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（一）醫療費用：2,210元
原告主張其因本件車禍事故所受身體傷勢。
（二）財物損壞：13,183元
查原告所有之B車因本件車禍事故受損。
（三）工作損失：25,250元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25,250元，因而依原告所受上開傷勢及治療情形，原告需在家休養不能工作之期間為1個月。基此計算，原告因本件車禍事故受傷，致不能工作而受有之薪資損失金額，應為25,250元。
（四）精神慰撫金：100,000元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100,000元。
（五）綜上所陳，被告應連帶賠償原告之損害，包含醫療費用2,210元、財物損壞13,183元、工作損失25,250元、精神慰撫金100,000元，總計140,643元，並自起訴狀副本送達翌日起至清償日止，按年息5%計算之利息。</t>
  </si>
  <si>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（一）醫療費用：1,950元
原告因上開傷害而在長庚醫院、鹿基醫院、一品堂鹿港中醫診所、豐安診所就醫。
（二）工作損失：74,000元
原告又原告受雇於尚墩股份有限公司（下稱尚墩公司）擔任作業員，另從事外送工作，每月收入合計70,000元，受傷後請假37日不能工作，短少收入74,000元，並有員工請假記錄卡為證
（三）綜上所陳，被告應連帶賠償原告之損害，包含醫療費用1,950元、工作損失74,000元，總計75,950元，並自起訴狀副本送達翌日起至清償日止，按年息5%計算之利息。</t>
  </si>
  <si>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（一）原告蕭曉峰之損害：
1. 醫療費用：12,710元
原告蕭曉峰因本件事故支出醫療費用12,710元,並有醫療收據可證
2. 通勤費用：26,880元
因系爭B車受損期間需往返通勤，以上班24日計算，支出通勤費用26,880元。
3. 車輛鑑估費用：6,000元
為確認車輛損害程度，支出車輛鑑估費用6,000元，並有高雄市汽車商業同業公會收據可憑。
4. 車輛價值減損：100,000元
系爭B車雖為原告陳順華所有，但其已將車輛價值減損之損害賠償請求權讓與原告蕭曉峰，依高雄市汽車商業同業公會鑑定，系爭B車於事故前市價630,000元，修復後價值僅剩530,000元，故請求車輛價值減損100,000元。
5. 精神慰撫金：50,000元
考量事故造成之驚嚇及精神痛苦，請求精神慰撫金50,000元。
（二）原告陳順華之損害：
1. 醫療費用：9,560元
原告陳順華則因本件事故支出醫療費用9,560元,並有相關收據可證
2. 就醫交通費用：68,640元
因需往返就醫，支出交通費用68,640元。
3. 精神慰撫金：50,000元
考量事故造成之驚嚇及精神痛苦，請求精神慰撫金50,000元。
（三）綜上所陳，被告應連帶賠償原告之損害，就原告蕭曉峰部分，包含醫療費用12,710元、通勤費用26,880元、車輛鑑估費用6,000元、車輛價值減損100,000元、精神慰撫金50,000元；就原告陳順華部分，包含醫療費用9,560元、就醫交通費用68,640元、精神慰撫金50,000元，總計323,790元，並自起訴狀副本送達翌日起至清償日止，按年息5%計算之利息。</t>
    <phoneticPr fontId="7" type="noConversion"/>
  </si>
  <si>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（一）原告丁○○之損害：
1. 醫療費用：740元
原告丁○○因本件事故受傷就醫治療。有相關證明文件可資佐證。
2. 就醫交通費用：1,760元
原告丁○○因傷往返住家與中醫新竹分院就醫。
3. 不能工作損失：8,167元
原告丁○○因請假治療傷勢，無法工作1週，每月平均薪資為35,000元，故受有薪資損失8,167元。
4. 車輛修理費用：98,424元
原告丁○○主張系爭車輛因本件車禍事故受損。有相關證明文件可資佐證。
5. 精神慰撫金：50,000元
原告丁○○因本件事故受有「頭部外傷」之傷害，堪認身心均受有痛苦，因此原告丁○○向被告請求精神慰撫金50,000元。
（二）原告丙○○之損害：
1. 醫療費用：400元
原告丙○○因本件事故受傷就醫治療。有相關證明文件可資佐證。
2. 就醫交通費用：880元
原告丙○○因傷往返住家與中醫新竹分院就醫。
3. 不能工作損失：13,067元
原告丙○○因請假治療傷勢，無法工作1週，每月平均薪資為35,000元，故受有薪資損失13,067元。
4. 精神慰撫金：50,000元
原告丙○○因本件事故受有「頭部外傷」之傷害，堪認身心均受有痛苦，因此原告丙○○向被告請求精神慰撫金50,000元。
（三）綜上所陳，被告應連帶賠償原告之損害，就原告丁○○部分，包含醫療費用740元、就醫交通費用1,760元、不能工作損失8,167元、車輛修理費用98,424元、精神慰撫金50,000元；就原告丙○○部分，包含醫療費用400元、就醫交通費用880元、不能工作損失13,067元、精神慰撫金50,000元，總計223,438元，並自起訴狀副本送達翌日起至清償日止，按年息5%計算之利息。</t>
  </si>
  <si>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（一）原告羅崴之損害：
1. 醫療費用：3,678元
原告羅崴查原告羅靖崴因系爭車禍受有前揭傷害而前往聯新醫院就診，有聯新醫院診斷證明書可作為證據，其因而支出醫療費用2,443元、交通費1,235元
2. 交通費：1,235元
原告羅崴查原告羅靖崴因系爭車禍受有前揭傷害而前往聯新醫院就診，有聯新醫院診斷證明書可作為證據，其因而支出醫療費用2,443元、交通費1,235元
3. 工資損失：20,148元
原告羅崴因本件事故受傷需在家休養16日無法工作，每月工資為37,778元，因此工資損失為20,148元（37,778元/30日*16日）。
4. 精神慰撫金：10,000元
原告羅崴因本件車禍而受有頭部外傷併輕微腦震盪之傷害，影響日常生活甚鉅，於精神上承受無形痛苦，故請求精神慰撫金10,000元。
（二）原告邱品妍之損害：
1. 醫療費用：79,745元
原告邱品妍因系爭車禍受有前揭傷害同樣前往聯新醫院醫治，有聯新醫院診斷證明書作為證據，其因而支出醫療費用57,550元、交通費22,195元
2. 交通費：22,195元
原告邱品妍因系爭車禍受有前揭傷害同樣前往聯新醫院醫治，有聯新醫院診斷證明書作為證據，其因而支出醫療費用57,550元、交通費22,195元
3. 工資損失：66,768元
原告邱品妍因本件事故受傷需在家休養1個月又28日無法工作，每月工資為34,535元，因此工資損失為66,768元（34,535元/30日*68日）。
4. 車輛交易價值減損：33,000元
系爭車輛因被告之過失行為，受有交易上價值貶損33,000元。
5. 車輛鑑定費：3,000元
原告邱品妍為鑑定車輛交易價值減損，支出鑑定費3,000元。
6. 精神慰撫金：60,000元
原告邱品妍因本件車禍受有頭暈及頸部扭傷等傷害，影響其工作、生活之行動，於精神上造成無形痛苦，故請求精神慰撫金60,000元。
（三）綜上所陳，被告應連帶賠償原告之損害，就原告羅崴部分，包含醫療費用3,678元、交通費1,235元、工資損失20,148元、精神慰撫金10,000元；就原告邱品妍部分，包含醫療費用79,745元、交通費22,195元、工資損失66,768元、車輛交易價值減損33,000元、車輛鑑定費3,000元、精神慰撫金60,000元，總計299,769元，並自起訴狀副本送達翌日起至清償日止，按年息5%計算之利息。</t>
    <phoneticPr fontId="7" type="noConversion"/>
  </si>
  <si>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（一）原告吳麗娟之損害：
1. 醫療費用：1,490元
原告吳麗娟因本件車禍導致後下背腰痛、雙側韌帶撕裂傷，支出醫療費用為臺北榮總1,490元。
2. 醫療費用：1,580元
原告吳麗娟因本件車禍導致後下背腰痛、雙側韌帶撕裂傷，支出醫療費用為馬偕紀念醫院1,580元。
3. 醫療費用：6,000元
原告吳麗娟因本件車禍導致後下背腰痛、雙側韌帶撕裂傷，支出醫療費用為內湖菁英診所6,000元。
4. 醫療費用：1,750元
原告吳麗娟因本件車禍導致後下背腰痛、雙側韌帶撕裂傷，支出醫療費用為中醫1,750元。
5. 預估未來醫療費用：264,379元
原告吳麗娟因本件車禍導致後下背腰痛、雙側韌帶撕裂傷，經榮民總醫院確診發生腰椎第一、二節脊椎滑脫，有傷及神經癱瘓之虞，將來手術費用預計264,379元。
6. 慰撫金：200,000元
原告吳麗娟為商專畢業，其除了受外傷外，尚因受撞擊拉扯，須長期治療及復健，痛楚非筆墨所能形容，未來更要負擔沉重手術費用，故請求慰撫金200,000元。
（二）原告陳碧翔之損害：
1. 醫療費用：6,080元
原告陳碧翔因本件車禍支出醫療費用，包含臺北榮民總醫院6,080元。
2. 醫療費用：1,500元
原告陳碧翔因本件車禍支出醫療費用，包含馬偕紀念醫院1,500元。
3. 醫療費用：5,600元
原告陳碧翔因本件車禍支出醫療費用，包含中醫5,600元。
4. 醫療費用： 500元
原告因頭部受到撞擊，在馬偕醫院接受診療，並花費500元。
5. 慰撫金：200,000元
原告陳碧翔為某某畢業，因本件車禍受到傷害，因此請求慰撫金200,000元。
6. 假扣假償金
因受傷無法工作，所以請求假扣假償金。
7. 看護費用
因受傷，需要有人照顧，因此請求看護費用。
（三）綜上所陳，被告應連帶賠償原告之損害；就原告吳麗娟部分，包含醫療費用1,490元、醫療費用1,580元、醫療費用6,000元、醫療費用1,750元、預估未來醫療費用264,379元、精神慰撫金200,000元；就原告陳碧翔部分，包含醫療費用6,080元、醫療費用1,500元、醫療費用5,600元、醫療費用500元、精神慰撫金200,000元，總計688,379元，並自起訴狀副本送達翌日起至清償日止，按年息5%計算之利息。</t>
    <phoneticPr fontId="7" type="noConversion"/>
  </si>
  <si>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（一）原告丁○○之損害：
1. 醫療費用：77,162元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原告丙○○與丁○○因本件事故受有上開傷害，生活上均需要專人全日照護7日，以每日2,000元計算，請求被告應連帶給付其等看護費用各14,000元，並提出看護費用收據為證
3. 計程車費用：9,450元
原告丙○○與丁○○均有前往臺北市立聯合醫院和平院區、崇生中醫診所、亞東紀念醫院與臺北榮民總醫院回診之需求，故請求被告應連帶給付計程車費用各9,450元，並提出計程車運價證明為證
4. 薪資損失：187,680元
原告丁○○任職補習班，上課需寫板書，受傷又是慣用左手，後續因長期未使用肌肉萎縮，共請假92天。原告丁○○109年4月至109年10月間平均6個月薪資為61,200元，每日薪資為2,040元，故因本件車禍請假92天損失薪資共為187,680元。
5. 機車維修費用：6,150元
車號000-000號普通重型機車所有權人即訴外人周秀玉，業將車輛損害賠償債權請求權讓與原告丁○○，故系爭機車因本件車禍事故之修繕費用為6,150元。
（二）原告丙○○之損害：
1. 醫療費用：17,590元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原告丙○○與丁○○因本件事故受有上開傷害，生活上均需要專人全日照護7日，以每日2,000元計算，請求被告應連帶給付其等看護費用各14,000元，並提出看護費用收據為證
3. 計程車費用：9,450元
原告丙○○與丁○○均有前往臺北市立聯合醫院和平院區、崇生中醫診所、亞東紀念醫院與臺北榮民總醫院回診之需求，故請求被告應連帶給付計程車費用各9,450元，並提出計程車運價證明為證
4. 筆電維修費用：21,599元
原告丙○○請求被告連帶給付其筆電維修費用21,599元。
5. 住宿費用：未提供具體金額
原告丙○○與丁○○於109年10月14日至109年10月19日期間。由於未提供具體住宿金額，此項費用無法計算。
6. 醫療用品費用：477元
原告丙○○請求被告連帶給付醫療用品費用477元。
7. 慰撫金：100,000元
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
（三）原告丁○○之損害(原上列已包含)
（四）原告丙○○之損害(原上列已包含)
（五）綜上所陳，被告應連帶賠償原告之損害，就原告丁○○部分，包含醫療費用77,162元、看護費用14,000元、計程車費用9,450元、薪資損失187,680元、機車維修費用6,150元；就原告丙○○部分，包含醫療費用17,590元、看護費用14,000元、計程車費用9,450元、筆電維修費用21,599元、醫療用品費用477元、精神慰撫金100,000元，總計457,558元，並自起訴狀副本送達翌日起至清償日止，按年息5%計算之利息。</t>
    <phoneticPr fontId="7" type="noConversion"/>
  </si>
  <si>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（一）原告鄭和昌之損害：
1. 醫療費用：23,262元
2. 加護病房及住院費用：未提供細項金額，包含在醫療費用中
原告鄭和昌於110年1月21日因本件事故接受急診診療後入住加護病房治療，於同年月23日轉入普通病房，於同年月26日出院，相關費用已包含於醫療費用23,262元中。
3. 看護費用：221,500元
原告鄭和昌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4. 尿布及便器等用品費用：1,348元
原告鄭和昌因本件事故導致身體不適，購買尿布、便器等用品，由鄭劉菊支出1,348元。
5. 精神慰撫金：300,000元
原告鄭和昌因本件事故致傷，除身體受有莫大痛苦外，因年事已高，身體本已不堪勞損，卻因被告施彥宏之過失致傷，甚至住進加護病房，事發至今仍需往返醫療院所就醫，深恐年老之身體無法復原將對子女造成拖累，心靈上之恐懼與痛苦自是難以言喻。被告肇事逃逸，至今不聞不問，拒不負責，故請求精神慰撫金300,000元。
（二）原告鄭劉菊之損害：
1. 醫療費用：18,472元
2. 加護病房及住院費用：未提供細項金額，包含在醫療費用中
原告鄭劉菊與鄭和昌因本事故同時受傷，傷況與治療過程相類，於110年1月21日經急診接受診療後入加護病房治療，於同年月23日轉入普通病房，於同年月26日出院，相關費用已包含於醫療費用18,472元中。
3. 看護費用：221,500元
原告鄭劉菊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4. 尿布及便器等用品費用：1,348元
原告鄭劉菊因本件事故導致身體不適，購買尿布、便器等用品，由鄭劉菊支出1,348元。
5. 精神慰撫金：300,000元
原告鄭劉菊因本件事故致上開嚴重傷害，除身心受有莫大痛苦外，因年事已高，身體本已不堪勞損，卻因被告施彥宏之過失致傷，甚至住進加護病房，事發至今仍需往返醫療院所就醫，深恐年老之身體無法復原將對子女造成拖累，心靈上之恐懼與痛苦自是難以言喻。被告肇事逃逸，至今不聞不問，拒不負責，故請求精神慰撫金300,000元。
（三）綜上所陳，被告應連帶賠償原告之損害，就原告鄭和昌部分，包含醫療費用23,262元、看護費用221,500元、尿布及便器等用品費用1,348元、精神慰撫金300,000元；就原告鄭劉菊部分，包含醫療費用18,472元、看護費用221,500元、尿布及便器等用品費用1,348元、精神慰撫金300,000元，總計1,087,430元，並自起訴狀副本送達翌日起至清償日止，按年息5%計算之利息。</t>
    <phoneticPr fontId="7"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</si>
  <si>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（一）原告莊士紘之損害：
1. 醫療費用：102,400元
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72,000元
2. 財物損壞：6,800元
原告莊士紘因本件車禍受損眼鏡一副。
3. 交通費用：5,600元
原告莊士紘因本件車禍需休養一週，依據豐原醫院診斷證明書記載，故工作損失5,600元，以基本工資日薪800元計算。
4. 精神慰撫金：30,000元
原告莊士紘因本件車禍受有精神痛苦，故請求慰撫金30,000元。
（二）原告林淑玲之損害：
1. 醫療費用：145,563元
原告林淑玲因本次事故受傷就醫，支出醫療費用145,563元。
2. 就醫交通費用：6,105元
原告林淑玲因本件車禍就醫有搭乘他人駕駛車輛接送之需要，往返醫院就醫支出交通接送費6,105元，並有相關費用證明。
3. 看護費用：未提供具體金額
原告林淑玲因本次事故受傷，住院期間需要看護，具體費用未提供。
4. 交通費用：未提供具體金額
原告林淑玲因本件車禍需休養，依據豐原醫院診斷證明書記載，故工作損失金額未提供。
5. 精神慰撫金：30,000元
原告林淑玲因本件車禍受有精神痛苦，故請求慰撫金30,000元。
（三）綜上所陳，被告應連帶賠償原告之損害；就原告莊士紘部分，包含醫療費用102,400元、財物損壞6,800元、交通費用5,600元、精神慰撫金30,000元；就原告林淑玲部分，包含醫療費用145,563元、就醫交通費用6,105元、精神慰撫金30,000元，總計326,468元，並自起訴狀副本送達翌日起至清償日止，按年息5%計算之利息。</t>
    <phoneticPr fontId="7" type="noConversion"/>
  </si>
  <si>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（一）醫療費用：12,372元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（二）交通費用：86,800元
原告因受傷導致行動不便，在97年1月14日至98年11月30日期間，每次往返醫院及復健時都需要搭乘計程車，共計434次，每次往返計程車車資200元，總計支出交通費用86,800元
（三）幫傭費用：500,000元
原告自96年12月5日因受傷導致下肢乏力、經常跌倒及行動不便，而須復健治療，至今仍步態不穩蹣跚，行動能力明顯障礙，生活事務需要他人協助，因此於97年1月10日至99年2月10日共25個月期間雇用幫傭，每月支付幫傭費用20,000元，共計500,000元
（四）財物損壞：38,000元
原告因本次事故受有財物損壞38,000元。
（五）精神慰撫金：500,000元
原告因本次車禍受有上述嚴重傷害，不僅造成行動不便，更因此無法親自照顧長年臥病在床的配偶，讓原告身心俱疲，承受極大痛苦。且原告年事已高，復原情況不佳，對未來生活品質造成嚴重影響，因此請求精神慰撫金500,000元。
（六）綜上所陳，被告應連帶賠償原告之損害，包含醫療費用12,372元、交通費用86,800元、幫傭費用500,000元、財物損壞38,000元、精神慰撫金500,000元，總計1,137,172元，並自起訴狀副本送達翌日起至清償日止，按年息5%計算之利息。</t>
    <phoneticPr fontId="7" type="noConversion"/>
  </si>
  <si>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（一）醫療費用：72,355元
原告因系爭事故受有系爭傷害。有相關證明文件可資佐證。
（二）就醫交通費用：10,890元
原告因系爭事故受有系爭傷害，需搭乘計程車往返醫院與住家就診，因而受有支出交通費用10,890元之損害。
（三）看護費用：180,000元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180,000元（計算式：2,000元/日×90日＝180,000元）之損害。
（四）承租及購買醫療器材與醫療用品：69,787元
原告因系爭事故受有系爭傷害，向一祥醫療器材有限公司承租輪椅、氣墊床、病床等醫療器材，原告受有承租醫療器材費用4,300元之損害。依醫囑建議使用平躺式輪椅及電動床，又原告行動不便，用餐需使用餐桌板，腿部骨折支撐需使用生腳架，原告受有支出購買醫療器材費用61,400元之損害。有使用其他醫療用品及藥品之必要，受有支出其他醫療用品及藥品費用35,187元之損害。
（五）精神慰撫金：1,200,000元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1,200,000元。
（六）綜上所陳，被告應連帶賠償原告之損害，包含醫療費用72,355元、就醫交通費用10,890元、看護費用180,000元、承租及購買醫療器材與醫療用品69,787元、精神慰撫金1,200,000元，總計1,533,032元，並自起訴狀副本送達翌日起至清償日止，按年息5%計算之利息。</t>
    <phoneticPr fontId="7"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</si>
  <si>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（一）就醫費用：130,698元
原告主張因本件交通事故發生後，因受到系爭傷害，而前往淡水馬偕紀念醫院、新光吳火獅紀念醫院、大順中醫診所就醫，支出相關就醫費用共130,698元，另外因診斷證明書稱宜門診持續追蹤治療，因此預估仍有將來醫療費用共150,000元。
（二）專人照顧費用：368,000元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（三）交通費用：25,885元
原告因本次事故就醫往返，支出交通費用25,885元。
（四）醫療用品費用：45,749元
原告因系爭傷害，須購買吊腕帶、石膏鞋、背架等醫療用品，支出45,749元。
（五）營養品費用：18,000元
原告因系爭傷害購買膠原蛋白營養品支出18,000元。
（六）工作損失：156,000元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（七）車輛維修費用：13,750元
系爭車輛因本件事故受有損害。有相關證明文件可資佐證。
（八）勞動能力減損：200,000元
原告因系爭事故所受之傷害未能治癒，並且造成原告勞動能力減損，因此請求被告賠償勞動能力減損之損害200,000元。
（九）精神慰撫金：600,000元
最後，原告為小學畢業，擔任清潔員工作，每月收入26,000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600,000元。
（十）綜上所陳，被告應連帶賠償原告之損害，包含就醫費用130,698元、專人照顧費用368,000元、交通費用25,885元、醫療用品費用45,749元、營養品費用18,000元、工作損失156,000元、車輛維修費用13,750元、勞動能力減損200,000元、精神慰撫金600,000元，總計1,558,082元，並自起訴狀副本送達翌日起至清償日止，按年息5%計算之利息。</t>
    <phoneticPr fontId="7"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</si>
  <si>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（一）醫療費用：190,948元
原告主張因被告過失傷害行為受有雙側橈骨遠端閉鎖性骨折、左側尺骨莖突閉鎖性骨折、三角纖維軟骨複合體損傷、雙側手腕扭挫傷、左手挫傷左側閉鎖性骨折等傷害。明。
（二）看護費用：30,000元
而原告因事故後1個月內生活無法自理需專人看護，故由其配偶即訴外人甲○○請假1個月在家照顧，以甲○○1個月收入30,000元計算，爰請求看護費用30,000元。
（三）每日看護費用：1,000元
且倘若如此計算下，每日看護費用僅1,000元（計算式：30,000/30＝1,000），應未超出在現行看護費用行情2,000元。
（四）交通費用：10,200元
原告再主張其因本件事故受傷，而衛生福利部臺北醫院診斷證明書載明有回診之必要性，因此自住家往返醫院診療，共回診34次，每次搭乘計程車車資為150元，計支出交通費用10,200元。
（五）工作損失：350,000元
原告並且原告於本件事故發生前任職於上揚後勤服務有限公司，每月薪資約50,000元，因本件事故受傷至骨科治療，經骨科建議休養5個月，復經復健科建議再休養2個月，共計7個月無法工作，受有不能工作損失350,000元
（六）慰撫金：500,000元
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28,000元，名下無財產，請求法院審酌雙方身分資力與加害程度後，命被告賠償慰撫金500,000元。
（七）綜上所陳，被告應連帶賠償原告之損害，包含醫療費用190,948元、看護費用30,000元、交通費用10,200元、工作損失350,000元、慰撫金500,000元，總計1,082,148元，並自起訴狀副本送達翌日起至清償日止，按年息5%計算之利息。</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</si>
  <si>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（一）醫療費用：23,877元
原告主張其因本件車禍事故受傷。
（二）看護費用：118,150元
按奇美醫院診斷證明書記載原告需專人照顧8周。除此之外，原告在112年7月9日下半日至112年7月25日上半日、112年8月3日至112年9月7日，均由親屬提供看護，費用分別為23,800元、78,400元。
（三）增加生活上必要費用：2,901元
原告因本件車禍事故受傷，購買各式醫療耗材，支出2,901元。
（四）工作損失：316,800元
原告於本件車禍事故發生前，從事家庭代工工作，每月收入以最低基本工資26,400元計算，因本件車禍事故受傷，於112年6月23日至113年6月24日，共1年又2日不能工作，並以1年計，請求316,800元。
（五）精神慰撫金：200,000元
原告為國中畢業，於本件車禍事故發生前即已退休，每月領取勞保退休金12,000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200,000元，以資慰藉。
（六）綜上所陳，被告應連帶賠償原告之損害，包含醫療費用23,877元、看護費用118,150元、增加生活上必要費用2,901元、工作損失316,800元、精神慰撫金200,000元，總計661,728元，並自起訴狀副本送達翌日起至清償日止，按年息5%計算之利息。</t>
    <phoneticPr fontId="7" type="noConversion"/>
  </si>
  <si>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（一）醫療費用：287,957元
原告主張其因本件車禍受傷支出醫療費用287,957元。
（二）看護費用：21,600元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（三）住院耗材及醫療用品費用：76,963元
原告因本次事故受有住院耗材及醫療用品費用76,963元。
（四）交通費用：3,224元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（五）工作損失：54,322元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500,000元。
（六）綜上所陳，被告應連帶賠償原告之損害，包含醫療費用287,957元、看護費用21,600元、住院耗材及醫療用品費用76,963元、交通費用3,224元、工作損失54,322元，總計444,066元，並自起訴狀副本送達翌日起至清償日止，按年息5%計算之利息。</t>
    <phoneticPr fontId="7" type="noConversion"/>
  </si>
  <si>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（一）醫療費用：255,830元
原告因本次事故受傷就醫，支出醫療費用255,830元。
（二）看護費用：270,000元
原告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270,000元
（三）減少勞動能力損失：113,625元
原告因本次事故導致身體機能受損，減少勞動能力，受有減少勞動能力損失113,625元。
（四）慰撫金：300,000元
原告因丁○○之過失遭受左側肩膀挫傷、左側前胸壁挫傷、下背和骨盆挫傷及第4、5腰椎第1薦椎椎間盤破裂伴有神經根壓迫之傷害，身心均受創，故請求慰撫金300,000元。
（五）綜上所陳，被告應連帶賠償原告之損害，包含醫療費用255,830元、看護費用270,000元、減少勞動能力損失113,625元、慰撫金300,000元，總計939,455元，並自起訴狀副本送達翌日起至清償日止，按年息5%計算之利息。</t>
    <phoneticPr fontId="7" type="noConversion"/>
  </si>
  <si>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
（一）綜上所陳，被告應連帶賠償原告之損害，包含醫療費用182,690元、看護費用246,000元、交通費用10,380元、醫療用品費用4,464元、無法工作損失485,000元、精神慰撫金1,559,447元，總計2,487,981元，並自起訴狀副本送達翌日起至清償日止，按年息5%計算之利息。</t>
  </si>
  <si>
    <t>一、緣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（一）醫療費用：43,795元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43,795元
（二）交通費：9,600元
原告因系爭傷害無法開車，自110年5月14日至111年8月2日就醫而花費交通費9,600元。
（三）醫療器材支出：6,000元
原告因本次事故受有醫療器材支出6,000元。
（四）減少勞動損失：3,003,560元
原告而伊於110年5月薪資為45,800元，自110年5月12日車禍發生時起至116年8月20日伊年滿65歲止，尚有6年3月8日，依霍夫曼式計算法扣除中間利息(首期給付不扣除中間利息，下同)，核計減少勞動損失之金額為3,003,560元
（五）看護費：4,895,591元
原告伊於00年0月00日生，自111年8月2日診斷確定需看護時為60歲，參照109年簡易生命表，平均餘命尚有24.81年，以基本薪資25,250元計算，依霍夫曼式計算法扣除中間利息，核計看護費為4,895,591元
（六）車輛維修費用：44,000元
原告汽車因本件車禍受損，共支出維修費用44,000元。
（七）精神慰撫金：1,000,000元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1,000,000元。
（八）綜上所陳，被告應連帶賠償原告之損害，包含醫療費用43,795元、交通費9,600元、醫療器材支出6,000元、減少勞動損失3,003,560元、看護費4,895,591元、車輛維修費用44,000元、精神慰撫金1,000,000元，總計9,002,546元，並自起訴狀副本送達翌日起至清償日止，按年息5%計算之利息。</t>
  </si>
  <si>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（一）醫療費用：25,375元
原告從而，原告得向王俊傑請求之已支出醫療費用總額為25,375元
（二）未來除疤費用：200,000元
原告另主張其因系爭後遺症後續治療之費用、以及將來除疤費用預計為200,000元。有相關證明文件可資佐證。
（三）工作損失：22,624元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45,247元計算，原告因系爭體傷受有2週不能工作之損失金額為22,624元（計算式：45,247元÷2≒22,624元）。
（四）車輛修理費用：17,660元
原告主張其所有之A車因系爭事故毀損。有相關證明文件可資佐證。
（五）精神慰撫金：397,340元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397,340元。
（六）綜上所陳，被告應連帶賠償原告之損害，包含醫療費用25,375元、未來除疤費用200,000元、工作損失22,624元、車輛修理費用17,660元、精神慰撫金397,340元，總計662,999元，並自起訴狀副本送達翌日起至清償日止，按年息5%計算之利息。</t>
  </si>
  <si>
    <t>一、緣被告乙○○○受僱於被告甲○○○○○○○○○○（下稱小博士幼兒園）從事駕駛工作，於民國110年3月29日上午7時50分許，駕駛車牌號碼0000-00號自小客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（一）醫療費用：33,112元
原告因本件交通事故至國立臺灣大學醫學院附設醫院雲林分院（下稱台大雲林分院）治療，支出醫療費用33,112元。
（二）牙齒醫療費用：172,200元
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
（三）交通費用：6,400元+920元+44,730元=52,050元
（四）工作損失：171,000元
原告是國泰人壽保險股份有限公司員工，每月收入為57,000元，
（五）精神慰撫金：250,000元
又因本件交通事故顏面受損、牙齒脫落，日後亦須為齒列矯正，對於身為女性而言，所受之精神傷害實無可比擬，且相較於原告，被告二人之經濟狀況為強勢，考量上述情形，原告請求精神慰撫金250,000元。
（六）綜上所陳，被告應連帶賠償原告之損害，包含醫療費用33,112元、牙齒醫療費用172,200元、交通費用52,050元、工作損失171,000元、精神慰撫金250,000元，總計632,712元，並自起訴狀副本送達翌日起至清償日止，按年息5%計算之利息。</t>
  </si>
  <si>
    <t>一、緣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
（五）其他費用損失：14,673元
原告因系爭事故受有其他費用14,637元（含醫療用品費用1,959元、價值9,578元之手錶毀損、安全帽換新費用3,100元）之損害。
（六）系爭機車修繕費用：20,750元
原告（六）系爭機車修繕費用20,750元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
（十）綜上所陳，被告應連帶賠償原告之損害，包含醫療費用121,698元、後續醫美除疤預估費用17,000元、看護費用91,200元、交通費用16,975元、其他費用損失14,673元、系爭機車修繕費用20,750元、不能工作之損失96,000元、精神慰撫金500,000元，總計878,296元，並自起訴狀副本送達翌日起至清償日止，按年息5%計算之利息。</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</si>
  <si>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（一）醫療費用：102,118元
原告於112年2月21日系爭事故發生當日因系爭傷勢前往臺北市立萬芳醫院（下稱萬芳醫院）就診支出20,569元，另於馬偕醫院及耕莘醫院共支出8 萬1,549元，合計102,118元，此有醫療單據為證
（二）看護費用：180,000元
原告查原告經醫師診斷住院期間及出院後1個月需專人照顧，有萬芳醫院診斷書為證，故原告自112年2月21日至同年3月底，112年5月2日至6月5日，共計72天需母親看顧，以一日2,500元計算，請求看護費用一共180,000元
（三）機車修繕費用：6,550元
原告實際所有之系爭機車因本件事故受損而須維修。
（四）工作損失：372,000元
原告事發前就職於刁民酸菜信義店，月薪45,000元，自112年2月21日起至10 月31日止，共計不能工作8月8天，受有不能工作損失372,000元（45000×8＋45000÷30×8），此有在職證明書及工作證明書為證
（五）勞動能力減損：1,732,920元
原告經萬芳醫院鑑定，勞動能力減損8％，每月減少3,600元（45000×8％），自112年11月1日起算至65歲止，共計40 年1月又11日，故受有勞動能力減損共計1,732,920元（3,600元×40年×12月＋3600＋3600×11/30）
（六）慰撫金：1,000,000元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1,000,000元。
（七）綜上所陳，被告應賠償原告之損害，包含醫療費用102,118元、看護費用180,000元、機車修繕費用6,550元、工作損失372,000元、勞動能力減損1,732,920元、慰撫金1,000,000元，總計3,393,588元，並自起訴狀副本送達翌日起至清償日止，按年息5%計算之利息。</t>
  </si>
  <si>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（一）醫療費用及交通費用：44,402元
原告因本次事故受有醫療費用及交通費用44,402元。
（二）工作損失：255,000元
原告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
（三）勞動能力減損：500,000元
又按中國醫藥大學附設醫院（下稱中國附醫）鑑定意見書認定原告永久失能百分比為3%，故原告請求被告等賠償其自111年6月10日起至65歲強制退休即144年3月22日止依前述原告每月合理工作收入係42,500元計算，請求500,000元。
（四）機車及隨身物品損害：22,070元
另查系爭機車因系爭事故受有損害，共支出零件費用10,960元、工資費用6,100元，並因系爭車禍致其所有披肩、外套、長褲、手套、鞋子、置物箱、置物箱架、側包、工具箱、鍋具及咖啡壺等物受損金額共15,150元。
（五）精神慰撫金：500,000元
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
（六）綜上所陳，被告應連帶賠償原告之損害，包含醫療費用及交通費用44,402元、工作損失255,000元、勞動能力減損500,000元、機車及隨身物品損害22,070元、精神慰撫金500,000元，總計1,321,472元，並自起訴狀副本送達翌日起至清償日止，按年息5%計算之利息。</t>
  </si>
  <si>
    <t>一、緣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（一）醫療費用：28,170元
醫療費用28,170元。
（二）手機維修費用：5,450元
手機維修費用5,450元。
（三）安全帽和鞋子損壞費用：3,300元
安全帽和鞋子損壞費用3,300元。
（四）機車維修費用：90,000元
機車維修費用90,000元。
（五）工作損失：90,000元
因無法工作造成的損失90,000元(原告主張需要休養和復健治療3個月)。
（六）精神慰撫金：45,000元
精神慰撫金45,000元。
（七）綜上所陳，被告應賠償原告之損害，包含醫療費用28,170元、手機維修費用5,450元、安全帽和鞋子損壞費用3,300元、機車維修費用90,000元、工作損失90,000元、精神慰撫金45,000元，總計261,920元，並自起訴狀副本送達翌日起至清償日止，按年息5%計算之利息。</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</si>
  <si>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（一）醫療費用：169,857元
原告因本件事故受傷，導致出現憂鬱症等症狀，故原告於106年8月8日起至107年12月13日間至楠梓心寬診所就診，並支出憂鬱症醫療費用共123,857元，因此原告因被告上開侵權行為總共支出醫療費用169,857元
（二）醫療用品及看護費用：119,140元
原告因系爭事故而支出醫療用品費14,340元以及看護費104,800元。
（三）後續醫療費用：170,000元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50,000元整。（二）後續建議謝君至門診進行皮秒雷射治療，療程共12次、96,000元整。」根據上述診斷書，原告請求後續除疤醫療費用146,000元，以及手術後續全日照顧的看護費2週費用24,000元，且此後續費用平均每日看護費尚未超過目前行情的每日2,000元，應屬於合理範圍。
（四）就醫及探親交通費用：2,010元
原告因本件傷勢嚴重，應有搭乘計程車就醫之必要，故請求就醫時搭乘計程車費用1,730元及原告配偶往返醫探親支出的停車費280元。
（五）減少勞動能力損失：468,202元
原告因本次事故導致身體機能受損，減少勞動能力，受有減少勞動能力損失468,202元。
（六）精神慰撫金：800,000元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800,000元。
（九）綜上所陳，被告應賠償原告之損害，包含醫療費用169,857元、醫療用品及看護費用119,140元、後續醫療費用170,000元、就醫及探親交通費用2,010元、減少勞動能力損失468,202元、精神慰撫金800,000元，總計1,729,209元，並自起訴狀副本送達翌日起至清償日止，按年息5%計算之利息。</t>
  </si>
  <si>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（一）醫療費用：15,565元
原告因本次事故受傷就醫，支出醫療費用15,565元。
（二）交通費用：10,670元
原告因本件傷害結果。有相關證明文件可資佐證。
（三）看護費用：180,000元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（四）工作損失：86,001元
原告主張其案發前即於安鈜企業有限公司任職，因本件事故發生於上開3 個月之休養期間無法工作而，致受有3個月無法工作之薪資損失86,001元【計算式：23,649 元×3月＝86,001元】
（五）精神慰撫金：150,000元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
（六）綜上所陳，被告應賠償原告之損害，包含醫療費用15,565元、交通費用10,670元、看護費用180,000元、工作損失86,001元、精神慰撫金150,000元，總計442,236元，並自起訴狀副本送達翌日起至清償日止，按年息5%計算之利息。</t>
  </si>
  <si>
    <t>一、緣原告於民國104年10月7日上午7時30分許騎乘車號000-000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（一）醫療費用：12,982元
原告主張因本件事故受有左肱骨近端粉碎性骨折之傷害，醫療費用共支出12,982元。
（二）薪資損失：150,000元
且原告本於檳榔攤幫女兒顧店，每個月薪資約25,000元，因本件事故受有上開傷害並接受手術治療，需休養1年而無法工作，爰請求以前開半薪計算1年之薪資損失共150,000元。
（三）交通費用：1,680元
另外原告因本件事故受有左肱骨近端粉碎性骨折之傷害，導致無法自行搭乘大眾運輸工具前往就醫，需搭乘計程車往返醫院治療並依醫囑門診追蹤治療，其回診14次，每次來回之車資為120元，共損失車費1,680元。
（四）慰撫金：100,000元
查原告為小學肄業，已57歲，名下有房地1 筆，因本件事故受有左肱骨近端粉碎性骨折之傷害，須經手術整復滿1 年後尚需二次手術拔除內固定之鋼釘，肉體及精神上自受有相當之痛苦，因此請求被告賠償慰撫金100,000元。
（五）綜上所陳，被告應賠償原告之損害，包含醫療費用12,982元、薪資損失150,000元、交通費用1,680元、慰撫金100,000元，總計264,662元，並自起訴狀副本送達翌日起至清償日止，按年息5%計算之利息。</t>
  </si>
  <si>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（一）醫療費用：38,073元
原告主張其因受有上開傷害。
（二）看護費用：9,000元
原告主張因其為00年00月00日出生。
（三）牙齒損害費用：20,000元
如上所述，原告主張車禍後，被告將其臉壓制在地上，致其受有牙齒損害，而需就醫治療共花費20,000元。
（四）精神慰撫金：20,000元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
（五）綜上所陳，被告應賠償原告之損害，包含醫療費用38,073元、看護費用9,000元、牙齒損害費用20,000元、精神慰撫金20,000元，總計87,073元，並自起訴狀副本送達翌日起至清償日止，按年息5%計算之利息。</t>
  </si>
  <si>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（一）醫療費用：60,011元
原告主張因傷送醫住院。
（二）營養品費用：39,208元
又原告經過二場手術治療後有食用營養品之必要。
（三）看護費用：18,000元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（四）工作損失：129,780元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（五）精神慰撫金：160,000元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
（六）綜上所陳，被告應賠償原告之損害，包含醫療費用60,011元、營養品費用39,208元、看護費用18,000元、工作損失129,780元、精神慰撫金160,000元，總計406,999元，並自起訴狀副本送達翌日起至清償日止，按年息5%計算之利息。</t>
  </si>
  <si>
    <t>一、緣被告於民國100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（一）醫療費用：15,729元
原告因本次事故受傷就醫，支出醫療費用15,729元。
（二）增加之生活支出：27,000元
原告因本次事故受有增加之生活支出27,000元。
（三）精神慰撫金：157,271元
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
（四）綜上所陳，被告應賠償原告之損害，包含醫療費用15,729元、增加之生活支出27,000元、精神慰撫金157,271元，總計200,000元，並自起訴狀副本送達翌日起至清償日止，按年息5%計算之利息。</t>
    <phoneticPr fontId="7" type="noConversion"/>
  </si>
  <si>
    <t>RAG+gemma3:27b-Baseline</t>
    <phoneticPr fontId="7" type="noConversion"/>
  </si>
  <si>
    <t>CAG+gemma3:27b</t>
    <phoneticPr fontId="7" type="noConversion"/>
  </si>
  <si>
    <t>原告受傷情形、賠償事實全部都缺失，慰撫金事實少了原告社會地位資訊，比RAG3000筆內容更少</t>
    <phoneticPr fontId="7" type="noConversion"/>
  </si>
  <si>
    <t>在賠償事實敘述裡面出現「4. 機車維修費用、6. 精神慰撫金」名詞前面還有編號的問題；沒有原告受傷情形</t>
    <phoneticPr fontId="7" type="noConversion"/>
  </si>
  <si>
    <t>最後一段的標題編號直接跳到(八)；賠償項目引用「（三）看護費用」前面有標編號；</t>
    <phoneticPr fontId="7" type="noConversion"/>
  </si>
  <si>
    <t>總金額錯誤；工作損失和財物損失的事實內容明顯缺少</t>
    <phoneticPr fontId="7" type="noConversion"/>
  </si>
  <si>
    <t>慰撫金賠償項目沒有獨立的段落，可能因此導致總金額有所落差；沒有詳細寫出原告所受的傷害</t>
    <phoneticPr fontId="7" type="noConversion"/>
  </si>
  <si>
    <t>醫療費用的部分如果事實多一點會更好</t>
    <phoneticPr fontId="7" type="noConversion"/>
  </si>
  <si>
    <t>少了些許原告受傷情形，導致醫療費用的段落沒有多少實質內容</t>
    <phoneticPr fontId="7" type="noConversion"/>
  </si>
  <si>
    <t>沒有完整生成原告受傷情形、慰撫金賠償事實</t>
    <phoneticPr fontId="7" type="noConversion"/>
  </si>
  <si>
    <t>沒有完整生成原告受傷情形；出現1. 醫藥費用</t>
    <phoneticPr fontId="7" type="noConversion"/>
  </si>
  <si>
    <t>段落編號層次的部分怪怪的，只有最後綜上所陳開了(一)</t>
    <phoneticPr fontId="7" type="noConversion"/>
  </si>
  <si>
    <t>兩位原告的受傷情形幾乎都沒有出現；原告吳彩雲的賠償事實除了慰撫金以外都缺少內容</t>
    <phoneticPr fontId="7" type="noConversion"/>
  </si>
  <si>
    <t>沒有完整生成2個原告的受傷情形、慰撫金事實</t>
    <phoneticPr fontId="7" type="noConversion"/>
  </si>
  <si>
    <t>缺少兩個原告的受傷情形</t>
    <phoneticPr fontId="7" type="noConversion"/>
  </si>
  <si>
    <t>醫療費用的事實也敘述原告受傷情形會比較好</t>
    <phoneticPr fontId="7" type="noConversion"/>
  </si>
  <si>
    <t>醫療費用少了診所和診斷的支出事實，交通費用的標題金額也是錯誤</t>
    <phoneticPr fontId="7" type="noConversion"/>
  </si>
  <si>
    <t>明顯少了機車損壞修理費用等賠償項目；沒有原告受傷情形；慰撫金事實也少很多，導致最後的金額落差很多</t>
    <phoneticPr fontId="7" type="noConversion"/>
  </si>
  <si>
    <t>醫療費用請求的事實有原告受傷情形比較好</t>
    <phoneticPr fontId="7" type="noConversion"/>
  </si>
  <si>
    <t>醫療費用跟財物損壞的賠償事實敘述不足</t>
    <phoneticPr fontId="7" type="noConversion"/>
  </si>
  <si>
    <t>適用法條錯誤，不是§188應該是§185才對；包含慰撫金在內的許多賠償事實、以及原告受傷情形沒有生成；因此也連帶造成求償金額落差很大</t>
    <phoneticPr fontId="7" type="noConversion"/>
  </si>
  <si>
    <t>缺少兩位原告受傷情形</t>
    <phoneticPr fontId="7" type="noConversion"/>
  </si>
  <si>
    <t>醫療費用有原告受傷情形比較好；另外金額的部分有些許錯誤</t>
    <phoneticPr fontId="7" type="noConversion"/>
  </si>
  <si>
    <t>醫療費用跟交通費的賠償事實明顯重複生成兩次，其實可以改成生成在同一段看起來會比較自然；因為在事實的部分沒有提及原告的受傷情形，因此在賠償事實寫「前揭傷害」就會對不上資訊</t>
    <phoneticPr fontId="7" type="noConversion"/>
  </si>
  <si>
    <t>醫療費用的賠償事實明顯重複生成了多次，其實可以改成生成在同一段看起來會比較自然；原告陳碧翔是高職畢業，在慰撫金事實卻生成為「原告陳碧翔為某某畢業」</t>
    <phoneticPr fontId="7" type="noConversion"/>
  </si>
  <si>
    <t>生成「（三）原告丁○○之損害(原上列已包含)（四）原告丙○○之損害(原上列已包含)」的不必要段落；在慰撫金段落出現「原告丙○○受有左前臂及左手背挫傷合併擦傷、左膝挫傷合併擦傷疑韌帶挫傷、頭部外傷等傷害之事實，已如前述」，但實際上前面並沒有出現原告丙的受傷情形，因此產生矛盾</t>
    <phoneticPr fontId="7" type="noConversion"/>
  </si>
  <si>
    <t>加護病房及住院費用不用特別提到「未提供細項金額」；尿布及便器等用品費用疑似重複生成計算</t>
    <phoneticPr fontId="7" type="noConversion"/>
  </si>
  <si>
    <t>缺少兩個原告的受傷情形；在莊原告的醫療費用事實，錯誤把工作損失當成醫療費用生成；另外林原告的看護費用沒有生成請求金額，在交通費用更重複錯誤生成</t>
    <phoneticPr fontId="7" type="noConversion"/>
  </si>
  <si>
    <t>缺少原告受傷情形，又在後面慰撫金事實提到「上述嚴重傷害」，形成矛盾</t>
    <phoneticPr fontId="7" type="noConversion"/>
  </si>
  <si>
    <t>少引用§185；在醫療費用事實「系爭傷害」之前並沒有提及原告受什麼傷，形成矛盾</t>
    <phoneticPr fontId="7" type="noConversion"/>
  </si>
  <si>
    <t>在醫療費用事實「系爭傷害」之前並沒有提及原告受什麼傷，形成矛盾</t>
    <phoneticPr fontId="7" type="noConversion"/>
  </si>
  <si>
    <t>金額有些不正確</t>
    <phoneticPr fontId="7" type="noConversion"/>
  </si>
  <si>
    <t>醫療費用僅敘述原告主張其因本件車禍事故受傷，內容明顯不足</t>
    <phoneticPr fontId="7" type="noConversion"/>
  </si>
  <si>
    <t>在醫療費用或車禍事實有原告受傷情形比較好；另外總金額有明顯缺少</t>
    <phoneticPr fontId="7" type="noConversion"/>
  </si>
  <si>
    <t>在醫療費用或車禍事實有原告受傷情形比較好</t>
    <phoneticPr fontId="7" type="noConversion"/>
  </si>
  <si>
    <t>原告受傷情形缺失</t>
    <phoneticPr fontId="7" type="noConversion"/>
  </si>
  <si>
    <t>賠償項目有贅字，原告受傷情形及賠償項目有缺失</t>
    <phoneticPr fontId="7" type="noConversion"/>
  </si>
  <si>
    <t>原告受傷情形及總結金額有缺失</t>
    <phoneticPr fontId="7" type="noConversion"/>
  </si>
  <si>
    <t>除結論應獨立外，皆有達成</t>
    <phoneticPr fontId="7" type="noConversion"/>
  </si>
  <si>
    <t>原告受傷情形、賠償事實皆缺失</t>
    <phoneticPr fontId="7" type="noConversion"/>
  </si>
  <si>
    <t>原告受傷情形缺失、總結金額有誤</t>
    <phoneticPr fontId="7" type="noConversion"/>
  </si>
  <si>
    <t>慰撫金事實有缺漏</t>
    <phoneticPr fontId="7" type="noConversion"/>
  </si>
  <si>
    <t>結論的部分全部都沒有獨立為一個段落</t>
    <phoneticPr fontId="7" type="noConversion"/>
  </si>
  <si>
    <t xml:space="preserve">缺漏法條 
錯誤格式 
亂碼簡字 
事實內容 </t>
  </si>
  <si>
    <t xml:space="preserve">RAG+gemma3:27b-Baseline評分
</t>
    <phoneticPr fontId="3" type="noConversion"/>
  </si>
  <si>
    <t>RAG+gemma3:27b-Baseline註</t>
    <phoneticPr fontId="7" type="noConversion"/>
  </si>
  <si>
    <r>
      <rPr>
        <sz val="10"/>
        <color theme="1"/>
        <rFont val="微軟正黑體"/>
        <family val="2"/>
        <charset val="136"/>
      </rPr>
      <t>一、緣被告於民國</t>
    </r>
    <r>
      <rPr>
        <sz val="10"/>
        <color theme="1"/>
        <rFont val="Arial"/>
        <family val="2"/>
      </rPr>
      <t>105</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12</t>
    </r>
    <r>
      <rPr>
        <sz val="10"/>
        <color theme="1"/>
        <rFont val="微軟正黑體"/>
        <family val="2"/>
        <charset val="136"/>
      </rPr>
      <t>日</t>
    </r>
    <r>
      <rPr>
        <sz val="10"/>
        <color theme="1"/>
        <rFont val="Arial"/>
        <family val="2"/>
      </rPr>
      <t>13</t>
    </r>
    <r>
      <rPr>
        <sz val="10"/>
        <color theme="1"/>
        <rFont val="微軟正黑體"/>
        <family val="2"/>
        <charset val="136"/>
      </rPr>
      <t>時</t>
    </r>
    <r>
      <rPr>
        <sz val="10"/>
        <color theme="1"/>
        <rFont val="Arial"/>
        <family val="2"/>
      </rPr>
      <t>27</t>
    </r>
    <r>
      <rPr>
        <sz val="10"/>
        <color theme="1"/>
        <rFont val="微軟正黑體"/>
        <family val="2"/>
        <charset val="136"/>
      </rPr>
      <t>分許，駕駛租賃小客車沿新北市</t>
    </r>
    <r>
      <rPr>
        <sz val="10"/>
        <color theme="1"/>
        <rFont val="Segoe UI Symbol"/>
        <family val="2"/>
      </rPr>
      <t>○○</t>
    </r>
    <r>
      <rPr>
        <sz val="10"/>
        <color theme="1"/>
        <rFont val="微軟正黑體"/>
        <family val="2"/>
        <charset val="136"/>
      </rPr>
      <t>區</t>
    </r>
    <r>
      <rPr>
        <sz val="10"/>
        <color theme="1"/>
        <rFont val="Segoe UI Symbol"/>
        <family val="2"/>
      </rPr>
      <t>○○</t>
    </r>
    <r>
      <rPr>
        <sz val="10"/>
        <color theme="1"/>
        <rFont val="微軟正黑體"/>
        <family val="2"/>
        <charset val="136"/>
      </rPr>
      <t>路往富國路方向行駛，行經福營路</t>
    </r>
    <r>
      <rPr>
        <sz val="10"/>
        <color theme="1"/>
        <rFont val="Arial"/>
        <family val="2"/>
      </rPr>
      <t>342</t>
    </r>
    <r>
      <rPr>
        <sz val="10"/>
        <color theme="1"/>
        <rFont val="微軟正黑體"/>
        <family val="2"/>
        <charset val="136"/>
      </rPr>
      <t>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t>
    </r>
    <r>
      <rPr>
        <sz val="10"/>
        <color theme="1"/>
        <rFont val="Arial"/>
        <family val="2"/>
      </rPr>
      <t>184</t>
    </r>
    <r>
      <rPr>
        <sz val="10"/>
        <color theme="1"/>
        <rFont val="微軟正黑體"/>
        <family val="2"/>
        <charset val="136"/>
      </rPr>
      <t>條第</t>
    </r>
    <r>
      <rPr>
        <sz val="10"/>
        <color theme="1"/>
        <rFont val="Arial"/>
        <family val="2"/>
      </rPr>
      <t>1</t>
    </r>
    <r>
      <rPr>
        <sz val="10"/>
        <color theme="1"/>
        <rFont val="微軟正黑體"/>
        <family val="2"/>
        <charset val="136"/>
      </rPr>
      <t>項前段、第</t>
    </r>
    <r>
      <rPr>
        <sz val="10"/>
        <color theme="1"/>
        <rFont val="Arial"/>
        <family val="2"/>
      </rPr>
      <t>191</t>
    </r>
    <r>
      <rPr>
        <sz val="10"/>
        <color theme="1"/>
        <rFont val="微軟正黑體"/>
        <family val="2"/>
        <charset val="136"/>
      </rPr>
      <t>條之</t>
    </r>
    <r>
      <rPr>
        <sz val="10"/>
        <color theme="1"/>
        <rFont val="Arial"/>
        <family val="2"/>
      </rPr>
      <t>2</t>
    </r>
    <r>
      <rPr>
        <sz val="10"/>
        <color theme="1"/>
        <rFont val="微軟正黑體"/>
        <family val="2"/>
        <charset val="136"/>
      </rPr>
      <t>、第</t>
    </r>
    <r>
      <rPr>
        <sz val="10"/>
        <color theme="1"/>
        <rFont val="Arial"/>
        <family val="2"/>
      </rPr>
      <t>193</t>
    </r>
    <r>
      <rPr>
        <sz val="10"/>
        <color theme="1"/>
        <rFont val="微軟正黑體"/>
        <family val="2"/>
        <charset val="136"/>
      </rPr>
      <t>條第</t>
    </r>
    <r>
      <rPr>
        <sz val="10"/>
        <color theme="1"/>
        <rFont val="Arial"/>
        <family val="2"/>
      </rPr>
      <t>1</t>
    </r>
    <r>
      <rPr>
        <sz val="10"/>
        <color theme="1"/>
        <rFont val="微軟正黑體"/>
        <family val="2"/>
        <charset val="136"/>
      </rPr>
      <t>項、第</t>
    </r>
    <r>
      <rPr>
        <sz val="10"/>
        <color theme="1"/>
        <rFont val="Arial"/>
        <family val="2"/>
      </rPr>
      <t>195</t>
    </r>
    <r>
      <rPr>
        <sz val="10"/>
        <color theme="1"/>
        <rFont val="微軟正黑體"/>
        <family val="2"/>
        <charset val="136"/>
      </rPr>
      <t>條第</t>
    </r>
    <r>
      <rPr>
        <sz val="10"/>
        <color theme="1"/>
        <rFont val="Arial"/>
        <family val="2"/>
      </rPr>
      <t>1</t>
    </r>
    <r>
      <rPr>
        <sz val="10"/>
        <color theme="1"/>
        <rFont val="微軟正黑體"/>
        <family val="2"/>
        <charset val="136"/>
      </rPr>
      <t>項前段分別定有明文。查被告因上開侵權行為，致原告受有下列損害，依前揭規定，被告應負損害賠償責任：
（一）醫療復健費用：</t>
    </r>
    <r>
      <rPr>
        <sz val="10"/>
        <color theme="1"/>
        <rFont val="Arial"/>
        <family val="2"/>
      </rPr>
      <t>190</t>
    </r>
    <r>
      <rPr>
        <sz val="10"/>
        <color theme="1"/>
        <rFont val="微軟正黑體"/>
        <family val="2"/>
        <charset val="136"/>
      </rPr>
      <t>元
原告因本次事故受有左膝挫傷、半月軟骨受傷等傷害，為治療上開傷勢而就醫，支出醫療復健費用</t>
    </r>
    <r>
      <rPr>
        <sz val="10"/>
        <color theme="1"/>
        <rFont val="Arial"/>
        <family val="2"/>
      </rPr>
      <t>190</t>
    </r>
    <r>
      <rPr>
        <sz val="10"/>
        <color theme="1"/>
        <rFont val="微軟正黑體"/>
        <family val="2"/>
        <charset val="136"/>
      </rPr>
      <t>元。
（二）車輛修復費用：</t>
    </r>
    <r>
      <rPr>
        <sz val="10"/>
        <color theme="1"/>
        <rFont val="Arial"/>
        <family val="2"/>
      </rPr>
      <t>181,144</t>
    </r>
    <r>
      <rPr>
        <sz val="10"/>
        <color theme="1"/>
        <rFont val="微軟正黑體"/>
        <family val="2"/>
        <charset val="136"/>
      </rPr>
      <t>元
原告因本次事故導致所駕駛之車輛受損，修復費用包括工資費用</t>
    </r>
    <r>
      <rPr>
        <sz val="10"/>
        <color theme="1"/>
        <rFont val="Arial"/>
        <family val="2"/>
      </rPr>
      <t>88,774</t>
    </r>
    <r>
      <rPr>
        <sz val="10"/>
        <color theme="1"/>
        <rFont val="微軟正黑體"/>
        <family val="2"/>
        <charset val="136"/>
      </rPr>
      <t>元和零件費用</t>
    </r>
    <r>
      <rPr>
        <sz val="10"/>
        <color theme="1"/>
        <rFont val="Arial"/>
        <family val="2"/>
      </rPr>
      <t>92,370</t>
    </r>
    <r>
      <rPr>
        <sz val="10"/>
        <color theme="1"/>
        <rFont val="微軟正黑體"/>
        <family val="2"/>
        <charset val="136"/>
      </rPr>
      <t>元，共計</t>
    </r>
    <r>
      <rPr>
        <sz val="10"/>
        <color theme="1"/>
        <rFont val="Arial"/>
        <family val="2"/>
      </rPr>
      <t>181,144</t>
    </r>
    <r>
      <rPr>
        <sz val="10"/>
        <color theme="1"/>
        <rFont val="微軟正黑體"/>
        <family val="2"/>
        <charset val="136"/>
      </rPr>
      <t>元。
（三）交通費用：</t>
    </r>
    <r>
      <rPr>
        <sz val="10"/>
        <color theme="1"/>
        <rFont val="Arial"/>
        <family val="2"/>
      </rPr>
      <t>4,500</t>
    </r>
    <r>
      <rPr>
        <sz val="10"/>
        <color theme="1"/>
        <rFont val="微軟正黑體"/>
        <family val="2"/>
        <charset val="136"/>
      </rPr>
      <t>元
原告因傷不良於行，上下班須搭乘計程車，支出交通費用</t>
    </r>
    <r>
      <rPr>
        <sz val="10"/>
        <color theme="1"/>
        <rFont val="Arial"/>
        <family val="2"/>
      </rPr>
      <t>4,500</t>
    </r>
    <r>
      <rPr>
        <sz val="10"/>
        <color theme="1"/>
        <rFont val="微軟正黑體"/>
        <family val="2"/>
        <charset val="136"/>
      </rPr>
      <t>元。
（四）休養期間工作收入損失：</t>
    </r>
    <r>
      <rPr>
        <sz val="10"/>
        <color theme="1"/>
        <rFont val="Arial"/>
        <family val="2"/>
      </rPr>
      <t>33,000</t>
    </r>
    <r>
      <rPr>
        <sz val="10"/>
        <color theme="1"/>
        <rFont val="微軟正黑體"/>
        <family val="2"/>
        <charset val="136"/>
      </rPr>
      <t>元
原告因本次車禍受傷，依醫囑需休養</t>
    </r>
    <r>
      <rPr>
        <sz val="10"/>
        <color theme="1"/>
        <rFont val="Arial"/>
        <family val="2"/>
      </rPr>
      <t>1</t>
    </r>
    <r>
      <rPr>
        <sz val="10"/>
        <color theme="1"/>
        <rFont val="微軟正黑體"/>
        <family val="2"/>
        <charset val="136"/>
      </rPr>
      <t>個月，無法工作，造成工作收入損失</t>
    </r>
    <r>
      <rPr>
        <sz val="10"/>
        <color theme="1"/>
        <rFont val="Arial"/>
        <family val="2"/>
      </rPr>
      <t>33,000</t>
    </r>
    <r>
      <rPr>
        <sz val="10"/>
        <color theme="1"/>
        <rFont val="微軟正黑體"/>
        <family val="2"/>
        <charset val="136"/>
      </rPr>
      <t>元。
（五）慰撫金：</t>
    </r>
    <r>
      <rPr>
        <sz val="10"/>
        <color theme="1"/>
        <rFont val="Arial"/>
        <family val="2"/>
      </rPr>
      <t>99,000</t>
    </r>
    <r>
      <rPr>
        <sz val="10"/>
        <color theme="1"/>
        <rFont val="微軟正黑體"/>
        <family val="2"/>
        <charset val="136"/>
      </rPr>
      <t>元
原告因本次車禍造成身體傷害，不僅造成身體上的痛苦，更因傷勢影響日常生活及工作，承受巨大精神壓力，爰向被告請求慰撫金</t>
    </r>
    <r>
      <rPr>
        <sz val="10"/>
        <color theme="1"/>
        <rFont val="Arial"/>
        <family val="2"/>
      </rPr>
      <t>99,000</t>
    </r>
    <r>
      <rPr>
        <sz val="10"/>
        <color theme="1"/>
        <rFont val="微軟正黑體"/>
        <family val="2"/>
        <charset val="136"/>
      </rPr>
      <t>元。
（六）綜上所陳，被告應賠償原告之損害，包含醫療復健費用</t>
    </r>
    <r>
      <rPr>
        <sz val="10"/>
        <color theme="1"/>
        <rFont val="Arial"/>
        <family val="2"/>
      </rPr>
      <t>190</t>
    </r>
    <r>
      <rPr>
        <sz val="10"/>
        <color theme="1"/>
        <rFont val="微軟正黑體"/>
        <family val="2"/>
        <charset val="136"/>
      </rPr>
      <t>元、車輛修復費用</t>
    </r>
    <r>
      <rPr>
        <sz val="10"/>
        <color theme="1"/>
        <rFont val="Arial"/>
        <family val="2"/>
      </rPr>
      <t>181,144</t>
    </r>
    <r>
      <rPr>
        <sz val="10"/>
        <color theme="1"/>
        <rFont val="微軟正黑體"/>
        <family val="2"/>
        <charset val="136"/>
      </rPr>
      <t>元、交通費用</t>
    </r>
    <r>
      <rPr>
        <sz val="10"/>
        <color theme="1"/>
        <rFont val="Arial"/>
        <family val="2"/>
      </rPr>
      <t>4,500</t>
    </r>
    <r>
      <rPr>
        <sz val="10"/>
        <color theme="1"/>
        <rFont val="微軟正黑體"/>
        <family val="2"/>
        <charset val="136"/>
      </rPr>
      <t>元、休養期間工作收入損失</t>
    </r>
    <r>
      <rPr>
        <sz val="10"/>
        <color theme="1"/>
        <rFont val="Arial"/>
        <family val="2"/>
      </rPr>
      <t>33,000</t>
    </r>
    <r>
      <rPr>
        <sz val="10"/>
        <color theme="1"/>
        <rFont val="微軟正黑體"/>
        <family val="2"/>
        <charset val="136"/>
      </rPr>
      <t>元及慰撫金</t>
    </r>
    <r>
      <rPr>
        <sz val="10"/>
        <color theme="1"/>
        <rFont val="Arial"/>
        <family val="2"/>
      </rPr>
      <t>99,000</t>
    </r>
    <r>
      <rPr>
        <sz val="10"/>
        <color theme="1"/>
        <rFont val="微軟正黑體"/>
        <family val="2"/>
        <charset val="136"/>
      </rPr>
      <t>元，總計</t>
    </r>
    <r>
      <rPr>
        <sz val="10"/>
        <color theme="1"/>
        <rFont val="Arial"/>
        <family val="2"/>
      </rPr>
      <t>317,834</t>
    </r>
    <r>
      <rPr>
        <sz val="10"/>
        <color theme="1"/>
        <rFont val="微軟正黑體"/>
        <family val="2"/>
        <charset val="136"/>
      </rPr>
      <t>元，並自起訴狀繕本送達翌日起至清償日止，按年息</t>
    </r>
    <r>
      <rPr>
        <sz val="10"/>
        <color theme="1"/>
        <rFont val="Arial"/>
        <family val="2"/>
      </rPr>
      <t>5%</t>
    </r>
    <r>
      <rPr>
        <sz val="10"/>
        <color theme="1"/>
        <rFont val="微軟正黑體"/>
        <family val="2"/>
        <charset val="136"/>
      </rPr>
      <t>計算之利息。</t>
    </r>
    <phoneticPr fontId="3" type="noConversion"/>
  </si>
  <si>
    <t>類別</t>
  </si>
  <si>
    <t>單純原被告各一</t>
  </si>
  <si>
    <t>數名原告</t>
  </si>
  <si>
    <t>數名被告</t>
  </si>
  <si>
    <t>原被告皆數名</t>
  </si>
  <si>
    <t>§187未成年案型</t>
  </si>
  <si>
    <t>§188僱用人案型</t>
  </si>
  <si>
    <t>§190動物案型</t>
  </si>
  <si>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被告於民國</t>
    </r>
    <r>
      <rPr>
        <sz val="10"/>
        <color theme="1"/>
        <rFont val="Arial"/>
        <family val="2"/>
      </rPr>
      <t>000</t>
    </r>
    <r>
      <rPr>
        <sz val="10"/>
        <color theme="1"/>
        <rFont val="微軟正黑體"/>
        <family val="2"/>
        <charset val="136"/>
      </rPr>
      <t>年</t>
    </r>
    <r>
      <rPr>
        <sz val="10"/>
        <color theme="1"/>
        <rFont val="Arial"/>
        <family val="2"/>
      </rPr>
      <t>0</t>
    </r>
    <r>
      <rPr>
        <sz val="10"/>
        <color theme="1"/>
        <rFont val="微軟正黑體"/>
        <family val="2"/>
        <charset val="136"/>
      </rPr>
      <t>月</t>
    </r>
    <r>
      <rPr>
        <sz val="10"/>
        <color theme="1"/>
        <rFont val="Arial"/>
        <family val="2"/>
      </rPr>
      <t>0</t>
    </r>
    <r>
      <rPr>
        <sz val="10"/>
        <color theme="1"/>
        <rFont val="微軟正黑體"/>
        <family val="2"/>
        <charset val="136"/>
      </rPr>
      <t>日下午</t>
    </r>
    <r>
      <rPr>
        <sz val="10"/>
        <color theme="1"/>
        <rFont val="Arial"/>
        <family val="2"/>
      </rPr>
      <t>18</t>
    </r>
    <r>
      <rPr>
        <sz val="10"/>
        <color theme="1"/>
        <rFont val="微軟正黑體"/>
        <family val="2"/>
        <charset val="136"/>
      </rPr>
      <t>時</t>
    </r>
    <r>
      <rPr>
        <sz val="10"/>
        <color theme="1"/>
        <rFont val="Arial"/>
        <family val="2"/>
      </rPr>
      <t>14</t>
    </r>
    <r>
      <rPr>
        <sz val="10"/>
        <color theme="1"/>
        <rFont val="微軟正黑體"/>
        <family val="2"/>
        <charset val="136"/>
      </rPr>
      <t>分許，駕駛車號</t>
    </r>
    <r>
      <rPr>
        <sz val="10"/>
        <color theme="1"/>
        <rFont val="Arial"/>
        <family val="2"/>
      </rPr>
      <t>000-0000</t>
    </r>
    <r>
      <rPr>
        <sz val="10"/>
        <color theme="1"/>
        <rFont val="微軟正黑體"/>
        <family val="2"/>
        <charset val="136"/>
      </rPr>
      <t>自用小客車，沿新北市淡水區淡金路往臺北方向行駛，行至該路段欲右轉進入中正東路一段時，應注意轉彎車應禮讓直行車先行，竟未注意即貿然右轉，當時訴外人葉銘倫正騎乘車號</t>
    </r>
    <r>
      <rPr>
        <sz val="10"/>
        <color theme="1"/>
        <rFont val="Arial"/>
        <family val="2"/>
      </rPr>
      <t>000-0000</t>
    </r>
    <r>
      <rPr>
        <sz val="10"/>
        <color theme="1"/>
        <rFont val="微軟正黑體"/>
        <family val="2"/>
        <charset val="136"/>
      </rPr>
      <t>普通重型機車搭載原告，同向行駛在被告車輛之右側，因閃避不及遭被告所駕之自用小客車碰撞而人車倒地。另外，被告之行為涉及過失傷害，經臺灣士林地方法院</t>
    </r>
    <r>
      <rPr>
        <sz val="10"/>
        <color theme="1"/>
        <rFont val="Arial"/>
        <family val="2"/>
      </rPr>
      <t>112</t>
    </r>
    <r>
      <rPr>
        <sz val="10"/>
        <color theme="1"/>
        <rFont val="微軟正黑體"/>
        <family val="2"/>
        <charset val="136"/>
      </rPr>
      <t>年度交易字第</t>
    </r>
    <r>
      <rPr>
        <sz val="10"/>
        <color theme="1"/>
        <rFont val="Arial"/>
        <family val="2"/>
      </rPr>
      <t>44</t>
    </r>
    <r>
      <rPr>
        <sz val="10"/>
        <color theme="1"/>
        <rFont val="微軟正黑體"/>
        <family val="2"/>
        <charset val="136"/>
      </rPr>
      <t>號刑事判處拘役</t>
    </r>
    <r>
      <rPr>
        <sz val="10"/>
        <color theme="1"/>
        <rFont val="Arial"/>
        <family val="2"/>
      </rPr>
      <t>50</t>
    </r>
    <r>
      <rPr>
        <sz val="10"/>
        <color theme="1"/>
        <rFont val="微軟正黑體"/>
        <family val="2"/>
        <charset val="136"/>
      </rPr>
      <t>日，上訴後，經鈞院刑事庭</t>
    </r>
    <r>
      <rPr>
        <sz val="10"/>
        <color theme="1"/>
        <rFont val="Arial"/>
        <family val="2"/>
      </rPr>
      <t>112</t>
    </r>
    <r>
      <rPr>
        <sz val="10"/>
        <color theme="1"/>
        <rFont val="微軟正黑體"/>
        <family val="2"/>
        <charset val="136"/>
      </rPr>
      <t>年度交上易字第</t>
    </r>
    <r>
      <rPr>
        <sz val="10"/>
        <color theme="1"/>
        <rFont val="Arial"/>
        <family val="2"/>
      </rPr>
      <t>199</t>
    </r>
    <r>
      <rPr>
        <sz val="10"/>
        <color theme="1"/>
        <rFont val="微軟正黑體"/>
        <family val="2"/>
        <charset val="136"/>
      </rPr>
      <t>號判決上訴駁回確定，可證明被告確實有過失。
二、原告受傷情形</t>
    </r>
    <r>
      <rPr>
        <sz val="10"/>
        <color theme="1"/>
        <rFont val="Arial"/>
        <family val="2"/>
      </rPr>
      <t xml:space="preserve">:
</t>
    </r>
    <r>
      <rPr>
        <sz val="10"/>
        <color theme="1"/>
        <rFont val="微軟正黑體"/>
        <family val="2"/>
        <charset val="136"/>
      </rPr>
      <t>原告因本件車禍事故受有左肩、左前臂、左手擦傷、左踝擦挫傷等傷害。
三、請求賠償的事實根據</t>
    </r>
    <r>
      <rPr>
        <sz val="10"/>
        <color theme="1"/>
        <rFont val="Arial"/>
        <family val="2"/>
      </rPr>
      <t xml:space="preserve">:
</t>
    </r>
    <r>
      <rPr>
        <sz val="10"/>
        <color theme="1"/>
        <rFont val="微軟正黑體"/>
        <family val="2"/>
        <charset val="136"/>
      </rPr>
      <t>原告主張因本件車禍受傷至淡水馬偕紀念醫院、祐民聯合診所就醫，支出醫療費用</t>
    </r>
    <r>
      <rPr>
        <sz val="10"/>
        <color theme="1"/>
        <rFont val="Arial"/>
        <family val="2"/>
      </rPr>
      <t>5</t>
    </r>
    <r>
      <rPr>
        <sz val="10"/>
        <color theme="1"/>
        <rFont val="微軟正黑體"/>
        <family val="2"/>
        <charset val="136"/>
      </rPr>
      <t>萬</t>
    </r>
    <r>
      <rPr>
        <sz val="10"/>
        <color theme="1"/>
        <rFont val="Arial"/>
        <family val="2"/>
      </rPr>
      <t>4,741</t>
    </r>
    <r>
      <rPr>
        <sz val="10"/>
        <color theme="1"/>
        <rFont val="微軟正黑體"/>
        <family val="2"/>
        <charset val="136"/>
      </rPr>
      <t>元，並且在</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27</t>
    </r>
    <r>
      <rPr>
        <sz val="10"/>
        <color theme="1"/>
        <rFont val="微軟正黑體"/>
        <family val="2"/>
        <charset val="136"/>
      </rPr>
      <t>日購買藥品支出</t>
    </r>
    <r>
      <rPr>
        <sz val="10"/>
        <color theme="1"/>
        <rFont val="Arial"/>
        <family val="2"/>
      </rPr>
      <t>1,890</t>
    </r>
    <r>
      <rPr>
        <sz val="10"/>
        <color theme="1"/>
        <rFont val="微軟正黑體"/>
        <family val="2"/>
        <charset val="136"/>
      </rPr>
      <t>元，以上有淡水馬偕紀念醫院醫療費用收據、祐民聯合診所醫療費用收據可以證明，而後至</t>
    </r>
    <r>
      <rPr>
        <sz val="10"/>
        <color theme="1"/>
        <rFont val="Arial"/>
        <family val="2"/>
      </rPr>
      <t>112</t>
    </r>
    <r>
      <rPr>
        <sz val="10"/>
        <color theme="1"/>
        <rFont val="微軟正黑體"/>
        <family val="2"/>
        <charset val="136"/>
      </rPr>
      <t>年仍需要雷射除疤、中醫調養門診、來往醫院交通費用、自費醫材等預估醫療費用</t>
    </r>
    <r>
      <rPr>
        <sz val="10"/>
        <color theme="1"/>
        <rFont val="Arial"/>
        <family val="2"/>
      </rPr>
      <t>18</t>
    </r>
    <r>
      <rPr>
        <sz val="10"/>
        <color theme="1"/>
        <rFont val="微軟正黑體"/>
        <family val="2"/>
        <charset val="136"/>
      </rPr>
      <t>萬元，並且有</t>
    </r>
    <r>
      <rPr>
        <sz val="10"/>
        <color theme="1"/>
        <rFont val="Arial"/>
        <family val="2"/>
      </rPr>
      <t>113</t>
    </r>
    <r>
      <rPr>
        <sz val="10"/>
        <color theme="1"/>
        <rFont val="微軟正黑體"/>
        <family val="2"/>
        <charset val="136"/>
      </rPr>
      <t>年</t>
    </r>
    <r>
      <rPr>
        <sz val="10"/>
        <color theme="1"/>
        <rFont val="Arial"/>
        <family val="2"/>
      </rPr>
      <t>3</t>
    </r>
    <r>
      <rPr>
        <sz val="10"/>
        <color theme="1"/>
        <rFont val="微軟正黑體"/>
        <family val="2"/>
        <charset val="136"/>
      </rPr>
      <t>月</t>
    </r>
    <r>
      <rPr>
        <sz val="10"/>
        <color theme="1"/>
        <rFont val="Arial"/>
        <family val="2"/>
      </rPr>
      <t>29</t>
    </r>
    <r>
      <rPr>
        <sz val="10"/>
        <color theme="1"/>
        <rFont val="微軟正黑體"/>
        <family val="2"/>
        <charset val="136"/>
      </rPr>
      <t>日美仕媞時尚醫美診所</t>
    </r>
    <r>
      <rPr>
        <sz val="10"/>
        <color theme="1"/>
        <rFont val="Arial"/>
        <family val="2"/>
      </rPr>
      <t>1</t>
    </r>
    <r>
      <rPr>
        <sz val="10"/>
        <color theme="1"/>
        <rFont val="微軟正黑體"/>
        <family val="2"/>
        <charset val="136"/>
      </rPr>
      <t>萬</t>
    </r>
    <r>
      <rPr>
        <sz val="10"/>
        <color theme="1"/>
        <rFont val="Arial"/>
        <family val="2"/>
      </rPr>
      <t>8,444</t>
    </r>
    <r>
      <rPr>
        <sz val="10"/>
        <color theme="1"/>
        <rFont val="微軟正黑體"/>
        <family val="2"/>
        <charset val="136"/>
      </rPr>
      <t>元醫療收據可以證明原告後續預估的醫療費用有後續治療之必要及實際支出。
原告主張因受到系爭傷害，馬偕紀念醫院乙種診斷證明書上記載「患者甲</t>
    </r>
    <r>
      <rPr>
        <sz val="10"/>
        <color theme="1"/>
        <rFont val="Segoe UI Symbol"/>
        <family val="2"/>
      </rPr>
      <t>○○</t>
    </r>
    <r>
      <rPr>
        <sz val="10"/>
        <color theme="1"/>
        <rFont val="微軟正黑體"/>
        <family val="2"/>
        <charset val="136"/>
      </rPr>
      <t>於本院民國</t>
    </r>
    <r>
      <rPr>
        <sz val="10"/>
        <color theme="1"/>
        <rFont val="Arial"/>
        <family val="2"/>
      </rPr>
      <t>111</t>
    </r>
    <r>
      <rPr>
        <sz val="10"/>
        <color theme="1"/>
        <rFont val="微軟正黑體"/>
        <family val="2"/>
        <charset val="136"/>
      </rPr>
      <t>年</t>
    </r>
    <r>
      <rPr>
        <sz val="10"/>
        <color theme="1"/>
        <rFont val="Arial"/>
        <family val="2"/>
      </rPr>
      <t>8</t>
    </r>
    <r>
      <rPr>
        <sz val="10"/>
        <color theme="1"/>
        <rFont val="微軟正黑體"/>
        <family val="2"/>
        <charset val="136"/>
      </rPr>
      <t>月</t>
    </r>
    <r>
      <rPr>
        <sz val="10"/>
        <color theme="1"/>
        <rFont val="Arial"/>
        <family val="2"/>
      </rPr>
      <t>7</t>
    </r>
    <r>
      <rPr>
        <sz val="10"/>
        <color theme="1"/>
        <rFont val="微軟正黑體"/>
        <family val="2"/>
        <charset val="136"/>
      </rPr>
      <t>日急診診</t>
    </r>
    <r>
      <rPr>
        <sz val="10"/>
        <color theme="1"/>
        <rFont val="Arial"/>
        <family val="2"/>
      </rPr>
      <t>1</t>
    </r>
    <r>
      <rPr>
        <sz val="10"/>
        <color theme="1"/>
        <rFont val="微軟正黑體"/>
        <family val="2"/>
        <charset val="136"/>
      </rPr>
      <t>次…因患者甲</t>
    </r>
    <r>
      <rPr>
        <sz val="10"/>
        <color theme="1"/>
        <rFont val="Segoe UI Symbol"/>
        <family val="2"/>
      </rPr>
      <t>○○</t>
    </r>
    <r>
      <rPr>
        <sz val="10"/>
        <color theme="1"/>
        <rFont val="微軟正黑體"/>
        <family val="2"/>
        <charset val="136"/>
      </rPr>
      <t>左側足踝慢性傷口遲未癒合，為進一步治療，於本院自民國</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7</t>
    </r>
    <r>
      <rPr>
        <sz val="10"/>
        <color theme="1"/>
        <rFont val="微軟正黑體"/>
        <family val="2"/>
        <charset val="136"/>
      </rPr>
      <t>日入院，於民國</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8</t>
    </r>
    <r>
      <rPr>
        <sz val="10"/>
        <color theme="1"/>
        <rFont val="微軟正黑體"/>
        <family val="2"/>
        <charset val="136"/>
      </rPr>
      <t>日接受清創及人工真皮植皮手術，術後使用負壓照護系統。需專人照護一個月。」，因此原告因本件事故自</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7</t>
    </r>
    <r>
      <rPr>
        <sz val="10"/>
        <color theme="1"/>
        <rFont val="微軟正黑體"/>
        <family val="2"/>
        <charset val="136"/>
      </rPr>
      <t>日至</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13</t>
    </r>
    <r>
      <rPr>
        <sz val="10"/>
        <color theme="1"/>
        <rFont val="微軟正黑體"/>
        <family val="2"/>
        <charset val="136"/>
      </rPr>
      <t>日共</t>
    </r>
    <r>
      <rPr>
        <sz val="10"/>
        <color theme="1"/>
        <rFont val="Arial"/>
        <family val="2"/>
      </rPr>
      <t>7</t>
    </r>
    <r>
      <rPr>
        <sz val="10"/>
        <color theme="1"/>
        <rFont val="微軟正黑體"/>
        <family val="2"/>
        <charset val="136"/>
      </rPr>
      <t>日住院治療，出院後需專人照護一個月，於</t>
    </r>
    <r>
      <rPr>
        <sz val="10"/>
        <color theme="1"/>
        <rFont val="Arial"/>
        <family val="2"/>
      </rPr>
      <t>111</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13</t>
    </r>
    <r>
      <rPr>
        <sz val="10"/>
        <color theme="1"/>
        <rFont val="微軟正黑體"/>
        <family val="2"/>
        <charset val="136"/>
      </rPr>
      <t>日至</t>
    </r>
    <r>
      <rPr>
        <sz val="10"/>
        <color theme="1"/>
        <rFont val="Arial"/>
        <family val="2"/>
      </rPr>
      <t>111</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13</t>
    </r>
    <r>
      <rPr>
        <sz val="10"/>
        <color theme="1"/>
        <rFont val="微軟正黑體"/>
        <family val="2"/>
        <charset val="136"/>
      </rPr>
      <t>日期間，以一般醫院全日看護之收費行情為</t>
    </r>
    <r>
      <rPr>
        <sz val="10"/>
        <color theme="1"/>
        <rFont val="Arial"/>
        <family val="2"/>
      </rPr>
      <t>2,000</t>
    </r>
    <r>
      <rPr>
        <sz val="10"/>
        <color theme="1"/>
        <rFont val="微軟正黑體"/>
        <family val="2"/>
        <charset val="136"/>
      </rPr>
      <t>元以上計算，一共支出看護費用</t>
    </r>
    <r>
      <rPr>
        <sz val="10"/>
        <color theme="1"/>
        <rFont val="Arial"/>
        <family val="2"/>
      </rPr>
      <t>7</t>
    </r>
    <r>
      <rPr>
        <sz val="10"/>
        <color theme="1"/>
        <rFont val="微軟正黑體"/>
        <family val="2"/>
        <charset val="136"/>
      </rPr>
      <t>萬</t>
    </r>
    <r>
      <rPr>
        <sz val="10"/>
        <color theme="1"/>
        <rFont val="Arial"/>
        <family val="2"/>
      </rPr>
      <t>4,000</t>
    </r>
    <r>
      <rPr>
        <sz val="10"/>
        <color theme="1"/>
        <rFont val="微軟正黑體"/>
        <family val="2"/>
        <charset val="136"/>
      </rPr>
      <t>元（即每日</t>
    </r>
    <r>
      <rPr>
        <sz val="10"/>
        <color theme="1"/>
        <rFont val="Arial"/>
        <family val="2"/>
      </rPr>
      <t>2,000</t>
    </r>
    <r>
      <rPr>
        <sz val="10"/>
        <color theme="1"/>
        <rFont val="微軟正黑體"/>
        <family val="2"/>
        <charset val="136"/>
      </rPr>
      <t>元×</t>
    </r>
    <r>
      <rPr>
        <sz val="10"/>
        <color theme="1"/>
        <rFont val="Arial"/>
        <family val="2"/>
      </rPr>
      <t>37</t>
    </r>
    <r>
      <rPr>
        <sz val="10"/>
        <color theme="1"/>
        <rFont val="微軟正黑體"/>
        <family val="2"/>
        <charset val="136"/>
      </rPr>
      <t>日＝</t>
    </r>
    <r>
      <rPr>
        <sz val="10"/>
        <color theme="1"/>
        <rFont val="Arial"/>
        <family val="2"/>
      </rPr>
      <t>7</t>
    </r>
    <r>
      <rPr>
        <sz val="10"/>
        <color theme="1"/>
        <rFont val="微軟正黑體"/>
        <family val="2"/>
        <charset val="136"/>
      </rPr>
      <t>萬</t>
    </r>
    <r>
      <rPr>
        <sz val="10"/>
        <color theme="1"/>
        <rFont val="Arial"/>
        <family val="2"/>
      </rPr>
      <t>4,000</t>
    </r>
    <r>
      <rPr>
        <sz val="10"/>
        <color theme="1"/>
        <rFont val="微軟正黑體"/>
        <family val="2"/>
        <charset val="136"/>
      </rPr>
      <t>元）。
原告主張本件事故發生前原告受僱康舒科技股份有限公司，每個月月薪</t>
    </r>
    <r>
      <rPr>
        <sz val="10"/>
        <color theme="1"/>
        <rFont val="Arial"/>
        <family val="2"/>
      </rPr>
      <t>7</t>
    </r>
    <r>
      <rPr>
        <sz val="10"/>
        <color theme="1"/>
        <rFont val="微軟正黑體"/>
        <family val="2"/>
        <charset val="136"/>
      </rPr>
      <t>萬</t>
    </r>
    <r>
      <rPr>
        <sz val="10"/>
        <color theme="1"/>
        <rFont val="Arial"/>
        <family val="2"/>
      </rPr>
      <t>2,800</t>
    </r>
    <r>
      <rPr>
        <sz val="10"/>
        <color theme="1"/>
        <rFont val="微軟正黑體"/>
        <family val="2"/>
        <charset val="136"/>
      </rPr>
      <t>元，因本件車禍受傷導致</t>
    </r>
    <r>
      <rPr>
        <sz val="10"/>
        <color theme="1"/>
        <rFont val="Arial"/>
        <family val="2"/>
      </rPr>
      <t>3</t>
    </r>
    <r>
      <rPr>
        <sz val="10"/>
        <color theme="1"/>
        <rFont val="微軟正黑體"/>
        <family val="2"/>
        <charset val="136"/>
      </rPr>
      <t>個月期間無法工作，因此請求受有</t>
    </r>
    <r>
      <rPr>
        <sz val="10"/>
        <color theme="1"/>
        <rFont val="Arial"/>
        <family val="2"/>
      </rPr>
      <t>3</t>
    </r>
    <r>
      <rPr>
        <sz val="10"/>
        <color theme="1"/>
        <rFont val="微軟正黑體"/>
        <family val="2"/>
        <charset val="136"/>
      </rPr>
      <t>個月不能工作之薪資損害大約共</t>
    </r>
    <r>
      <rPr>
        <sz val="10"/>
        <color theme="1"/>
        <rFont val="Arial"/>
        <family val="2"/>
      </rPr>
      <t>42</t>
    </r>
    <r>
      <rPr>
        <sz val="10"/>
        <color theme="1"/>
        <rFont val="微軟正黑體"/>
        <family val="2"/>
        <charset val="136"/>
      </rPr>
      <t>萬元，有診斷證明書、</t>
    </r>
    <r>
      <rPr>
        <sz val="10"/>
        <color theme="1"/>
        <rFont val="Arial"/>
        <family val="2"/>
      </rPr>
      <t>110</t>
    </r>
    <r>
      <rPr>
        <sz val="10"/>
        <color theme="1"/>
        <rFont val="微軟正黑體"/>
        <family val="2"/>
        <charset val="136"/>
      </rPr>
      <t>年度綜合所得稅各類所得資料清單、健保櫃檯個人投保紀錄等可以作為證據。
原告主張因本件事故，衣褲毀損支出購置費用</t>
    </r>
    <r>
      <rPr>
        <sz val="10"/>
        <color theme="1"/>
        <rFont val="Arial"/>
        <family val="2"/>
      </rPr>
      <t>1,580</t>
    </r>
    <r>
      <rPr>
        <sz val="10"/>
        <color theme="1"/>
        <rFont val="微軟正黑體"/>
        <family val="2"/>
        <charset val="136"/>
      </rPr>
      <t>元、因鞋子毀損支出購置費用</t>
    </r>
    <r>
      <rPr>
        <sz val="10"/>
        <color theme="1"/>
        <rFont val="Arial"/>
        <family val="2"/>
      </rPr>
      <t>1,393</t>
    </r>
    <r>
      <rPr>
        <sz val="10"/>
        <color theme="1"/>
        <rFont val="微軟正黑體"/>
        <family val="2"/>
        <charset val="136"/>
      </rPr>
      <t>元；其機車因毀損而支出修理費用合計</t>
    </r>
    <r>
      <rPr>
        <sz val="10"/>
        <color theme="1"/>
        <rFont val="Arial"/>
        <family val="2"/>
      </rPr>
      <t>2</t>
    </r>
    <r>
      <rPr>
        <sz val="10"/>
        <color theme="1"/>
        <rFont val="微軟正黑體"/>
        <family val="2"/>
        <charset val="136"/>
      </rPr>
      <t>萬</t>
    </r>
    <r>
      <rPr>
        <sz val="10"/>
        <color theme="1"/>
        <rFont val="Arial"/>
        <family val="2"/>
      </rPr>
      <t>0,900</t>
    </r>
    <r>
      <rPr>
        <sz val="10"/>
        <color theme="1"/>
        <rFont val="微軟正黑體"/>
        <family val="2"/>
        <charset val="136"/>
      </rPr>
      <t>元。
原告因本件事故受有左肩、左前臂、左手擦傷、左踝擦挫傷等傷害，並且經過持續回診之情形，精神上受有相當痛苦；而原告為大學畢業，原任職於康舒科技股份有限公司，月薪</t>
    </r>
    <r>
      <rPr>
        <sz val="10"/>
        <color theme="1"/>
        <rFont val="Arial"/>
        <family val="2"/>
      </rPr>
      <t>7</t>
    </r>
    <r>
      <rPr>
        <sz val="10"/>
        <color theme="1"/>
        <rFont val="微軟正黑體"/>
        <family val="2"/>
        <charset val="136"/>
      </rPr>
      <t>萬</t>
    </r>
    <r>
      <rPr>
        <sz val="10"/>
        <color theme="1"/>
        <rFont val="Arial"/>
        <family val="2"/>
      </rPr>
      <t>2,800</t>
    </r>
    <r>
      <rPr>
        <sz val="10"/>
        <color theme="1"/>
        <rFont val="微軟正黑體"/>
        <family val="2"/>
        <charset val="136"/>
      </rPr>
      <t>元，請求鈞院衡量原告所受傷勢、本件事故發生原因及兩造財產資力等一切情狀，命被告支付精神慰撫金</t>
    </r>
    <r>
      <rPr>
        <sz val="10"/>
        <color theme="1"/>
        <rFont val="Arial"/>
        <family val="2"/>
      </rPr>
      <t>99</t>
    </r>
    <r>
      <rPr>
        <sz val="10"/>
        <color theme="1"/>
        <rFont val="微軟正黑體"/>
        <family val="2"/>
        <charset val="136"/>
      </rPr>
      <t>萬元，以填補原告所受非財產上損害。</t>
    </r>
    <phoneticPr fontId="3" type="noConversion"/>
  </si>
  <si>
    <r>
      <rPr>
        <sz val="10"/>
        <color theme="1"/>
        <rFont val="微軟正黑體"/>
        <family val="2"/>
        <charset val="136"/>
      </rPr>
      <t>一、緣被告於民國</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t>
    </r>
    <r>
      <rPr>
        <sz val="10"/>
        <color theme="1"/>
        <rFont val="Arial"/>
        <family val="2"/>
      </rPr>
      <t>15</t>
    </r>
    <r>
      <rPr>
        <sz val="10"/>
        <color theme="1"/>
        <rFont val="微軟正黑體"/>
        <family val="2"/>
        <charset val="136"/>
      </rPr>
      <t>時許，駕駛車牌號碼</t>
    </r>
    <r>
      <rPr>
        <sz val="10"/>
        <color theme="1"/>
        <rFont val="Arial"/>
        <family val="2"/>
      </rPr>
      <t>000-0000</t>
    </r>
    <r>
      <rPr>
        <sz val="10"/>
        <color theme="1"/>
        <rFont val="微軟正黑體"/>
        <family val="2"/>
        <charset val="136"/>
      </rPr>
      <t>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t>
    </r>
    <r>
      <rPr>
        <sz val="10"/>
        <color theme="1"/>
        <rFont val="Arial"/>
        <family val="2"/>
      </rPr>
      <t>184</t>
    </r>
    <r>
      <rPr>
        <sz val="10"/>
        <color theme="1"/>
        <rFont val="微軟正黑體"/>
        <family val="2"/>
        <charset val="136"/>
      </rPr>
      <t>條第</t>
    </r>
    <r>
      <rPr>
        <sz val="10"/>
        <color theme="1"/>
        <rFont val="Arial"/>
        <family val="2"/>
      </rPr>
      <t>1</t>
    </r>
    <r>
      <rPr>
        <sz val="10"/>
        <color theme="1"/>
        <rFont val="微軟正黑體"/>
        <family val="2"/>
        <charset val="136"/>
      </rPr>
      <t>項前段、第</t>
    </r>
    <r>
      <rPr>
        <sz val="10"/>
        <color theme="1"/>
        <rFont val="Arial"/>
        <family val="2"/>
      </rPr>
      <t>191</t>
    </r>
    <r>
      <rPr>
        <sz val="10"/>
        <color theme="1"/>
        <rFont val="微軟正黑體"/>
        <family val="2"/>
        <charset val="136"/>
      </rPr>
      <t>條之</t>
    </r>
    <r>
      <rPr>
        <sz val="10"/>
        <color theme="1"/>
        <rFont val="Arial"/>
        <family val="2"/>
      </rPr>
      <t>2</t>
    </r>
    <r>
      <rPr>
        <sz val="10"/>
        <color theme="1"/>
        <rFont val="微軟正黑體"/>
        <family val="2"/>
        <charset val="136"/>
      </rPr>
      <t>、第</t>
    </r>
    <r>
      <rPr>
        <sz val="10"/>
        <color theme="1"/>
        <rFont val="Arial"/>
        <family val="2"/>
      </rPr>
      <t>193</t>
    </r>
    <r>
      <rPr>
        <sz val="10"/>
        <color theme="1"/>
        <rFont val="微軟正黑體"/>
        <family val="2"/>
        <charset val="136"/>
      </rPr>
      <t>條第</t>
    </r>
    <r>
      <rPr>
        <sz val="10"/>
        <color theme="1"/>
        <rFont val="Arial"/>
        <family val="2"/>
      </rPr>
      <t>1</t>
    </r>
    <r>
      <rPr>
        <sz val="10"/>
        <color theme="1"/>
        <rFont val="微軟正黑體"/>
        <family val="2"/>
        <charset val="136"/>
      </rPr>
      <t>項、第</t>
    </r>
    <r>
      <rPr>
        <sz val="10"/>
        <color theme="1"/>
        <rFont val="Arial"/>
        <family val="2"/>
      </rPr>
      <t>195</t>
    </r>
    <r>
      <rPr>
        <sz val="10"/>
        <color theme="1"/>
        <rFont val="微軟正黑體"/>
        <family val="2"/>
        <charset val="136"/>
      </rPr>
      <t>條第</t>
    </r>
    <r>
      <rPr>
        <sz val="10"/>
        <color theme="1"/>
        <rFont val="Arial"/>
        <family val="2"/>
      </rPr>
      <t>1</t>
    </r>
    <r>
      <rPr>
        <sz val="10"/>
        <color theme="1"/>
        <rFont val="微軟正黑體"/>
        <family val="2"/>
        <charset val="136"/>
      </rPr>
      <t>項前段分別定有明文。查被告因上開侵權行為，致原告受有下列損害，依前揭規定，被告應負損害賠償責任：
（一）醫療費用：</t>
    </r>
    <r>
      <rPr>
        <sz val="10"/>
        <color theme="1"/>
        <rFont val="Arial"/>
        <family val="2"/>
      </rPr>
      <t>83,016</t>
    </r>
    <r>
      <rPr>
        <sz val="10"/>
        <color theme="1"/>
        <rFont val="微軟正黑體"/>
        <family val="2"/>
        <charset val="136"/>
      </rPr>
      <t xml:space="preserve">元
</t>
    </r>
    <r>
      <rPr>
        <sz val="10"/>
        <color theme="1"/>
        <rFont val="Arial"/>
        <family val="2"/>
      </rPr>
      <t xml:space="preserve">1. </t>
    </r>
    <r>
      <rPr>
        <sz val="10"/>
        <color theme="1"/>
        <rFont val="微軟正黑體"/>
        <family val="2"/>
        <charset val="136"/>
      </rPr>
      <t>住院開刀醫療費用：</t>
    </r>
    <r>
      <rPr>
        <sz val="10"/>
        <color theme="1"/>
        <rFont val="Arial"/>
        <family val="2"/>
      </rPr>
      <t>53,122</t>
    </r>
    <r>
      <rPr>
        <sz val="10"/>
        <color theme="1"/>
        <rFont val="微軟正黑體"/>
        <family val="2"/>
        <charset val="136"/>
      </rPr>
      <t>元
原告因本次事故於</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日經急診入院，並於同日接受顱內監測器放置手術，後來於</t>
    </r>
    <r>
      <rPr>
        <sz val="10"/>
        <color theme="1"/>
        <rFont val="Arial"/>
        <family val="2"/>
      </rPr>
      <t>000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日出院，期間之手術及住診費用共計支出</t>
    </r>
    <r>
      <rPr>
        <sz val="10"/>
        <color theme="1"/>
        <rFont val="Arial"/>
        <family val="2"/>
      </rPr>
      <t>53,122</t>
    </r>
    <r>
      <rPr>
        <sz val="10"/>
        <color theme="1"/>
        <rFont val="微軟正黑體"/>
        <family val="2"/>
        <charset val="136"/>
      </rPr>
      <t xml:space="preserve">元，有基隆長庚紀念醫院（以下簡稱基隆長庚）復健科費用收據可稽。
</t>
    </r>
    <r>
      <rPr>
        <sz val="10"/>
        <color theme="1"/>
        <rFont val="Arial"/>
        <family val="2"/>
      </rPr>
      <t xml:space="preserve">2. </t>
    </r>
    <r>
      <rPr>
        <sz val="10"/>
        <color theme="1"/>
        <rFont val="微軟正黑體"/>
        <family val="2"/>
        <charset val="136"/>
      </rPr>
      <t>復健科、腦神經外科、神經科診療費用：</t>
    </r>
    <r>
      <rPr>
        <sz val="10"/>
        <color theme="1"/>
        <rFont val="Arial"/>
        <family val="2"/>
      </rPr>
      <t>14,822</t>
    </r>
    <r>
      <rPr>
        <sz val="10"/>
        <color theme="1"/>
        <rFont val="微軟正黑體"/>
        <family val="2"/>
        <charset val="136"/>
      </rPr>
      <t>元
原告因頭部遭受撞擊而有頭部外傷、創傷性蜘蛛膜下出血等傷勢，並進而造成創傷性腦損傷，須接受復健治療，支出一般性高壓氧治療費用</t>
    </r>
    <r>
      <rPr>
        <sz val="10"/>
        <color theme="1"/>
        <rFont val="Arial"/>
        <family val="2"/>
      </rPr>
      <t>10,500</t>
    </r>
    <r>
      <rPr>
        <sz val="10"/>
        <color theme="1"/>
        <rFont val="微軟正黑體"/>
        <family val="2"/>
        <charset val="136"/>
      </rPr>
      <t>元；神經科診療費用</t>
    </r>
    <r>
      <rPr>
        <sz val="10"/>
        <color theme="1"/>
        <rFont val="Arial"/>
        <family val="2"/>
      </rPr>
      <t>2</t>
    </r>
    <r>
      <rPr>
        <sz val="10"/>
        <color theme="1"/>
        <rFont val="微軟正黑體"/>
        <family val="2"/>
        <charset val="136"/>
      </rPr>
      <t>次共</t>
    </r>
    <r>
      <rPr>
        <sz val="10"/>
        <color theme="1"/>
        <rFont val="Arial"/>
        <family val="2"/>
      </rPr>
      <t>802</t>
    </r>
    <r>
      <rPr>
        <sz val="10"/>
        <color theme="1"/>
        <rFont val="微軟正黑體"/>
        <family val="2"/>
        <charset val="136"/>
      </rPr>
      <t>元、腦神經外科診療費用</t>
    </r>
    <r>
      <rPr>
        <sz val="10"/>
        <color theme="1"/>
        <rFont val="Arial"/>
        <family val="2"/>
      </rPr>
      <t>8</t>
    </r>
    <r>
      <rPr>
        <sz val="10"/>
        <color theme="1"/>
        <rFont val="微軟正黑體"/>
        <family val="2"/>
        <charset val="136"/>
      </rPr>
      <t>次共</t>
    </r>
    <r>
      <rPr>
        <sz val="10"/>
        <color theme="1"/>
        <rFont val="Arial"/>
        <family val="2"/>
      </rPr>
      <t>3,520</t>
    </r>
    <r>
      <rPr>
        <sz val="10"/>
        <color theme="1"/>
        <rFont val="微軟正黑體"/>
        <family val="2"/>
        <charset val="136"/>
      </rPr>
      <t>元，合計</t>
    </r>
    <r>
      <rPr>
        <sz val="10"/>
        <color theme="1"/>
        <rFont val="Arial"/>
        <family val="2"/>
      </rPr>
      <t>14,822</t>
    </r>
    <r>
      <rPr>
        <sz val="10"/>
        <color theme="1"/>
        <rFont val="微軟正黑體"/>
        <family val="2"/>
        <charset val="136"/>
      </rPr>
      <t xml:space="preserve">元，有基隆長庚復健科之診斷證明書，與復健科、腦神經外科、神經科費用收據可稽。
</t>
    </r>
    <r>
      <rPr>
        <sz val="10"/>
        <color theme="1"/>
        <rFont val="Arial"/>
        <family val="2"/>
      </rPr>
      <t xml:space="preserve">3. </t>
    </r>
    <r>
      <rPr>
        <sz val="10"/>
        <color theme="1"/>
        <rFont val="微軟正黑體"/>
        <family val="2"/>
        <charset val="136"/>
      </rPr>
      <t>眼科診療費用：</t>
    </r>
    <r>
      <rPr>
        <sz val="10"/>
        <color theme="1"/>
        <rFont val="Arial"/>
        <family val="2"/>
      </rPr>
      <t>1,680</t>
    </r>
    <r>
      <rPr>
        <sz val="10"/>
        <color theme="1"/>
        <rFont val="微軟正黑體"/>
        <family val="2"/>
        <charset val="136"/>
      </rPr>
      <t>元
原告因本次事故致視神經受損視力模糊，有外斜視、垂直斜視之傷勢，須至基隆長庚眼科回診接受治療共二次，支出診療費</t>
    </r>
    <r>
      <rPr>
        <sz val="10"/>
        <color theme="1"/>
        <rFont val="Arial"/>
        <family val="2"/>
      </rPr>
      <t>1,280</t>
    </r>
    <r>
      <rPr>
        <sz val="10"/>
        <color theme="1"/>
        <rFont val="微軟正黑體"/>
        <family val="2"/>
        <charset val="136"/>
      </rPr>
      <t>元。且因視神經受損，平日間為聚焦看清物體，眼部肌肉須特別用力，導致眼睛較一般人更容易感到疲勞，另至基隆市瑞光眼科看診</t>
    </r>
    <r>
      <rPr>
        <sz val="10"/>
        <color theme="1"/>
        <rFont val="Arial"/>
        <family val="2"/>
      </rPr>
      <t>2</t>
    </r>
    <r>
      <rPr>
        <sz val="10"/>
        <color theme="1"/>
        <rFont val="微軟正黑體"/>
        <family val="2"/>
        <charset val="136"/>
      </rPr>
      <t>次，支出看診費</t>
    </r>
    <r>
      <rPr>
        <sz val="10"/>
        <color theme="1"/>
        <rFont val="Arial"/>
        <family val="2"/>
      </rPr>
      <t>400</t>
    </r>
    <r>
      <rPr>
        <sz val="10"/>
        <color theme="1"/>
        <rFont val="微軟正黑體"/>
        <family val="2"/>
        <charset val="136"/>
      </rPr>
      <t>元，以上費用合計</t>
    </r>
    <r>
      <rPr>
        <sz val="10"/>
        <color theme="1"/>
        <rFont val="Arial"/>
        <family val="2"/>
      </rPr>
      <t>1,680</t>
    </r>
    <r>
      <rPr>
        <sz val="10"/>
        <color theme="1"/>
        <rFont val="微軟正黑體"/>
        <family val="2"/>
        <charset val="136"/>
      </rPr>
      <t xml:space="preserve">元，有基隆長庚眼科診斷證明書、費用收據，與瑞光眼科費用收據可稽。
</t>
    </r>
    <r>
      <rPr>
        <sz val="10"/>
        <color theme="1"/>
        <rFont val="Arial"/>
        <family val="2"/>
      </rPr>
      <t xml:space="preserve">4. </t>
    </r>
    <r>
      <rPr>
        <sz val="10"/>
        <color theme="1"/>
        <rFont val="微軟正黑體"/>
        <family val="2"/>
        <charset val="136"/>
      </rPr>
      <t>整形外科診療費用：</t>
    </r>
    <r>
      <rPr>
        <sz val="10"/>
        <color theme="1"/>
        <rFont val="Arial"/>
        <family val="2"/>
      </rPr>
      <t>11,932</t>
    </r>
    <r>
      <rPr>
        <sz val="10"/>
        <color theme="1"/>
        <rFont val="微軟正黑體"/>
        <family val="2"/>
        <charset val="136"/>
      </rPr>
      <t>元
原告因本次事故而人車倒地，臉部與路面發生摩擦，致有臉部擦傷、上唇肥厚性疤痕色素沉澱，於</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20</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24</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日三度至基隆長庚接受治療，支出看診費用</t>
    </r>
    <r>
      <rPr>
        <sz val="10"/>
        <color theme="1"/>
        <rFont val="Arial"/>
        <family val="2"/>
      </rPr>
      <t>11,832</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11,932</t>
    </r>
    <r>
      <rPr>
        <sz val="10"/>
        <color theme="1"/>
        <rFont val="微軟正黑體"/>
        <family val="2"/>
        <charset val="136"/>
      </rPr>
      <t xml:space="preserve">元，有基隆長庚之整形外科診斷證明書與費用收據可稽。
</t>
    </r>
    <r>
      <rPr>
        <sz val="10"/>
        <color theme="1"/>
        <rFont val="Arial"/>
        <family val="2"/>
      </rPr>
      <t xml:space="preserve">5. </t>
    </r>
    <r>
      <rPr>
        <sz val="10"/>
        <color theme="1"/>
        <rFont val="微軟正黑體"/>
        <family val="2"/>
        <charset val="136"/>
      </rPr>
      <t>精神科與中醫診所診療費用：</t>
    </r>
    <r>
      <rPr>
        <sz val="10"/>
        <color theme="1"/>
        <rFont val="Arial"/>
        <family val="2"/>
      </rPr>
      <t>1,460</t>
    </r>
    <r>
      <rPr>
        <sz val="10"/>
        <color theme="1"/>
        <rFont val="微軟正黑體"/>
        <family val="2"/>
        <charset val="136"/>
      </rPr>
      <t>元
原告因本次事故腦部受傷，致有壓力後創傷症候群、憂鬱症、適應性失眠症等症狀，於</t>
    </r>
    <r>
      <rPr>
        <sz val="10"/>
        <color theme="1"/>
        <rFont val="Arial"/>
        <family val="2"/>
      </rPr>
      <t>113</t>
    </r>
    <r>
      <rPr>
        <sz val="10"/>
        <color theme="1"/>
        <rFont val="微軟正黑體"/>
        <family val="2"/>
        <charset val="136"/>
      </rPr>
      <t>年</t>
    </r>
    <r>
      <rPr>
        <sz val="10"/>
        <color theme="1"/>
        <rFont val="Arial"/>
        <family val="2"/>
      </rPr>
      <t>2</t>
    </r>
    <r>
      <rPr>
        <sz val="10"/>
        <color theme="1"/>
        <rFont val="微軟正黑體"/>
        <family val="2"/>
        <charset val="136"/>
      </rPr>
      <t>月</t>
    </r>
    <r>
      <rPr>
        <sz val="10"/>
        <color theme="1"/>
        <rFont val="Arial"/>
        <family val="2"/>
      </rPr>
      <t>14</t>
    </r>
    <r>
      <rPr>
        <sz val="10"/>
        <color theme="1"/>
        <rFont val="微軟正黑體"/>
        <family val="2"/>
        <charset val="136"/>
      </rPr>
      <t>日至基隆長庚精神科看診支出診療費</t>
    </r>
    <r>
      <rPr>
        <sz val="10"/>
        <color theme="1"/>
        <rFont val="Arial"/>
        <family val="2"/>
      </rPr>
      <t>510</t>
    </r>
    <r>
      <rPr>
        <sz val="10"/>
        <color theme="1"/>
        <rFont val="微軟正黑體"/>
        <family val="2"/>
        <charset val="136"/>
      </rPr>
      <t>元；</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26</t>
    </r>
    <r>
      <rPr>
        <sz val="10"/>
        <color theme="1"/>
        <rFont val="微軟正黑體"/>
        <family val="2"/>
        <charset val="136"/>
      </rPr>
      <t>日至</t>
    </r>
    <r>
      <rPr>
        <sz val="10"/>
        <color theme="1"/>
        <rFont val="Arial"/>
        <family val="2"/>
      </rPr>
      <t>000</t>
    </r>
    <r>
      <rPr>
        <sz val="10"/>
        <color theme="1"/>
        <rFont val="微軟正黑體"/>
        <family val="2"/>
        <charset val="136"/>
      </rPr>
      <t>年</t>
    </r>
    <r>
      <rPr>
        <sz val="10"/>
        <color theme="1"/>
        <rFont val="Arial"/>
        <family val="2"/>
      </rPr>
      <t>0</t>
    </r>
    <r>
      <rPr>
        <sz val="10"/>
        <color theme="1"/>
        <rFont val="微軟正黑體"/>
        <family val="2"/>
        <charset val="136"/>
      </rPr>
      <t>月</t>
    </r>
    <r>
      <rPr>
        <sz val="10"/>
        <color theme="1"/>
        <rFont val="Arial"/>
        <family val="2"/>
      </rPr>
      <t>0</t>
    </r>
    <r>
      <rPr>
        <sz val="10"/>
        <color theme="1"/>
        <rFont val="微軟正黑體"/>
        <family val="2"/>
        <charset val="136"/>
      </rPr>
      <t>日間五度至基隆陳字斌中醫診所接受睡眠障礙症之治療並接受中醫藥劑調養，支出看診費</t>
    </r>
    <r>
      <rPr>
        <sz val="10"/>
        <color theme="1"/>
        <rFont val="Arial"/>
        <family val="2"/>
      </rPr>
      <t>850</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1,460</t>
    </r>
    <r>
      <rPr>
        <sz val="10"/>
        <color theme="1"/>
        <rFont val="微軟正黑體"/>
        <family val="2"/>
        <charset val="136"/>
      </rPr>
      <t>元，有基隆長庚與陳字斌中醫診所之診斷書與醫療費用收據可稽。
（二）交通費用：</t>
    </r>
    <r>
      <rPr>
        <sz val="10"/>
        <color theme="1"/>
        <rFont val="Arial"/>
        <family val="2"/>
      </rPr>
      <t>215</t>
    </r>
    <r>
      <rPr>
        <sz val="10"/>
        <color theme="1"/>
        <rFont val="微軟正黑體"/>
        <family val="2"/>
        <charset val="136"/>
      </rPr>
      <t>元
原告於</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日因須至基隆長庚醫院整形外科回診，來回支出計程車交通費用</t>
    </r>
    <r>
      <rPr>
        <sz val="10"/>
        <color theme="1"/>
        <rFont val="Arial"/>
        <family val="2"/>
      </rPr>
      <t>215</t>
    </r>
    <r>
      <rPr>
        <sz val="10"/>
        <color theme="1"/>
        <rFont val="微軟正黑體"/>
        <family val="2"/>
        <charset val="136"/>
      </rPr>
      <t>元。
（三）看護費用：</t>
    </r>
    <r>
      <rPr>
        <sz val="10"/>
        <color theme="1"/>
        <rFont val="Arial"/>
        <family val="2"/>
      </rPr>
      <t>525,000</t>
    </r>
    <r>
      <rPr>
        <sz val="10"/>
        <color theme="1"/>
        <rFont val="微軟正黑體"/>
        <family val="2"/>
        <charset val="136"/>
      </rPr>
      <t>元
原告因本次事故受傷入院接受手術開刀治療後，</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18</t>
    </r>
    <r>
      <rPr>
        <sz val="10"/>
        <color theme="1"/>
        <rFont val="微軟正黑體"/>
        <family val="2"/>
        <charset val="136"/>
      </rPr>
      <t>日經基隆長庚診斷「出院後宜休養</t>
    </r>
    <r>
      <rPr>
        <sz val="10"/>
        <color theme="1"/>
        <rFont val="Arial"/>
        <family val="2"/>
      </rPr>
      <t>3</t>
    </r>
    <r>
      <rPr>
        <sz val="10"/>
        <color theme="1"/>
        <rFont val="微軟正黑體"/>
        <family val="2"/>
        <charset val="136"/>
      </rPr>
      <t>個月以上，並需專人</t>
    </r>
    <r>
      <rPr>
        <sz val="10"/>
        <color theme="1"/>
        <rFont val="Arial"/>
        <family val="2"/>
      </rPr>
      <t>24</t>
    </r>
    <r>
      <rPr>
        <sz val="10"/>
        <color theme="1"/>
        <rFont val="微軟正黑體"/>
        <family val="2"/>
        <charset val="136"/>
      </rPr>
      <t>小時照護」；</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25</t>
    </r>
    <r>
      <rPr>
        <sz val="10"/>
        <color theme="1"/>
        <rFont val="微軟正黑體"/>
        <family val="2"/>
        <charset val="136"/>
      </rPr>
      <t>日回診後，醫師認原告「創傷後視力及記憶力恢復不全，情緒不穩定，需專人長時間陪護照顧至少</t>
    </r>
    <r>
      <rPr>
        <sz val="10"/>
        <color theme="1"/>
        <rFont val="Arial"/>
        <family val="2"/>
      </rPr>
      <t>2</t>
    </r>
    <r>
      <rPr>
        <sz val="10"/>
        <color theme="1"/>
        <rFont val="微軟正黑體"/>
        <family val="2"/>
        <charset val="136"/>
      </rPr>
      <t>個月」；</t>
    </r>
    <r>
      <rPr>
        <sz val="10"/>
        <color theme="1"/>
        <rFont val="Arial"/>
        <family val="2"/>
      </rPr>
      <t>113</t>
    </r>
    <r>
      <rPr>
        <sz val="10"/>
        <color theme="1"/>
        <rFont val="微軟正黑體"/>
        <family val="2"/>
        <charset val="136"/>
      </rPr>
      <t>年</t>
    </r>
    <r>
      <rPr>
        <sz val="10"/>
        <color theme="1"/>
        <rFont val="Arial"/>
        <family val="2"/>
      </rPr>
      <t>6</t>
    </r>
    <r>
      <rPr>
        <sz val="10"/>
        <color theme="1"/>
        <rFont val="微軟正黑體"/>
        <family val="2"/>
        <charset val="136"/>
      </rPr>
      <t>月</t>
    </r>
    <r>
      <rPr>
        <sz val="10"/>
        <color theme="1"/>
        <rFont val="Arial"/>
        <family val="2"/>
      </rPr>
      <t>13</t>
    </r>
    <r>
      <rPr>
        <sz val="10"/>
        <color theme="1"/>
        <rFont val="微軟正黑體"/>
        <family val="2"/>
        <charset val="136"/>
      </rPr>
      <t>日回診後，醫師仍認「須專人長時間陪護照顧至少</t>
    </r>
    <r>
      <rPr>
        <sz val="10"/>
        <color theme="1"/>
        <rFont val="Arial"/>
        <family val="2"/>
      </rPr>
      <t>2</t>
    </r>
    <r>
      <rPr>
        <sz val="10"/>
        <color theme="1"/>
        <rFont val="微軟正黑體"/>
        <family val="2"/>
        <charset val="136"/>
      </rPr>
      <t>個月以上」，此有歷次之診斷證明書可稽。原告共計有</t>
    </r>
    <r>
      <rPr>
        <sz val="10"/>
        <color theme="1"/>
        <rFont val="Arial"/>
        <family val="2"/>
      </rPr>
      <t>7</t>
    </r>
    <r>
      <rPr>
        <sz val="10"/>
        <color theme="1"/>
        <rFont val="微軟正黑體"/>
        <family val="2"/>
        <charset val="136"/>
      </rPr>
      <t>個月之時間需由專人照護陪伴，依照最高法院</t>
    </r>
    <r>
      <rPr>
        <sz val="10"/>
        <color theme="1"/>
        <rFont val="Arial"/>
        <family val="2"/>
      </rPr>
      <t>94</t>
    </r>
    <r>
      <rPr>
        <sz val="10"/>
        <color theme="1"/>
        <rFont val="微軟正黑體"/>
        <family val="2"/>
        <charset val="136"/>
      </rPr>
      <t>年度台上字第</t>
    </r>
    <r>
      <rPr>
        <sz val="10"/>
        <color theme="1"/>
        <rFont val="Arial"/>
        <family val="2"/>
      </rPr>
      <t>1543</t>
    </r>
    <r>
      <rPr>
        <sz val="10"/>
        <color theme="1"/>
        <rFont val="微軟正黑體"/>
        <family val="2"/>
        <charset val="136"/>
      </rPr>
      <t>號裁判意旨，縱原告因親屬關係而無現實之看護費支出，仍應比照一般看護情形，認定原告受有相當於看護費之損害，以基隆長庚紀念醫院</t>
    </r>
    <r>
      <rPr>
        <sz val="10"/>
        <color theme="1"/>
        <rFont val="Arial"/>
        <family val="2"/>
      </rPr>
      <t>112</t>
    </r>
    <r>
      <rPr>
        <sz val="10"/>
        <color theme="1"/>
        <rFont val="微軟正黑體"/>
        <family val="2"/>
        <charset val="136"/>
      </rPr>
      <t>年招募全日看護工照顧服務員之徵人啟事作為行情價標準，一般長時間專人照顧服務員每日薪資以</t>
    </r>
    <r>
      <rPr>
        <sz val="10"/>
        <color theme="1"/>
        <rFont val="Arial"/>
        <family val="2"/>
      </rPr>
      <t>2,500</t>
    </r>
    <r>
      <rPr>
        <sz val="10"/>
        <color theme="1"/>
        <rFont val="微軟正黑體"/>
        <family val="2"/>
        <charset val="136"/>
      </rPr>
      <t>元計算，共計</t>
    </r>
    <r>
      <rPr>
        <sz val="10"/>
        <color theme="1"/>
        <rFont val="Arial"/>
        <family val="2"/>
      </rPr>
      <t>525,000</t>
    </r>
    <r>
      <rPr>
        <sz val="10"/>
        <color theme="1"/>
        <rFont val="微軟正黑體"/>
        <family val="2"/>
        <charset val="136"/>
      </rPr>
      <t>元。
（四）無法家務勞動之損失：</t>
    </r>
    <r>
      <rPr>
        <sz val="10"/>
        <color theme="1"/>
        <rFont val="Arial"/>
        <family val="2"/>
      </rPr>
      <t>189,080</t>
    </r>
    <r>
      <rPr>
        <sz val="10"/>
        <color theme="1"/>
        <rFont val="微軟正黑體"/>
        <family val="2"/>
        <charset val="136"/>
      </rPr>
      <t>元
原告因本次事故受傷，自</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日起至</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26</t>
    </r>
    <r>
      <rPr>
        <sz val="10"/>
        <color theme="1"/>
        <rFont val="微軟正黑體"/>
        <family val="2"/>
        <charset val="136"/>
      </rPr>
      <t>日止，共計</t>
    </r>
    <r>
      <rPr>
        <sz val="10"/>
        <color theme="1"/>
        <rFont val="Arial"/>
        <family val="2"/>
      </rPr>
      <t>7</t>
    </r>
    <r>
      <rPr>
        <sz val="10"/>
        <color theme="1"/>
        <rFont val="微軟正黑體"/>
        <family val="2"/>
        <charset val="136"/>
      </rPr>
      <t>個月無法從事家務勞動，依行政院勞動部公布之基本工資計算，受有</t>
    </r>
    <r>
      <rPr>
        <sz val="10"/>
        <color theme="1"/>
        <rFont val="Arial"/>
        <family val="2"/>
      </rPr>
      <t>189,080</t>
    </r>
    <r>
      <rPr>
        <sz val="10"/>
        <color theme="1"/>
        <rFont val="微軟正黑體"/>
        <family val="2"/>
        <charset val="136"/>
      </rPr>
      <t>元之損失。
（五）慰撫金：</t>
    </r>
    <r>
      <rPr>
        <sz val="10"/>
        <color theme="1"/>
        <rFont val="Arial"/>
        <family val="2"/>
      </rPr>
      <t>1,300,000</t>
    </r>
    <r>
      <rPr>
        <sz val="10"/>
        <color theme="1"/>
        <rFont val="微軟正黑體"/>
        <family val="2"/>
        <charset val="136"/>
      </rPr>
      <t>元
原告因本次事故受有腦部創傷性腦損傷等傷害，經緊急手術後住院將近</t>
    </r>
    <r>
      <rPr>
        <sz val="10"/>
        <color theme="1"/>
        <rFont val="Arial"/>
        <family val="2"/>
      </rPr>
      <t>1</t>
    </r>
    <r>
      <rPr>
        <sz val="10"/>
        <color theme="1"/>
        <rFont val="微軟正黑體"/>
        <family val="2"/>
        <charset val="136"/>
      </rPr>
      <t>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t>
    </r>
    <r>
      <rPr>
        <sz val="10"/>
        <color theme="1"/>
        <rFont val="Arial"/>
        <family val="2"/>
      </rPr>
      <t>1,300,000</t>
    </r>
    <r>
      <rPr>
        <sz val="10"/>
        <color theme="1"/>
        <rFont val="微軟正黑體"/>
        <family val="2"/>
        <charset val="136"/>
      </rPr>
      <t>元。
（六）綜上所陳，被告應賠償原告之損害，包含醫療費用</t>
    </r>
    <r>
      <rPr>
        <sz val="10"/>
        <color theme="1"/>
        <rFont val="Arial"/>
        <family val="2"/>
      </rPr>
      <t>83,016</t>
    </r>
    <r>
      <rPr>
        <sz val="10"/>
        <color theme="1"/>
        <rFont val="微軟正黑體"/>
        <family val="2"/>
        <charset val="136"/>
      </rPr>
      <t>元、交通費用</t>
    </r>
    <r>
      <rPr>
        <sz val="10"/>
        <color theme="1"/>
        <rFont val="Arial"/>
        <family val="2"/>
      </rPr>
      <t>215</t>
    </r>
    <r>
      <rPr>
        <sz val="10"/>
        <color theme="1"/>
        <rFont val="微軟正黑體"/>
        <family val="2"/>
        <charset val="136"/>
      </rPr>
      <t>元、看護費用</t>
    </r>
    <r>
      <rPr>
        <sz val="10"/>
        <color theme="1"/>
        <rFont val="Arial"/>
        <family val="2"/>
      </rPr>
      <t>525,000</t>
    </r>
    <r>
      <rPr>
        <sz val="10"/>
        <color theme="1"/>
        <rFont val="微軟正黑體"/>
        <family val="2"/>
        <charset val="136"/>
      </rPr>
      <t>元、無法家務勞動之損失</t>
    </r>
    <r>
      <rPr>
        <sz val="10"/>
        <color theme="1"/>
        <rFont val="Arial"/>
        <family val="2"/>
      </rPr>
      <t>189,080</t>
    </r>
    <r>
      <rPr>
        <sz val="10"/>
        <color theme="1"/>
        <rFont val="微軟正黑體"/>
        <family val="2"/>
        <charset val="136"/>
      </rPr>
      <t>元及慰撫金</t>
    </r>
    <r>
      <rPr>
        <sz val="10"/>
        <color theme="1"/>
        <rFont val="Arial"/>
        <family val="2"/>
      </rPr>
      <t>1,300,000</t>
    </r>
    <r>
      <rPr>
        <sz val="10"/>
        <color theme="1"/>
        <rFont val="微軟正黑體"/>
        <family val="2"/>
        <charset val="136"/>
      </rPr>
      <t>元，總計</t>
    </r>
    <r>
      <rPr>
        <sz val="10"/>
        <color theme="1"/>
        <rFont val="Arial"/>
        <family val="2"/>
      </rPr>
      <t>2,097,311</t>
    </r>
    <r>
      <rPr>
        <sz val="10"/>
        <color theme="1"/>
        <rFont val="微軟正黑體"/>
        <family val="2"/>
        <charset val="136"/>
      </rPr>
      <t>元。</t>
    </r>
    <phoneticPr fontId="3" type="noConversion"/>
  </si>
  <si>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被告在民國</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t>
    </r>
    <r>
      <rPr>
        <sz val="10"/>
        <color theme="1"/>
        <rFont val="Arial"/>
        <family val="2"/>
      </rPr>
      <t>15</t>
    </r>
    <r>
      <rPr>
        <sz val="10"/>
        <color theme="1"/>
        <rFont val="微軟正黑體"/>
        <family val="2"/>
        <charset val="136"/>
      </rPr>
      <t>時許，駕駛車牌號碼</t>
    </r>
    <r>
      <rPr>
        <sz val="10"/>
        <color theme="1"/>
        <rFont val="Arial"/>
        <family val="2"/>
      </rPr>
      <t>000-0000</t>
    </r>
    <r>
      <rPr>
        <sz val="10"/>
        <color theme="1"/>
        <rFont val="微軟正黑體"/>
        <family val="2"/>
        <charset val="136"/>
      </rPr>
      <t>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t>
    </r>
    <r>
      <rPr>
        <sz val="10"/>
        <color theme="1"/>
        <rFont val="Arial"/>
        <family val="2"/>
      </rPr>
      <t xml:space="preserve">:
</t>
    </r>
    <r>
      <rPr>
        <sz val="10"/>
        <color theme="1"/>
        <rFont val="微軟正黑體"/>
        <family val="2"/>
        <charset val="136"/>
      </rPr>
      <t>原告因為被告引起的這場車禍受有頭部外傷、腦部創傷性腦損傷、創傷性蜘蛛膜下出血、視力模糊、視神經受損、外斜視、垂直性斜視等傷害，其後並有壓力後創傷症候群、憂鬱症、適應性失眠症等後遺症。
三、請求賠償的事實根據</t>
    </r>
    <r>
      <rPr>
        <sz val="10"/>
        <color theme="1"/>
        <rFont val="Arial"/>
        <family val="2"/>
      </rPr>
      <t xml:space="preserve">:
</t>
    </r>
    <r>
      <rPr>
        <sz val="10"/>
        <color theme="1"/>
        <rFont val="微軟正黑體"/>
        <family val="2"/>
        <charset val="136"/>
      </rPr>
      <t>（一）醫療費用部分合計</t>
    </r>
    <r>
      <rPr>
        <sz val="10"/>
        <color theme="1"/>
        <rFont val="Arial"/>
        <family val="2"/>
      </rPr>
      <t>8</t>
    </r>
    <r>
      <rPr>
        <sz val="10"/>
        <color theme="1"/>
        <rFont val="微軟正黑體"/>
        <family val="2"/>
        <charset val="136"/>
      </rPr>
      <t>萬</t>
    </r>
    <r>
      <rPr>
        <sz val="10"/>
        <color theme="1"/>
        <rFont val="Arial"/>
        <family val="2"/>
      </rPr>
      <t>3,016</t>
    </r>
    <r>
      <rPr>
        <sz val="10"/>
        <color theme="1"/>
        <rFont val="微軟正黑體"/>
        <family val="2"/>
        <charset val="136"/>
      </rPr>
      <t xml:space="preserve">元
</t>
    </r>
    <r>
      <rPr>
        <sz val="10"/>
        <color theme="1"/>
        <rFont val="Arial"/>
        <family val="2"/>
      </rPr>
      <t>1</t>
    </r>
    <r>
      <rPr>
        <sz val="10"/>
        <color theme="1"/>
        <rFont val="微軟正黑體"/>
        <family val="2"/>
        <charset val="136"/>
      </rPr>
      <t>、住院開刀醫療費用
原告因系爭車禍於</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日經急診入院，並於同日接受顱內監測器放置手術，後來於</t>
    </r>
    <r>
      <rPr>
        <sz val="10"/>
        <color theme="1"/>
        <rFont val="Arial"/>
        <family val="2"/>
      </rPr>
      <t>000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日出院，期間之手術及住診費用共計支出新臺幣</t>
    </r>
    <r>
      <rPr>
        <sz val="10"/>
        <color theme="1"/>
        <rFont val="Arial"/>
        <family val="2"/>
      </rPr>
      <t>5</t>
    </r>
    <r>
      <rPr>
        <sz val="10"/>
        <color theme="1"/>
        <rFont val="微軟正黑體"/>
        <family val="2"/>
        <charset val="136"/>
      </rPr>
      <t>萬</t>
    </r>
    <r>
      <rPr>
        <sz val="10"/>
        <color theme="1"/>
        <rFont val="Arial"/>
        <family val="2"/>
      </rPr>
      <t>3,122</t>
    </r>
    <r>
      <rPr>
        <sz val="10"/>
        <color theme="1"/>
        <rFont val="微軟正黑體"/>
        <family val="2"/>
        <charset val="136"/>
      </rPr>
      <t xml:space="preserve">元，有基隆長庚紀念醫院（以下簡稱基隆長庚）復健科費用收據可以證明。
</t>
    </r>
    <r>
      <rPr>
        <sz val="10"/>
        <color theme="1"/>
        <rFont val="Arial"/>
        <family val="2"/>
      </rPr>
      <t>2</t>
    </r>
    <r>
      <rPr>
        <sz val="10"/>
        <color theme="1"/>
        <rFont val="微軟正黑體"/>
        <family val="2"/>
        <charset val="136"/>
      </rPr>
      <t>、復健科、腦神經外科、神經科診療費用
原告於系爭車禍發生時因頭部遭受撞擊而有頭部外傷、創傷性蜘蛛膜下出血等傷勢，並進而造成創傷性腦損傷，須接受復健治療，因此支出有一般性高壓氧治療費用共</t>
    </r>
    <r>
      <rPr>
        <sz val="10"/>
        <color theme="1"/>
        <rFont val="Arial"/>
        <family val="2"/>
      </rPr>
      <t>1</t>
    </r>
    <r>
      <rPr>
        <sz val="10"/>
        <color theme="1"/>
        <rFont val="微軟正黑體"/>
        <family val="2"/>
        <charset val="136"/>
      </rPr>
      <t>萬</t>
    </r>
    <r>
      <rPr>
        <sz val="10"/>
        <color theme="1"/>
        <rFont val="Arial"/>
        <family val="2"/>
      </rPr>
      <t>0500</t>
    </r>
    <r>
      <rPr>
        <sz val="10"/>
        <color theme="1"/>
        <rFont val="微軟正黑體"/>
        <family val="2"/>
        <charset val="136"/>
      </rPr>
      <t>元；神經科診療費用</t>
    </r>
    <r>
      <rPr>
        <sz val="10"/>
        <color theme="1"/>
        <rFont val="Arial"/>
        <family val="2"/>
      </rPr>
      <t>2</t>
    </r>
    <r>
      <rPr>
        <sz val="10"/>
        <color theme="1"/>
        <rFont val="微軟正黑體"/>
        <family val="2"/>
        <charset val="136"/>
      </rPr>
      <t>次共</t>
    </r>
    <r>
      <rPr>
        <sz val="10"/>
        <color theme="1"/>
        <rFont val="Arial"/>
        <family val="2"/>
      </rPr>
      <t>802</t>
    </r>
    <r>
      <rPr>
        <sz val="10"/>
        <color theme="1"/>
        <rFont val="微軟正黑體"/>
        <family val="2"/>
        <charset val="136"/>
      </rPr>
      <t>元、腦神經外科診療費用</t>
    </r>
    <r>
      <rPr>
        <sz val="10"/>
        <color theme="1"/>
        <rFont val="Arial"/>
        <family val="2"/>
      </rPr>
      <t>8</t>
    </r>
    <r>
      <rPr>
        <sz val="10"/>
        <color theme="1"/>
        <rFont val="微軟正黑體"/>
        <family val="2"/>
        <charset val="136"/>
      </rPr>
      <t>次共</t>
    </r>
    <r>
      <rPr>
        <sz val="10"/>
        <color theme="1"/>
        <rFont val="Arial"/>
        <family val="2"/>
      </rPr>
      <t>3,520</t>
    </r>
    <r>
      <rPr>
        <sz val="10"/>
        <color theme="1"/>
        <rFont val="微軟正黑體"/>
        <family val="2"/>
        <charset val="136"/>
      </rPr>
      <t>元，合計共</t>
    </r>
    <r>
      <rPr>
        <sz val="10"/>
        <color theme="1"/>
        <rFont val="Arial"/>
        <family val="2"/>
      </rPr>
      <t>1</t>
    </r>
    <r>
      <rPr>
        <sz val="10"/>
        <color theme="1"/>
        <rFont val="微軟正黑體"/>
        <family val="2"/>
        <charset val="136"/>
      </rPr>
      <t>萬</t>
    </r>
    <r>
      <rPr>
        <sz val="10"/>
        <color theme="1"/>
        <rFont val="Arial"/>
        <family val="2"/>
      </rPr>
      <t>4,822</t>
    </r>
    <r>
      <rPr>
        <sz val="10"/>
        <color theme="1"/>
        <rFont val="微軟正黑體"/>
        <family val="2"/>
        <charset val="136"/>
      </rPr>
      <t xml:space="preserve">元，有基隆長庚復健科之診斷證明書，與復健科、腦神經外科、神經科費用收據可以證明。
</t>
    </r>
    <r>
      <rPr>
        <sz val="10"/>
        <color theme="1"/>
        <rFont val="Arial"/>
        <family val="2"/>
      </rPr>
      <t>3</t>
    </r>
    <r>
      <rPr>
        <sz val="10"/>
        <color theme="1"/>
        <rFont val="微軟正黑體"/>
        <family val="2"/>
        <charset val="136"/>
      </rPr>
      <t>、眼科診療費用
原告因系爭車禍致視神經受損視力模糊，有外斜視、垂直斜視之傷勢，須至基隆長庚眼科回診接受治療，共二次支出有診療費</t>
    </r>
    <r>
      <rPr>
        <sz val="10"/>
        <color theme="1"/>
        <rFont val="Arial"/>
        <family val="2"/>
      </rPr>
      <t>1,280</t>
    </r>
    <r>
      <rPr>
        <sz val="10"/>
        <color theme="1"/>
        <rFont val="微軟正黑體"/>
        <family val="2"/>
        <charset val="136"/>
      </rPr>
      <t>元。且因視神經受損，原告平日間為聚焦看清物體，眼部肌肉須特別用力，導致眼睛較一般人更容易感到疲勞，原告因而另至基隆市瑞光眼科看診</t>
    </r>
    <r>
      <rPr>
        <sz val="10"/>
        <color theme="1"/>
        <rFont val="Arial"/>
        <family val="2"/>
      </rPr>
      <t>2</t>
    </r>
    <r>
      <rPr>
        <sz val="10"/>
        <color theme="1"/>
        <rFont val="微軟正黑體"/>
        <family val="2"/>
        <charset val="136"/>
      </rPr>
      <t>次接受治療，支出有看診費</t>
    </r>
    <r>
      <rPr>
        <sz val="10"/>
        <color theme="1"/>
        <rFont val="Arial"/>
        <family val="2"/>
      </rPr>
      <t>400</t>
    </r>
    <r>
      <rPr>
        <sz val="10"/>
        <color theme="1"/>
        <rFont val="微軟正黑體"/>
        <family val="2"/>
        <charset val="136"/>
      </rPr>
      <t>元，以上費用合計</t>
    </r>
    <r>
      <rPr>
        <sz val="10"/>
        <color theme="1"/>
        <rFont val="Arial"/>
        <family val="2"/>
      </rPr>
      <t>1,680</t>
    </r>
    <r>
      <rPr>
        <sz val="10"/>
        <color theme="1"/>
        <rFont val="微軟正黑體"/>
        <family val="2"/>
        <charset val="136"/>
      </rPr>
      <t xml:space="preserve">元，此有基隆長庚眼科診斷證明書、費用收據，與瑞光眼科費用收據可以證明。
</t>
    </r>
    <r>
      <rPr>
        <sz val="10"/>
        <color theme="1"/>
        <rFont val="Arial"/>
        <family val="2"/>
      </rPr>
      <t>4</t>
    </r>
    <r>
      <rPr>
        <sz val="10"/>
        <color theme="1"/>
        <rFont val="微軟正黑體"/>
        <family val="2"/>
        <charset val="136"/>
      </rPr>
      <t>、整形外科診療費用
原告因系爭車禍而人車倒地，臉部與路面發生摩擦，致有臉部擦傷、上唇肥厚性疤痕色素沉澱，因而於</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20</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24</t>
    </r>
    <r>
      <rPr>
        <sz val="10"/>
        <color theme="1"/>
        <rFont val="微軟正黑體"/>
        <family val="2"/>
        <charset val="136"/>
      </rPr>
      <t>日、</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日三度至基隆長庚接受治療，支出有看診費用</t>
    </r>
    <r>
      <rPr>
        <sz val="10"/>
        <color theme="1"/>
        <rFont val="Arial"/>
        <family val="2"/>
      </rPr>
      <t>1</t>
    </r>
    <r>
      <rPr>
        <sz val="10"/>
        <color theme="1"/>
        <rFont val="微軟正黑體"/>
        <family val="2"/>
        <charset val="136"/>
      </rPr>
      <t>萬</t>
    </r>
    <r>
      <rPr>
        <sz val="10"/>
        <color theme="1"/>
        <rFont val="Arial"/>
        <family val="2"/>
      </rPr>
      <t>1,832</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t>
    </r>
    <r>
      <rPr>
        <sz val="10"/>
        <color theme="1"/>
        <rFont val="微軟正黑體"/>
        <family val="2"/>
        <charset val="136"/>
      </rPr>
      <t>萬</t>
    </r>
    <r>
      <rPr>
        <sz val="10"/>
        <color theme="1"/>
        <rFont val="Arial"/>
        <family val="2"/>
      </rPr>
      <t>1,932</t>
    </r>
    <r>
      <rPr>
        <sz val="10"/>
        <color theme="1"/>
        <rFont val="微軟正黑體"/>
        <family val="2"/>
        <charset val="136"/>
      </rPr>
      <t xml:space="preserve">元，此有基隆長庚之整形外科診斷證明書與費用收據可以證明。
</t>
    </r>
    <r>
      <rPr>
        <sz val="10"/>
        <color theme="1"/>
        <rFont val="Arial"/>
        <family val="2"/>
      </rPr>
      <t>5</t>
    </r>
    <r>
      <rPr>
        <sz val="10"/>
        <color theme="1"/>
        <rFont val="微軟正黑體"/>
        <family val="2"/>
        <charset val="136"/>
      </rPr>
      <t>、精神科與中醫診所診療費用
原告因系爭車禍腦部受傷，致有壓力後創傷症候群、憂鬱症、適應性失眠症等症狀。平日除常有偏頭痛之症狀，夜間更因患有憂鬱症而失眠無法正常入睡，即便入睡後亦常於半夜驚醒，故原告於</t>
    </r>
    <r>
      <rPr>
        <sz val="10"/>
        <color theme="1"/>
        <rFont val="Arial"/>
        <family val="2"/>
      </rPr>
      <t>113</t>
    </r>
    <r>
      <rPr>
        <sz val="10"/>
        <color theme="1"/>
        <rFont val="微軟正黑體"/>
        <family val="2"/>
        <charset val="136"/>
      </rPr>
      <t>年</t>
    </r>
    <r>
      <rPr>
        <sz val="10"/>
        <color theme="1"/>
        <rFont val="Arial"/>
        <family val="2"/>
      </rPr>
      <t>2</t>
    </r>
    <r>
      <rPr>
        <sz val="10"/>
        <color theme="1"/>
        <rFont val="微軟正黑體"/>
        <family val="2"/>
        <charset val="136"/>
      </rPr>
      <t>月</t>
    </r>
    <r>
      <rPr>
        <sz val="10"/>
        <color theme="1"/>
        <rFont val="Arial"/>
        <family val="2"/>
      </rPr>
      <t>14</t>
    </r>
    <r>
      <rPr>
        <sz val="10"/>
        <color theme="1"/>
        <rFont val="微軟正黑體"/>
        <family val="2"/>
        <charset val="136"/>
      </rPr>
      <t>日至基隆長庚精神科看診接受治療，支出有診用</t>
    </r>
    <r>
      <rPr>
        <sz val="10"/>
        <color theme="1"/>
        <rFont val="Arial"/>
        <family val="2"/>
      </rPr>
      <t>510</t>
    </r>
    <r>
      <rPr>
        <sz val="10"/>
        <color theme="1"/>
        <rFont val="微軟正黑體"/>
        <family val="2"/>
        <charset val="136"/>
      </rPr>
      <t>元；</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26</t>
    </r>
    <r>
      <rPr>
        <sz val="10"/>
        <color theme="1"/>
        <rFont val="微軟正黑體"/>
        <family val="2"/>
        <charset val="136"/>
      </rPr>
      <t>日至</t>
    </r>
    <r>
      <rPr>
        <sz val="10"/>
        <color theme="1"/>
        <rFont val="Arial"/>
        <family val="2"/>
      </rPr>
      <t>000</t>
    </r>
    <r>
      <rPr>
        <sz val="10"/>
        <color theme="1"/>
        <rFont val="微軟正黑體"/>
        <family val="2"/>
        <charset val="136"/>
      </rPr>
      <t>年</t>
    </r>
    <r>
      <rPr>
        <sz val="10"/>
        <color theme="1"/>
        <rFont val="Arial"/>
        <family val="2"/>
      </rPr>
      <t>0</t>
    </r>
    <r>
      <rPr>
        <sz val="10"/>
        <color theme="1"/>
        <rFont val="微軟正黑體"/>
        <family val="2"/>
        <charset val="136"/>
      </rPr>
      <t>月</t>
    </r>
    <r>
      <rPr>
        <sz val="10"/>
        <color theme="1"/>
        <rFont val="Arial"/>
        <family val="2"/>
      </rPr>
      <t>0</t>
    </r>
    <r>
      <rPr>
        <sz val="10"/>
        <color theme="1"/>
        <rFont val="微軟正黑體"/>
        <family val="2"/>
        <charset val="136"/>
      </rPr>
      <t>日間。五度至基隆陳字斌中醫診所接受睡眠障礙症之治療並接受中醫藥劑調養，因而支出有看診費</t>
    </r>
    <r>
      <rPr>
        <sz val="10"/>
        <color theme="1"/>
        <rFont val="Arial"/>
        <family val="2"/>
      </rPr>
      <t>850</t>
    </r>
    <r>
      <rPr>
        <sz val="10"/>
        <color theme="1"/>
        <rFont val="微軟正黑體"/>
        <family val="2"/>
        <charset val="136"/>
      </rPr>
      <t>元，以及證明前開損害所用之診斷及證明書費</t>
    </r>
    <r>
      <rPr>
        <sz val="10"/>
        <color theme="1"/>
        <rFont val="Arial"/>
        <family val="2"/>
      </rPr>
      <t>100</t>
    </r>
    <r>
      <rPr>
        <sz val="10"/>
        <color theme="1"/>
        <rFont val="微軟正黑體"/>
        <family val="2"/>
        <charset val="136"/>
      </rPr>
      <t>元，共計</t>
    </r>
    <r>
      <rPr>
        <sz val="10"/>
        <color theme="1"/>
        <rFont val="Arial"/>
        <family val="2"/>
      </rPr>
      <t>1,460</t>
    </r>
    <r>
      <rPr>
        <sz val="10"/>
        <color theme="1"/>
        <rFont val="微軟正黑體"/>
        <family val="2"/>
        <charset val="136"/>
      </rPr>
      <t>元，此有基隆長庚與陳字斌中醫診所之診斷書與醫療費用收據可以證明。
（二）交通費部分</t>
    </r>
    <r>
      <rPr>
        <sz val="10"/>
        <color theme="1"/>
        <rFont val="Arial"/>
        <family val="2"/>
      </rPr>
      <t>215</t>
    </r>
    <r>
      <rPr>
        <sz val="10"/>
        <color theme="1"/>
        <rFont val="微軟正黑體"/>
        <family val="2"/>
        <charset val="136"/>
      </rPr>
      <t>元
原告於</t>
    </r>
    <r>
      <rPr>
        <sz val="10"/>
        <color theme="1"/>
        <rFont val="Arial"/>
        <family val="2"/>
      </rPr>
      <t>113</t>
    </r>
    <r>
      <rPr>
        <sz val="10"/>
        <color theme="1"/>
        <rFont val="微軟正黑體"/>
        <family val="2"/>
        <charset val="136"/>
      </rPr>
      <t>年</t>
    </r>
    <r>
      <rPr>
        <sz val="10"/>
        <color theme="1"/>
        <rFont val="Arial"/>
        <family val="2"/>
      </rPr>
      <t>5</t>
    </r>
    <r>
      <rPr>
        <sz val="10"/>
        <color theme="1"/>
        <rFont val="微軟正黑體"/>
        <family val="2"/>
        <charset val="136"/>
      </rPr>
      <t>月</t>
    </r>
    <r>
      <rPr>
        <sz val="10"/>
        <color theme="1"/>
        <rFont val="Arial"/>
        <family val="2"/>
      </rPr>
      <t>28</t>
    </r>
    <r>
      <rPr>
        <sz val="10"/>
        <color theme="1"/>
        <rFont val="微軟正黑體"/>
        <family val="2"/>
        <charset val="136"/>
      </rPr>
      <t>日因須至基隆長庚醫院整形外科回診，來回一共支出計程車交通費用</t>
    </r>
    <r>
      <rPr>
        <sz val="10"/>
        <color theme="1"/>
        <rFont val="Arial"/>
        <family val="2"/>
      </rPr>
      <t>215</t>
    </r>
    <r>
      <rPr>
        <sz val="10"/>
        <color theme="1"/>
        <rFont val="微軟正黑體"/>
        <family val="2"/>
        <charset val="136"/>
      </rPr>
      <t>元。
（三）看護費用部分共計</t>
    </r>
    <r>
      <rPr>
        <sz val="10"/>
        <color theme="1"/>
        <rFont val="Arial"/>
        <family val="2"/>
      </rPr>
      <t>52</t>
    </r>
    <r>
      <rPr>
        <sz val="10"/>
        <color theme="1"/>
        <rFont val="微軟正黑體"/>
        <family val="2"/>
        <charset val="136"/>
      </rPr>
      <t>萬</t>
    </r>
    <r>
      <rPr>
        <sz val="10"/>
        <color theme="1"/>
        <rFont val="Arial"/>
        <family val="2"/>
      </rPr>
      <t>5,000</t>
    </r>
    <r>
      <rPr>
        <sz val="10"/>
        <color theme="1"/>
        <rFont val="微軟正黑體"/>
        <family val="2"/>
        <charset val="136"/>
      </rPr>
      <t>元
本件原告因系爭車禍受傷入院接受手術開刀治療後，</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18</t>
    </r>
    <r>
      <rPr>
        <sz val="10"/>
        <color theme="1"/>
        <rFont val="微軟正黑體"/>
        <family val="2"/>
        <charset val="136"/>
      </rPr>
      <t>日經基隆長庚診斷「出院後宜休養</t>
    </r>
    <r>
      <rPr>
        <sz val="10"/>
        <color theme="1"/>
        <rFont val="Arial"/>
        <family val="2"/>
      </rPr>
      <t>3</t>
    </r>
    <r>
      <rPr>
        <sz val="10"/>
        <color theme="1"/>
        <rFont val="微軟正黑體"/>
        <family val="2"/>
        <charset val="136"/>
      </rPr>
      <t>個月以上，並需專人</t>
    </r>
    <r>
      <rPr>
        <sz val="10"/>
        <color theme="1"/>
        <rFont val="Arial"/>
        <family val="2"/>
      </rPr>
      <t>24</t>
    </r>
    <r>
      <rPr>
        <sz val="10"/>
        <color theme="1"/>
        <rFont val="微軟正黑體"/>
        <family val="2"/>
        <charset val="136"/>
      </rPr>
      <t>小時照護」；</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25</t>
    </r>
    <r>
      <rPr>
        <sz val="10"/>
        <color theme="1"/>
        <rFont val="微軟正黑體"/>
        <family val="2"/>
        <charset val="136"/>
      </rPr>
      <t>日回診後，醫師認為因原告「創傷後視力及記憶力恢復不全，情緒不穩定，需專人長時間陪護照顧至少</t>
    </r>
    <r>
      <rPr>
        <sz val="10"/>
        <color theme="1"/>
        <rFont val="Arial"/>
        <family val="2"/>
      </rPr>
      <t>2</t>
    </r>
    <r>
      <rPr>
        <sz val="10"/>
        <color theme="1"/>
        <rFont val="微軟正黑體"/>
        <family val="2"/>
        <charset val="136"/>
      </rPr>
      <t>個月」；</t>
    </r>
    <r>
      <rPr>
        <sz val="10"/>
        <color theme="1"/>
        <rFont val="Arial"/>
        <family val="2"/>
      </rPr>
      <t>113</t>
    </r>
    <r>
      <rPr>
        <sz val="10"/>
        <color theme="1"/>
        <rFont val="微軟正黑體"/>
        <family val="2"/>
        <charset val="136"/>
      </rPr>
      <t>年</t>
    </r>
    <r>
      <rPr>
        <sz val="10"/>
        <color theme="1"/>
        <rFont val="Arial"/>
        <family val="2"/>
      </rPr>
      <t>6</t>
    </r>
    <r>
      <rPr>
        <sz val="10"/>
        <color theme="1"/>
        <rFont val="微軟正黑體"/>
        <family val="2"/>
        <charset val="136"/>
      </rPr>
      <t>月</t>
    </r>
    <r>
      <rPr>
        <sz val="10"/>
        <color theme="1"/>
        <rFont val="Arial"/>
        <family val="2"/>
      </rPr>
      <t>13</t>
    </r>
    <r>
      <rPr>
        <sz val="10"/>
        <color theme="1"/>
        <rFont val="微軟正黑體"/>
        <family val="2"/>
        <charset val="136"/>
      </rPr>
      <t>日回診後，醫師仍認「須專人長時間陪護照顧至少</t>
    </r>
    <r>
      <rPr>
        <sz val="10"/>
        <color theme="1"/>
        <rFont val="Arial"/>
        <family val="2"/>
      </rPr>
      <t>2</t>
    </r>
    <r>
      <rPr>
        <sz val="10"/>
        <color theme="1"/>
        <rFont val="微軟正黑體"/>
        <family val="2"/>
        <charset val="136"/>
      </rPr>
      <t>個月以上」，此有歷次之診斷證明書可證明。從而原告共計有</t>
    </r>
    <r>
      <rPr>
        <sz val="10"/>
        <color theme="1"/>
        <rFont val="Arial"/>
        <family val="2"/>
      </rPr>
      <t>7</t>
    </r>
    <r>
      <rPr>
        <sz val="10"/>
        <color theme="1"/>
        <rFont val="微軟正黑體"/>
        <family val="2"/>
        <charset val="136"/>
      </rPr>
      <t>個月之時間需由專人照護陪伴，又雖原告並未聘僱看護照顧，而是由其婆婆與配偶輪流代為照顧，然而依照最高法院</t>
    </r>
    <r>
      <rPr>
        <sz val="10"/>
        <color theme="1"/>
        <rFont val="Arial"/>
        <family val="2"/>
      </rPr>
      <t>94</t>
    </r>
    <r>
      <rPr>
        <sz val="10"/>
        <color theme="1"/>
        <rFont val="微軟正黑體"/>
        <family val="2"/>
        <charset val="136"/>
      </rPr>
      <t>年度台上字第</t>
    </r>
    <r>
      <rPr>
        <sz val="10"/>
        <color theme="1"/>
        <rFont val="Arial"/>
        <family val="2"/>
      </rPr>
      <t>1543</t>
    </r>
    <r>
      <rPr>
        <sz val="10"/>
        <color theme="1"/>
        <rFont val="微軟正黑體"/>
        <family val="2"/>
        <charset val="136"/>
      </rPr>
      <t>號裁判意旨，縱原告因親屬關係而無現實之看護費支出，仍應比照一般看護情形，認定原告受有相當於看護費之損害，故原告參考基隆長庚紀念醫院</t>
    </r>
    <r>
      <rPr>
        <sz val="10"/>
        <color theme="1"/>
        <rFont val="Arial"/>
        <family val="2"/>
      </rPr>
      <t>112</t>
    </r>
    <r>
      <rPr>
        <sz val="10"/>
        <color theme="1"/>
        <rFont val="微軟正黑體"/>
        <family val="2"/>
        <charset val="136"/>
      </rPr>
      <t>年招募全日看護工照顧服務員之徵人啟事作為行情價標準，認為一般長時間專人照顧服務員，每日薪資約為</t>
    </r>
    <r>
      <rPr>
        <sz val="10"/>
        <color theme="1"/>
        <rFont val="Arial"/>
        <family val="2"/>
      </rPr>
      <t>2,500</t>
    </r>
    <r>
      <rPr>
        <sz val="10"/>
        <color theme="1"/>
        <rFont val="微軟正黑體"/>
        <family val="2"/>
        <charset val="136"/>
      </rPr>
      <t>至</t>
    </r>
    <r>
      <rPr>
        <sz val="10"/>
        <color theme="1"/>
        <rFont val="Arial"/>
        <family val="2"/>
      </rPr>
      <t>3,000</t>
    </r>
    <r>
      <rPr>
        <sz val="10"/>
        <color theme="1"/>
        <rFont val="微軟正黑體"/>
        <family val="2"/>
        <charset val="136"/>
      </rPr>
      <t>元之間，而本件原告因系爭車禍受傷在家休養，診斷證明書並載明須專人</t>
    </r>
    <r>
      <rPr>
        <sz val="10"/>
        <color theme="1"/>
        <rFont val="Arial"/>
        <family val="2"/>
      </rPr>
      <t>24</t>
    </r>
    <r>
      <rPr>
        <sz val="10"/>
        <color theme="1"/>
        <rFont val="微軟正黑體"/>
        <family val="2"/>
        <charset val="136"/>
      </rPr>
      <t>小時照護，原告因未實際聘僱看護而是由婆婆代為照顧，因此僅以最低價</t>
    </r>
    <r>
      <rPr>
        <sz val="10"/>
        <color theme="1"/>
        <rFont val="Arial"/>
        <family val="2"/>
      </rPr>
      <t>2,500</t>
    </r>
    <r>
      <rPr>
        <sz val="10"/>
        <color theme="1"/>
        <rFont val="微軟正黑體"/>
        <family val="2"/>
        <charset val="136"/>
      </rPr>
      <t>元計算每日看護費用，請求</t>
    </r>
    <r>
      <rPr>
        <sz val="10"/>
        <color theme="1"/>
        <rFont val="Arial"/>
        <family val="2"/>
      </rPr>
      <t>7</t>
    </r>
    <r>
      <rPr>
        <sz val="10"/>
        <color theme="1"/>
        <rFont val="微軟正黑體"/>
        <family val="2"/>
        <charset val="136"/>
      </rPr>
      <t>個月共計</t>
    </r>
    <r>
      <rPr>
        <sz val="10"/>
        <color theme="1"/>
        <rFont val="Arial"/>
        <family val="2"/>
      </rPr>
      <t>52</t>
    </r>
    <r>
      <rPr>
        <sz val="10"/>
        <color theme="1"/>
        <rFont val="微軟正黑體"/>
        <family val="2"/>
        <charset val="136"/>
      </rPr>
      <t>萬</t>
    </r>
    <r>
      <rPr>
        <sz val="10"/>
        <color theme="1"/>
        <rFont val="Arial"/>
        <family val="2"/>
      </rPr>
      <t>5,000</t>
    </r>
    <r>
      <rPr>
        <sz val="10"/>
        <color theme="1"/>
        <rFont val="微軟正黑體"/>
        <family val="2"/>
        <charset val="136"/>
      </rPr>
      <t>元【計算式：</t>
    </r>
    <r>
      <rPr>
        <sz val="10"/>
        <color theme="1"/>
        <rFont val="Arial"/>
        <family val="2"/>
      </rPr>
      <t>2,500</t>
    </r>
    <r>
      <rPr>
        <sz val="10"/>
        <color theme="1"/>
        <rFont val="微軟正黑體"/>
        <family val="2"/>
        <charset val="136"/>
      </rPr>
      <t>元×</t>
    </r>
    <r>
      <rPr>
        <sz val="10"/>
        <color theme="1"/>
        <rFont val="Arial"/>
        <family val="2"/>
      </rPr>
      <t>30</t>
    </r>
    <r>
      <rPr>
        <sz val="10"/>
        <color theme="1"/>
        <rFont val="微軟正黑體"/>
        <family val="2"/>
        <charset val="136"/>
      </rPr>
      <t>日×</t>
    </r>
    <r>
      <rPr>
        <sz val="10"/>
        <color theme="1"/>
        <rFont val="Arial"/>
        <family val="2"/>
      </rPr>
      <t>7</t>
    </r>
    <r>
      <rPr>
        <sz val="10"/>
        <color theme="1"/>
        <rFont val="微軟正黑體"/>
        <family val="2"/>
        <charset val="136"/>
      </rPr>
      <t>個月＝</t>
    </r>
    <r>
      <rPr>
        <sz val="10"/>
        <color theme="1"/>
        <rFont val="Arial"/>
        <family val="2"/>
      </rPr>
      <t>52</t>
    </r>
    <r>
      <rPr>
        <sz val="10"/>
        <color theme="1"/>
        <rFont val="微軟正黑體"/>
        <family val="2"/>
        <charset val="136"/>
      </rPr>
      <t>萬</t>
    </r>
    <r>
      <rPr>
        <sz val="10"/>
        <color theme="1"/>
        <rFont val="Arial"/>
        <family val="2"/>
      </rPr>
      <t>5,000</t>
    </r>
    <r>
      <rPr>
        <sz val="10"/>
        <color theme="1"/>
        <rFont val="微軟正黑體"/>
        <family val="2"/>
        <charset val="136"/>
      </rPr>
      <t>元】。
（四）無法家務勞動之損失部分共計</t>
    </r>
    <r>
      <rPr>
        <sz val="10"/>
        <color theme="1"/>
        <rFont val="Arial"/>
        <family val="2"/>
      </rPr>
      <t>18</t>
    </r>
    <r>
      <rPr>
        <sz val="10"/>
        <color theme="1"/>
        <rFont val="微軟正黑體"/>
        <family val="2"/>
        <charset val="136"/>
      </rPr>
      <t>萬</t>
    </r>
    <r>
      <rPr>
        <sz val="10"/>
        <color theme="1"/>
        <rFont val="Arial"/>
        <family val="2"/>
      </rPr>
      <t>9,080</t>
    </r>
    <r>
      <rPr>
        <sz val="10"/>
        <color theme="1"/>
        <rFont val="微軟正黑體"/>
        <family val="2"/>
        <charset val="136"/>
      </rPr>
      <t>元
原告雖然是家庭主婦，並無現實之工作收入資料可為參考，然依最高法院</t>
    </r>
    <r>
      <rPr>
        <sz val="10"/>
        <color theme="1"/>
        <rFont val="Arial"/>
        <family val="2"/>
      </rPr>
      <t>92</t>
    </r>
    <r>
      <rPr>
        <sz val="10"/>
        <color theme="1"/>
        <rFont val="微軟正黑體"/>
        <family val="2"/>
        <charset val="136"/>
      </rPr>
      <t>年度台上字第</t>
    </r>
    <r>
      <rPr>
        <sz val="10"/>
        <color theme="1"/>
        <rFont val="Arial"/>
        <family val="2"/>
      </rPr>
      <t>1626</t>
    </r>
    <r>
      <rPr>
        <sz val="10"/>
        <color theme="1"/>
        <rFont val="微軟正黑體"/>
        <family val="2"/>
        <charset val="136"/>
      </rPr>
      <t>號判決意旨，原告於家中處理家務之勞動能力，應能以另僱他人代勞而支出之報酬予以評價，故原告所受無法從事家務勞動之損失，自應比照基本工資而為計算。本件事故發生於</t>
    </r>
    <r>
      <rPr>
        <sz val="10"/>
        <color theme="1"/>
        <rFont val="Arial"/>
        <family val="2"/>
      </rPr>
      <t>112</t>
    </r>
    <r>
      <rPr>
        <sz val="10"/>
        <color theme="1"/>
        <rFont val="微軟正黑體"/>
        <family val="2"/>
        <charset val="136"/>
      </rPr>
      <t>年</t>
    </r>
    <r>
      <rPr>
        <sz val="10"/>
        <color theme="1"/>
        <rFont val="Arial"/>
        <family val="2"/>
      </rPr>
      <t>10</t>
    </r>
    <r>
      <rPr>
        <sz val="10"/>
        <color theme="1"/>
        <rFont val="微軟正黑體"/>
        <family val="2"/>
        <charset val="136"/>
      </rPr>
      <t>月</t>
    </r>
    <r>
      <rPr>
        <sz val="10"/>
        <color theme="1"/>
        <rFont val="Arial"/>
        <family val="2"/>
      </rPr>
      <t>27</t>
    </r>
    <r>
      <rPr>
        <sz val="10"/>
        <color theme="1"/>
        <rFont val="微軟正黑體"/>
        <family val="2"/>
        <charset val="136"/>
      </rPr>
      <t>日，原告因系爭車禍而受傷，</t>
    </r>
    <r>
      <rPr>
        <sz val="10"/>
        <color theme="1"/>
        <rFont val="Arial"/>
        <family val="2"/>
      </rPr>
      <t>112</t>
    </r>
    <r>
      <rPr>
        <sz val="10"/>
        <color theme="1"/>
        <rFont val="微軟正黑體"/>
        <family val="2"/>
        <charset val="136"/>
      </rPr>
      <t>年</t>
    </r>
    <r>
      <rPr>
        <sz val="10"/>
        <color theme="1"/>
        <rFont val="Arial"/>
        <family val="2"/>
      </rPr>
      <t>12</t>
    </r>
    <r>
      <rPr>
        <sz val="10"/>
        <color theme="1"/>
        <rFont val="微軟正黑體"/>
        <family val="2"/>
        <charset val="136"/>
      </rPr>
      <t>月</t>
    </r>
    <r>
      <rPr>
        <sz val="10"/>
        <color theme="1"/>
        <rFont val="Arial"/>
        <family val="2"/>
      </rPr>
      <t>18</t>
    </r>
    <r>
      <rPr>
        <sz val="10"/>
        <color theme="1"/>
        <rFont val="微軟正黑體"/>
        <family val="2"/>
        <charset val="136"/>
      </rPr>
      <t>日經基隆長庚醫院診斷出院後「宜休養</t>
    </r>
    <r>
      <rPr>
        <sz val="10"/>
        <color theme="1"/>
        <rFont val="Arial"/>
        <family val="2"/>
      </rPr>
      <t>3</t>
    </r>
    <r>
      <rPr>
        <sz val="10"/>
        <color theme="1"/>
        <rFont val="微軟正黑體"/>
        <family val="2"/>
        <charset val="136"/>
      </rPr>
      <t>個月以上，並需專人</t>
    </r>
    <r>
      <rPr>
        <sz val="10"/>
        <color theme="1"/>
        <rFont val="Arial"/>
        <family val="2"/>
      </rPr>
      <t>24</t>
    </r>
    <r>
      <rPr>
        <sz val="10"/>
        <color theme="1"/>
        <rFont val="微軟正黑體"/>
        <family val="2"/>
        <charset val="136"/>
      </rPr>
      <t>小時照護」；</t>
    </r>
    <r>
      <rPr>
        <sz val="10"/>
        <color theme="1"/>
        <rFont val="Arial"/>
        <family val="2"/>
      </rPr>
      <t>113</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25</t>
    </r>
    <r>
      <rPr>
        <sz val="10"/>
        <color theme="1"/>
        <rFont val="微軟正黑體"/>
        <family val="2"/>
        <charset val="136"/>
      </rPr>
      <t>日回診後，醫師認因原告「創傷後視力及記憶力恢復不全，情緒不穩定，需專人長時間陪護照顧至少</t>
    </r>
    <r>
      <rPr>
        <sz val="10"/>
        <color theme="1"/>
        <rFont val="Arial"/>
        <family val="2"/>
      </rPr>
      <t>2</t>
    </r>
    <r>
      <rPr>
        <sz val="10"/>
        <color theme="1"/>
        <rFont val="微軟正黑體"/>
        <family val="2"/>
        <charset val="136"/>
      </rPr>
      <t>個月」，依行政院勞動部公布於</t>
    </r>
    <r>
      <rPr>
        <sz val="10"/>
        <color theme="1"/>
        <rFont val="Arial"/>
        <family val="2"/>
      </rPr>
      <t>112</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1</t>
    </r>
    <r>
      <rPr>
        <sz val="10"/>
        <color theme="1"/>
        <rFont val="微軟正黑體"/>
        <family val="2"/>
        <charset val="136"/>
      </rPr>
      <t>日起實施之基本工資為每月</t>
    </r>
    <r>
      <rPr>
        <sz val="10"/>
        <color theme="1"/>
        <rFont val="Arial"/>
        <family val="2"/>
      </rPr>
      <t>2</t>
    </r>
    <r>
      <rPr>
        <sz val="10"/>
        <color theme="1"/>
        <rFont val="微軟正黑體"/>
        <family val="2"/>
        <charset val="136"/>
      </rPr>
      <t>萬</t>
    </r>
    <r>
      <rPr>
        <sz val="10"/>
        <color theme="1"/>
        <rFont val="Arial"/>
        <family val="2"/>
      </rPr>
      <t>6,400</t>
    </r>
    <r>
      <rPr>
        <sz val="10"/>
        <color theme="1"/>
        <rFont val="微軟正黑體"/>
        <family val="2"/>
        <charset val="136"/>
      </rPr>
      <t>元；</t>
    </r>
    <r>
      <rPr>
        <sz val="10"/>
        <color theme="1"/>
        <rFont val="Arial"/>
        <family val="2"/>
      </rPr>
      <t>113</t>
    </r>
    <r>
      <rPr>
        <sz val="10"/>
        <color theme="1"/>
        <rFont val="微軟正黑體"/>
        <family val="2"/>
        <charset val="136"/>
      </rPr>
      <t>年</t>
    </r>
    <r>
      <rPr>
        <sz val="10"/>
        <color theme="1"/>
        <rFont val="Arial"/>
        <family val="2"/>
      </rPr>
      <t>1</t>
    </r>
    <r>
      <rPr>
        <sz val="10"/>
        <color theme="1"/>
        <rFont val="微軟正黑體"/>
        <family val="2"/>
        <charset val="136"/>
      </rPr>
      <t>月</t>
    </r>
    <r>
      <rPr>
        <sz val="10"/>
        <color theme="1"/>
        <rFont val="Arial"/>
        <family val="2"/>
      </rPr>
      <t>1</t>
    </r>
    <r>
      <rPr>
        <sz val="10"/>
        <color theme="1"/>
        <rFont val="微軟正黑體"/>
        <family val="2"/>
        <charset val="136"/>
      </rPr>
      <t>日起實施之基本工資為每月</t>
    </r>
    <r>
      <rPr>
        <sz val="10"/>
        <color theme="1"/>
        <rFont val="Arial"/>
        <family val="2"/>
      </rPr>
      <t>2</t>
    </r>
    <r>
      <rPr>
        <sz val="10"/>
        <color theme="1"/>
        <rFont val="微軟正黑體"/>
        <family val="2"/>
        <charset val="136"/>
      </rPr>
      <t>萬</t>
    </r>
    <r>
      <rPr>
        <sz val="10"/>
        <color theme="1"/>
        <rFont val="Arial"/>
        <family val="2"/>
      </rPr>
      <t>7,470</t>
    </r>
    <r>
      <rPr>
        <sz val="10"/>
        <color theme="1"/>
        <rFont val="微軟正黑體"/>
        <family val="2"/>
        <charset val="136"/>
      </rPr>
      <t>元作為基準計算，原告此</t>
    </r>
    <r>
      <rPr>
        <sz val="10"/>
        <color theme="1"/>
        <rFont val="Arial"/>
        <family val="2"/>
      </rPr>
      <t>7</t>
    </r>
    <r>
      <rPr>
        <sz val="10"/>
        <color theme="1"/>
        <rFont val="微軟正黑體"/>
        <family val="2"/>
        <charset val="136"/>
      </rPr>
      <t>個月無法從事家務勞動之工作損失應為</t>
    </r>
    <r>
      <rPr>
        <sz val="10"/>
        <color theme="1"/>
        <rFont val="Arial"/>
        <family val="2"/>
      </rPr>
      <t>18</t>
    </r>
    <r>
      <rPr>
        <sz val="10"/>
        <color theme="1"/>
        <rFont val="微軟正黑體"/>
        <family val="2"/>
        <charset val="136"/>
      </rPr>
      <t>萬</t>
    </r>
    <r>
      <rPr>
        <sz val="10"/>
        <color theme="1"/>
        <rFont val="Arial"/>
        <family val="2"/>
      </rPr>
      <t>9,080</t>
    </r>
    <r>
      <rPr>
        <sz val="10"/>
        <color theme="1"/>
        <rFont val="微軟正黑體"/>
        <family val="2"/>
        <charset val="136"/>
      </rPr>
      <t>元【計算式：</t>
    </r>
    <r>
      <rPr>
        <sz val="10"/>
        <color theme="1"/>
        <rFont val="Arial"/>
        <family val="2"/>
      </rPr>
      <t>2</t>
    </r>
    <r>
      <rPr>
        <sz val="10"/>
        <color theme="1"/>
        <rFont val="微軟正黑體"/>
        <family val="2"/>
        <charset val="136"/>
      </rPr>
      <t>萬</t>
    </r>
    <r>
      <rPr>
        <sz val="10"/>
        <color theme="1"/>
        <rFont val="Arial"/>
        <family val="2"/>
      </rPr>
      <t>6,400</t>
    </r>
    <r>
      <rPr>
        <sz val="10"/>
        <color theme="1"/>
        <rFont val="微軟正黑體"/>
        <family val="2"/>
        <charset val="136"/>
      </rPr>
      <t>元×</t>
    </r>
    <r>
      <rPr>
        <sz val="10"/>
        <color theme="1"/>
        <rFont val="Arial"/>
        <family val="2"/>
      </rPr>
      <t>3</t>
    </r>
    <r>
      <rPr>
        <sz val="10"/>
        <color theme="1"/>
        <rFont val="微軟正黑體"/>
        <family val="2"/>
        <charset val="136"/>
      </rPr>
      <t>月＋</t>
    </r>
    <r>
      <rPr>
        <sz val="10"/>
        <color theme="1"/>
        <rFont val="Arial"/>
        <family val="2"/>
      </rPr>
      <t>2</t>
    </r>
    <r>
      <rPr>
        <sz val="10"/>
        <color theme="1"/>
        <rFont val="微軟正黑體"/>
        <family val="2"/>
        <charset val="136"/>
      </rPr>
      <t>萬</t>
    </r>
    <r>
      <rPr>
        <sz val="10"/>
        <color theme="1"/>
        <rFont val="Arial"/>
        <family val="2"/>
      </rPr>
      <t>7,470</t>
    </r>
    <r>
      <rPr>
        <sz val="10"/>
        <color theme="1"/>
        <rFont val="微軟正黑體"/>
        <family val="2"/>
        <charset val="136"/>
      </rPr>
      <t>元×</t>
    </r>
    <r>
      <rPr>
        <sz val="10"/>
        <color theme="1"/>
        <rFont val="Arial"/>
        <family val="2"/>
      </rPr>
      <t>4</t>
    </r>
    <r>
      <rPr>
        <sz val="10"/>
        <color theme="1"/>
        <rFont val="微軟正黑體"/>
        <family val="2"/>
        <charset val="136"/>
      </rPr>
      <t>月</t>
    </r>
    <r>
      <rPr>
        <sz val="10"/>
        <color theme="1"/>
        <rFont val="Arial"/>
        <family val="2"/>
      </rPr>
      <t>=18</t>
    </r>
    <r>
      <rPr>
        <sz val="10"/>
        <color theme="1"/>
        <rFont val="微軟正黑體"/>
        <family val="2"/>
        <charset val="136"/>
      </rPr>
      <t>萬</t>
    </r>
    <r>
      <rPr>
        <sz val="10"/>
        <color theme="1"/>
        <rFont val="Arial"/>
        <family val="2"/>
      </rPr>
      <t>9,080</t>
    </r>
    <r>
      <rPr>
        <sz val="10"/>
        <color theme="1"/>
        <rFont val="微軟正黑體"/>
        <family val="2"/>
        <charset val="136"/>
      </rPr>
      <t>元】。
（五）慰撫金部分</t>
    </r>
    <r>
      <rPr>
        <sz val="10"/>
        <color theme="1"/>
        <rFont val="Arial"/>
        <family val="2"/>
      </rPr>
      <t>130</t>
    </r>
    <r>
      <rPr>
        <sz val="10"/>
        <color theme="1"/>
        <rFont val="微軟正黑體"/>
        <family val="2"/>
        <charset val="136"/>
      </rPr>
      <t>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t>
    </r>
    <r>
      <rPr>
        <sz val="10"/>
        <color theme="1"/>
        <rFont val="Arial"/>
        <family val="2"/>
      </rPr>
      <t>1</t>
    </r>
    <r>
      <rPr>
        <sz val="10"/>
        <color theme="1"/>
        <rFont val="微軟正黑體"/>
        <family val="2"/>
        <charset val="136"/>
      </rPr>
      <t>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t>
    </r>
    <r>
      <rPr>
        <sz val="10"/>
        <color theme="1"/>
        <rFont val="Arial"/>
        <family val="2"/>
      </rPr>
      <t>130</t>
    </r>
    <r>
      <rPr>
        <sz val="10"/>
        <color theme="1"/>
        <rFont val="微軟正黑體"/>
        <family val="2"/>
        <charset val="136"/>
      </rPr>
      <t>萬元。</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</si>
</sst>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新細明體"/>
      <family val="2"/>
      <charset val="136"/>
      <scheme val="minor"/>
    </font>
    <font>
      <sz val="10"/>
      <color theme="1"/>
      <name val="Arial"/>
      <family val="2"/>
    </font>
    <font>
      <b/>
      <sz val="10"/>
      <color theme="1"/>
      <name val="Arial"/>
      <family val="2"/>
    </font>
    <font>
      <sz val="9"/>
      <name val="新細明體"/>
      <family val="2"/>
      <charset val="136"/>
      <scheme val="minor"/>
    </font>
    <font>
      <sz val="10"/>
      <color theme="1"/>
      <name val="微軟正黑體"/>
      <family val="2"/>
      <charset val="136"/>
    </font>
    <font>
      <sz val="10"/>
      <color theme="1"/>
      <name val="MS Gothic"/>
      <family val="3"/>
      <charset val="128"/>
    </font>
    <font>
      <sz val="10"/>
      <color theme="1"/>
      <name val="Arial"/>
      <family val="2"/>
      <charset val="136"/>
    </font>
    <font>
      <sz val="9"/>
      <name val="新細明體"/>
      <family val="3"/>
      <charset val="136"/>
      <scheme val="minor"/>
    </font>
    <font>
      <sz val="11"/>
      <name val="新細明體"/>
      <family val="1"/>
      <charset val="136"/>
      <scheme val="minor"/>
    </font>
    <font>
      <sz val="11"/>
      <name val="新細明體"/>
      <family val="1"/>
      <charset val="136"/>
    </font>
    <font>
      <b/>
      <sz val="11"/>
      <color theme="1"/>
      <name val="新細明體"/>
      <family val="1"/>
      <charset val="136"/>
      <scheme val="minor"/>
    </font>
    <font>
      <sz val="10"/>
      <color theme="1"/>
      <name val="Segoe UI Symbol"/>
      <family val="2"/>
    </font>
    <font>
      <b/>
      <sz val="10"/>
      <color theme="1"/>
      <name val="新細明體"/>
      <family val="1"/>
      <charset val="136"/>
      <scheme val="minor"/>
    </font>
    <font>
      <sz val="10"/>
      <color theme="1"/>
      <name val="新細明體"/>
      <family val="1"/>
      <charset val="136"/>
      <scheme val="minor"/>
    </font>
  </fonts>
  <fills count="6">
    <fill>
      <patternFill patternType="none"/>
    </fill>
    <fill>
      <patternFill patternType="gray125"/>
    </fill>
    <fill>
      <patternFill patternType="solid">
        <fgColor rgb="FFFFFFFF"/>
        <bgColor indexed="64"/>
      </patternFill>
    </fill>
    <fill>
      <patternFill patternType="solid">
        <fgColor rgb="FF00FFFF"/>
        <bgColor indexed="64"/>
      </patternFill>
    </fill>
    <fill>
      <patternFill patternType="solid">
        <fgColor rgb="FFEFEFEF"/>
        <bgColor indexed="64"/>
      </patternFill>
    </fill>
    <fill>
      <patternFill patternType="solid">
        <fgColor theme="4" tint="0.79998168889431442"/>
        <bgColor indexed="64"/>
      </patternFill>
    </fill>
  </fills>
  <borders count="14">
    <border>
      <left/>
      <right/>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
      <left style="medium">
        <color rgb="FF000000"/>
      </left>
      <right style="medium">
        <color rgb="FFCCCCCC"/>
      </right>
      <top style="medium">
        <color rgb="FF000000"/>
      </top>
      <bottom/>
      <diagonal/>
    </border>
    <border>
      <left style="medium">
        <color rgb="FF000000"/>
      </left>
      <right style="medium">
        <color rgb="FFCCCCCC"/>
      </right>
      <top/>
      <bottom/>
      <diagonal/>
    </border>
    <border>
      <left style="medium">
        <color rgb="FF000000"/>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000000"/>
      </left>
      <right style="medium">
        <color rgb="FFCCCCCC"/>
      </right>
      <top style="medium">
        <color rgb="FFCCCCCC"/>
      </top>
      <bottom/>
      <diagonal/>
    </border>
    <border>
      <left style="medium">
        <color rgb="FF000000"/>
      </left>
      <right style="medium">
        <color rgb="FFCCCCCC"/>
      </right>
      <top/>
      <bottom style="medium">
        <color rgb="FF000000"/>
      </bottom>
      <diagonal/>
    </border>
  </borders>
  <cellStyleXfs count="1">
    <xf numFmtId="0" fontId="0" fillId="0" borderId="0">
      <alignment vertical="center"/>
    </xf>
  </cellStyleXfs>
  <cellXfs count="32">
    <xf numFmtId="0" fontId="0" fillId="0" borderId="0" xfId="0">
      <alignment vertical="center"/>
    </xf>
    <xf numFmtId="0" fontId="12" fillId="0" borderId="3" xfId="0" applyFont="1" applyBorder="1" applyAlignment="1">
      <alignment horizontal="left" vertical="center"/>
    </xf>
    <xf numFmtId="0" fontId="0" fillId="0" borderId="0" xfId="0" applyAlignment="1">
      <alignment horizontal="left" vertical="center"/>
    </xf>
    <xf numFmtId="0" fontId="2" fillId="3" borderId="3" xfId="0" applyFont="1" applyFill="1" applyBorder="1" applyAlignment="1">
      <alignment horizontal="left" vertical="center"/>
    </xf>
    <xf numFmtId="0" fontId="9" fillId="0" borderId="5" xfId="0" applyFont="1" applyBorder="1" applyAlignment="1">
      <alignment horizontal="left" vertical="center"/>
    </xf>
    <xf numFmtId="0" fontId="9" fillId="5" borderId="5" xfId="0" applyFont="1" applyFill="1" applyBorder="1" applyAlignment="1">
      <alignment horizontal="left" vertical="center"/>
    </xf>
    <xf numFmtId="0" fontId="9" fillId="0" borderId="0" xfId="0" applyFont="1" applyAlignment="1">
      <alignment horizontal="left" vertical="center"/>
    </xf>
    <xf numFmtId="0" fontId="13" fillId="2" borderId="6" xfId="0" applyFont="1" applyFill="1" applyBorder="1" applyAlignment="1">
      <alignment horizontal="left" vertical="center"/>
    </xf>
    <xf numFmtId="0" fontId="1" fillId="2" borderId="1" xfId="0" applyFont="1" applyFill="1" applyBorder="1" applyAlignment="1">
      <alignment horizontal="left" vertical="center"/>
    </xf>
    <xf numFmtId="0" fontId="6" fillId="0" borderId="4" xfId="0" applyFont="1" applyBorder="1" applyAlignment="1">
      <alignment horizontal="left" vertical="center"/>
    </xf>
    <xf numFmtId="0" fontId="0" fillId="5" borderId="0" xfId="0" applyFill="1" applyAlignment="1">
      <alignment horizontal="left" vertical="center"/>
    </xf>
    <xf numFmtId="0" fontId="13" fillId="2" borderId="7" xfId="0" applyFont="1" applyFill="1" applyBorder="1" applyAlignment="1">
      <alignment horizontal="left" vertical="center"/>
    </xf>
    <xf numFmtId="0" fontId="1" fillId="0" borderId="4" xfId="0" applyFont="1" applyBorder="1" applyAlignment="1">
      <alignment horizontal="left" vertical="center"/>
    </xf>
    <xf numFmtId="0" fontId="1" fillId="4" borderId="4" xfId="0" applyFont="1" applyFill="1" applyBorder="1" applyAlignment="1">
      <alignment horizontal="left" vertical="center"/>
    </xf>
    <xf numFmtId="0" fontId="8" fillId="0" borderId="0" xfId="0" applyFont="1" applyAlignment="1">
      <alignment horizontal="left" vertical="center"/>
    </xf>
    <xf numFmtId="0" fontId="13" fillId="2" borderId="8" xfId="0" applyFont="1" applyFill="1" applyBorder="1" applyAlignment="1">
      <alignment horizontal="left" vertical="center"/>
    </xf>
    <xf numFmtId="0" fontId="1" fillId="2" borderId="2" xfId="0" applyFont="1" applyFill="1" applyBorder="1" applyAlignment="1">
      <alignment horizontal="left" vertical="center"/>
    </xf>
    <xf numFmtId="0" fontId="13" fillId="2" borderId="9" xfId="0" applyFont="1" applyFill="1" applyBorder="1" applyAlignment="1">
      <alignment horizontal="left" vertical="center"/>
    </xf>
    <xf numFmtId="0" fontId="13" fillId="2" borderId="10" xfId="0" applyFont="1" applyFill="1" applyBorder="1" applyAlignment="1">
      <alignment horizontal="left" vertical="center"/>
    </xf>
    <xf numFmtId="0" fontId="13" fillId="2" borderId="11" xfId="0" applyFont="1" applyFill="1" applyBorder="1" applyAlignment="1">
      <alignment horizontal="left" vertical="center"/>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0" borderId="6" xfId="0" applyFont="1" applyBorder="1" applyAlignment="1">
      <alignment horizontal="left" vertical="center"/>
    </xf>
    <xf numFmtId="0" fontId="1" fillId="0" borderId="1" xfId="0" applyFont="1" applyBorder="1" applyAlignment="1">
      <alignment horizontal="left" vertical="center"/>
    </xf>
    <xf numFmtId="0" fontId="13" fillId="0" borderId="7" xfId="0" applyFont="1" applyBorder="1" applyAlignment="1">
      <alignment horizontal="left" vertical="center"/>
    </xf>
    <xf numFmtId="0" fontId="6" fillId="0" borderId="1" xfId="0" applyFont="1" applyBorder="1" applyAlignment="1">
      <alignment horizontal="left" vertical="center"/>
    </xf>
    <xf numFmtId="0" fontId="13" fillId="0" borderId="13" xfId="0" applyFont="1" applyBorder="1" applyAlignment="1">
      <alignment horizontal="left" vertical="center"/>
    </xf>
    <xf numFmtId="0" fontId="1" fillId="0" borderId="2" xfId="0" applyFont="1" applyBorder="1" applyAlignment="1">
      <alignment horizontal="left" vertical="center"/>
    </xf>
    <xf numFmtId="0" fontId="13" fillId="0" borderId="4" xfId="0" applyFont="1" applyBorder="1" applyAlignment="1">
      <alignment horizontal="left" vertical="center"/>
    </xf>
    <xf numFmtId="0" fontId="10" fillId="0" borderId="0" xfId="0" applyFont="1" applyAlignment="1">
      <alignment horizontal="left" vertical="center"/>
    </xf>
    <xf numFmtId="0" fontId="6" fillId="2" borderId="1" xfId="0" applyFont="1" applyFill="1" applyBorder="1" applyAlignment="1">
      <alignment horizontal="left" vertical="center" wrapText="1"/>
    </xf>
    <xf numFmtId="0" fontId="6" fillId="4" borderId="4"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2B2E-F9CD-4257-96F3-FF9DE072B31F}">
  <dimension ref="A1:K60"/>
  <sheetViews>
    <sheetView tabSelected="1" zoomScale="95" zoomScaleNormal="95" workbookViewId="0">
      <selection activeCell="F4" sqref="F4"/>
    </sheetView>
  </sheetViews>
  <sheetFormatPr defaultRowHeight="16.2" x14ac:dyDescent="0.3"/>
  <cols>
    <col min="1" max="2" width="8.88671875" style="2"/>
    <col min="3" max="3" width="100.88671875" style="2" customWidth="1"/>
    <col min="4" max="5" width="8.88671875" style="2"/>
    <col min="6" max="6" width="18.6640625" style="2" customWidth="1"/>
    <col min="7" max="7" width="33.5546875" style="2" customWidth="1"/>
    <col min="8" max="8" width="19.44140625" style="2" customWidth="1"/>
    <col min="9" max="9" width="20.21875" style="2" customWidth="1"/>
    <col min="10" max="10" width="13.88671875" style="2" customWidth="1"/>
    <col min="11" max="11" width="15.88671875" style="2" customWidth="1"/>
    <col min="12" max="16384" width="8.88671875" style="2"/>
  </cols>
  <sheetData>
    <row r="1" spans="1:11" ht="16.8" thickBot="1" x14ac:dyDescent="0.35">
      <c r="A1" s="1" t="s">
        <v>249</v>
      </c>
      <c r="B1" s="2" t="s">
        <v>49</v>
      </c>
      <c r="C1" s="3" t="s">
        <v>47</v>
      </c>
      <c r="D1" s="2" t="s">
        <v>50</v>
      </c>
      <c r="E1" s="2" t="s">
        <v>51</v>
      </c>
      <c r="F1" s="2" t="s">
        <v>52</v>
      </c>
      <c r="G1" s="2" t="s">
        <v>53</v>
      </c>
      <c r="H1" s="4" t="s">
        <v>203</v>
      </c>
      <c r="I1" s="5" t="s">
        <v>202</v>
      </c>
      <c r="J1" s="6" t="s">
        <v>246</v>
      </c>
      <c r="K1" s="6" t="s">
        <v>247</v>
      </c>
    </row>
    <row r="2" spans="1:11" ht="16.8" thickBot="1" x14ac:dyDescent="0.35">
      <c r="A2" s="7" t="s">
        <v>250</v>
      </c>
      <c r="B2" s="2">
        <v>1</v>
      </c>
      <c r="C2" s="8" t="s">
        <v>0</v>
      </c>
      <c r="G2" s="9" t="s">
        <v>248</v>
      </c>
      <c r="H2" s="2" t="s">
        <v>102</v>
      </c>
      <c r="I2" s="10" t="s">
        <v>152</v>
      </c>
      <c r="J2" s="2">
        <v>70</v>
      </c>
      <c r="K2" s="2" t="s">
        <v>204</v>
      </c>
    </row>
    <row r="3" spans="1:11" ht="16.8" thickBot="1" x14ac:dyDescent="0.35">
      <c r="A3" s="11"/>
      <c r="B3" s="2">
        <v>2</v>
      </c>
      <c r="C3" s="8" t="s">
        <v>1</v>
      </c>
      <c r="G3" s="12" t="s">
        <v>54</v>
      </c>
      <c r="H3" s="2" t="s">
        <v>103</v>
      </c>
      <c r="I3" s="10" t="s">
        <v>153</v>
      </c>
      <c r="J3" s="2">
        <v>82</v>
      </c>
      <c r="K3" s="2" t="s">
        <v>205</v>
      </c>
    </row>
    <row r="4" spans="1:11" ht="409.6" thickBot="1" x14ac:dyDescent="0.35">
      <c r="A4" s="11"/>
      <c r="B4" s="2">
        <v>3</v>
      </c>
      <c r="C4" s="30" t="s">
        <v>259</v>
      </c>
      <c r="G4" s="31" t="s">
        <v>258</v>
      </c>
      <c r="H4" s="14" t="s">
        <v>104</v>
      </c>
      <c r="I4" s="10" t="s">
        <v>154</v>
      </c>
      <c r="J4" s="2">
        <v>77</v>
      </c>
      <c r="K4" s="2" t="s">
        <v>206</v>
      </c>
    </row>
    <row r="5" spans="1:11" ht="409.6" thickBot="1" x14ac:dyDescent="0.35">
      <c r="A5" s="11"/>
      <c r="B5" s="2">
        <v>4</v>
      </c>
      <c r="C5" s="30" t="s">
        <v>257</v>
      </c>
      <c r="G5" s="12" t="s">
        <v>55</v>
      </c>
      <c r="H5" s="2" t="s">
        <v>105</v>
      </c>
      <c r="I5" s="10" t="s">
        <v>155</v>
      </c>
      <c r="J5" s="2">
        <v>91</v>
      </c>
      <c r="K5" s="2" t="s">
        <v>207</v>
      </c>
    </row>
    <row r="6" spans="1:11" ht="16.8" thickBot="1" x14ac:dyDescent="0.35">
      <c r="A6" s="11"/>
      <c r="B6" s="2">
        <v>5</v>
      </c>
      <c r="C6" s="8" t="s">
        <v>2</v>
      </c>
      <c r="G6" s="12" t="s">
        <v>56</v>
      </c>
      <c r="H6" s="2" t="s">
        <v>106</v>
      </c>
      <c r="I6" s="10" t="s">
        <v>156</v>
      </c>
      <c r="J6" s="2">
        <v>70</v>
      </c>
      <c r="K6" s="2" t="s">
        <v>208</v>
      </c>
    </row>
    <row r="7" spans="1:11" ht="16.8" thickBot="1" x14ac:dyDescent="0.35">
      <c r="A7" s="11"/>
      <c r="B7" s="2">
        <v>6</v>
      </c>
      <c r="C7" s="8" t="s">
        <v>3</v>
      </c>
      <c r="G7" s="13" t="s">
        <v>57</v>
      </c>
      <c r="H7" s="2" t="s">
        <v>107</v>
      </c>
      <c r="I7" s="10" t="s">
        <v>157</v>
      </c>
      <c r="J7" s="2">
        <v>94</v>
      </c>
      <c r="K7" s="2" t="s">
        <v>209</v>
      </c>
    </row>
    <row r="8" spans="1:11" ht="16.8" thickBot="1" x14ac:dyDescent="0.35">
      <c r="A8" s="11"/>
      <c r="B8" s="2">
        <v>7</v>
      </c>
      <c r="C8" s="8" t="s">
        <v>4</v>
      </c>
      <c r="G8" s="12" t="s">
        <v>58</v>
      </c>
      <c r="H8" s="2" t="s">
        <v>108</v>
      </c>
      <c r="I8" s="10" t="s">
        <v>158</v>
      </c>
      <c r="J8" s="2">
        <v>87</v>
      </c>
      <c r="K8" s="2" t="s">
        <v>210</v>
      </c>
    </row>
    <row r="9" spans="1:11" ht="16.8" thickBot="1" x14ac:dyDescent="0.35">
      <c r="A9" s="15"/>
      <c r="B9" s="2">
        <v>8</v>
      </c>
      <c r="C9" s="16" t="s">
        <v>5</v>
      </c>
      <c r="G9" s="12" t="s">
        <v>59</v>
      </c>
      <c r="H9" s="2" t="s">
        <v>109</v>
      </c>
      <c r="I9" s="10" t="s">
        <v>159</v>
      </c>
      <c r="J9" s="2">
        <v>70</v>
      </c>
      <c r="K9" s="2" t="s">
        <v>211</v>
      </c>
    </row>
    <row r="10" spans="1:11" ht="16.8" thickBot="1" x14ac:dyDescent="0.35">
      <c r="A10" s="17" t="s">
        <v>251</v>
      </c>
      <c r="B10" s="2">
        <v>9</v>
      </c>
      <c r="C10" s="8" t="s">
        <v>6</v>
      </c>
      <c r="G10" s="12" t="s">
        <v>60</v>
      </c>
      <c r="H10" s="2" t="s">
        <v>110</v>
      </c>
      <c r="I10" s="10" t="s">
        <v>160</v>
      </c>
      <c r="J10" s="2">
        <v>84</v>
      </c>
      <c r="K10" s="2" t="s">
        <v>212</v>
      </c>
    </row>
    <row r="11" spans="1:11" ht="16.8" thickBot="1" x14ac:dyDescent="0.35">
      <c r="A11" s="18"/>
      <c r="B11" s="2">
        <v>10</v>
      </c>
      <c r="C11" s="8" t="s">
        <v>7</v>
      </c>
      <c r="G11" s="12" t="s">
        <v>61</v>
      </c>
      <c r="H11" s="2" t="s">
        <v>111</v>
      </c>
      <c r="I11" s="10" t="s">
        <v>161</v>
      </c>
      <c r="J11" s="2">
        <v>93</v>
      </c>
      <c r="K11" s="2" t="s">
        <v>213</v>
      </c>
    </row>
    <row r="12" spans="1:11" ht="16.8" thickBot="1" x14ac:dyDescent="0.35">
      <c r="A12" s="18"/>
      <c r="B12" s="2">
        <v>11</v>
      </c>
      <c r="C12" s="8" t="s">
        <v>8</v>
      </c>
      <c r="G12" s="12" t="s">
        <v>62</v>
      </c>
      <c r="H12" s="2" t="s">
        <v>112</v>
      </c>
      <c r="I12" s="10" t="s">
        <v>162</v>
      </c>
      <c r="J12" s="2">
        <v>75</v>
      </c>
      <c r="K12" s="2" t="s">
        <v>214</v>
      </c>
    </row>
    <row r="13" spans="1:11" ht="16.8" thickBot="1" x14ac:dyDescent="0.35">
      <c r="A13" s="18"/>
      <c r="B13" s="2">
        <v>12</v>
      </c>
      <c r="C13" s="8" t="s">
        <v>9</v>
      </c>
      <c r="G13" s="12" t="s">
        <v>63</v>
      </c>
      <c r="H13" s="2" t="s">
        <v>113</v>
      </c>
      <c r="I13" s="10" t="s">
        <v>163</v>
      </c>
      <c r="J13" s="2">
        <v>88</v>
      </c>
      <c r="K13" s="2" t="s">
        <v>215</v>
      </c>
    </row>
    <row r="14" spans="1:11" ht="16.8" thickBot="1" x14ac:dyDescent="0.35">
      <c r="A14" s="18"/>
      <c r="B14" s="2">
        <v>13</v>
      </c>
      <c r="C14" s="8" t="s">
        <v>10</v>
      </c>
      <c r="G14" s="12" t="s">
        <v>64</v>
      </c>
      <c r="H14" s="2" t="s">
        <v>114</v>
      </c>
      <c r="I14" s="10" t="s">
        <v>164</v>
      </c>
      <c r="J14" s="2">
        <v>94</v>
      </c>
      <c r="K14" s="2" t="s">
        <v>216</v>
      </c>
    </row>
    <row r="15" spans="1:11" ht="16.8" thickBot="1" x14ac:dyDescent="0.35">
      <c r="A15" s="18"/>
      <c r="B15" s="2">
        <v>14</v>
      </c>
      <c r="C15" s="8" t="s">
        <v>11</v>
      </c>
      <c r="G15" s="12" t="s">
        <v>65</v>
      </c>
      <c r="H15" s="2" t="s">
        <v>115</v>
      </c>
      <c r="I15" s="10" t="s">
        <v>165</v>
      </c>
      <c r="J15" s="2">
        <v>80</v>
      </c>
      <c r="K15" s="2" t="s">
        <v>216</v>
      </c>
    </row>
    <row r="16" spans="1:11" ht="16.8" thickBot="1" x14ac:dyDescent="0.35">
      <c r="A16" s="19"/>
      <c r="B16" s="2">
        <v>15</v>
      </c>
      <c r="C16" s="16" t="s">
        <v>12</v>
      </c>
      <c r="G16" s="12" t="s">
        <v>66</v>
      </c>
      <c r="H16" s="2" t="s">
        <v>116</v>
      </c>
      <c r="I16" s="10" t="s">
        <v>166</v>
      </c>
      <c r="J16" s="2">
        <v>90</v>
      </c>
      <c r="K16" s="2" t="s">
        <v>216</v>
      </c>
    </row>
    <row r="17" spans="1:11" ht="16.8" thickBot="1" x14ac:dyDescent="0.35">
      <c r="A17" s="20" t="s">
        <v>252</v>
      </c>
      <c r="B17" s="2">
        <v>16</v>
      </c>
      <c r="C17" s="8" t="s">
        <v>13</v>
      </c>
      <c r="G17" s="12" t="s">
        <v>67</v>
      </c>
      <c r="H17" s="2" t="s">
        <v>117</v>
      </c>
      <c r="I17" s="10" t="s">
        <v>167</v>
      </c>
      <c r="J17" s="2">
        <v>93</v>
      </c>
      <c r="K17" s="2" t="s">
        <v>217</v>
      </c>
    </row>
    <row r="18" spans="1:11" ht="16.8" thickBot="1" x14ac:dyDescent="0.35">
      <c r="A18" s="11"/>
      <c r="B18" s="2">
        <v>17</v>
      </c>
      <c r="C18" s="8" t="s">
        <v>14</v>
      </c>
      <c r="G18" s="12" t="s">
        <v>68</v>
      </c>
      <c r="H18" s="2" t="s">
        <v>118</v>
      </c>
      <c r="I18" s="10" t="s">
        <v>168</v>
      </c>
      <c r="J18" s="2">
        <v>89</v>
      </c>
      <c r="K18" s="2" t="s">
        <v>217</v>
      </c>
    </row>
    <row r="19" spans="1:11" ht="16.8" thickBot="1" x14ac:dyDescent="0.35">
      <c r="A19" s="11"/>
      <c r="B19" s="2">
        <v>18</v>
      </c>
      <c r="C19" s="8" t="s">
        <v>15</v>
      </c>
      <c r="G19" s="12" t="s">
        <v>69</v>
      </c>
      <c r="H19" s="2" t="s">
        <v>119</v>
      </c>
      <c r="I19" s="10" t="s">
        <v>169</v>
      </c>
      <c r="J19" s="2">
        <v>74</v>
      </c>
      <c r="K19" s="2" t="s">
        <v>218</v>
      </c>
    </row>
    <row r="20" spans="1:11" ht="16.8" thickBot="1" x14ac:dyDescent="0.35">
      <c r="A20" s="11"/>
      <c r="B20" s="2">
        <v>19</v>
      </c>
      <c r="C20" s="8" t="s">
        <v>16</v>
      </c>
      <c r="G20" s="12" t="s">
        <v>70</v>
      </c>
      <c r="H20" s="2" t="s">
        <v>120</v>
      </c>
      <c r="I20" s="10" t="s">
        <v>170</v>
      </c>
      <c r="J20" s="2">
        <v>70</v>
      </c>
      <c r="K20" s="2" t="s">
        <v>219</v>
      </c>
    </row>
    <row r="21" spans="1:11" ht="16.8" thickBot="1" x14ac:dyDescent="0.35">
      <c r="A21" s="11"/>
      <c r="B21" s="2">
        <v>20</v>
      </c>
      <c r="C21" s="8" t="s">
        <v>17</v>
      </c>
      <c r="G21" s="13" t="s">
        <v>71</v>
      </c>
      <c r="H21" s="2" t="s">
        <v>121</v>
      </c>
      <c r="I21" s="10" t="s">
        <v>171</v>
      </c>
      <c r="J21" s="2">
        <v>90</v>
      </c>
      <c r="K21" s="2" t="s">
        <v>220</v>
      </c>
    </row>
    <row r="22" spans="1:11" ht="16.8" thickBot="1" x14ac:dyDescent="0.35">
      <c r="A22" s="11"/>
      <c r="B22" s="2">
        <v>21</v>
      </c>
      <c r="C22" s="8" t="s">
        <v>18</v>
      </c>
      <c r="G22" s="12" t="s">
        <v>72</v>
      </c>
      <c r="H22" s="2" t="s">
        <v>122</v>
      </c>
      <c r="I22" s="10" t="s">
        <v>172</v>
      </c>
      <c r="J22" s="2">
        <v>88</v>
      </c>
      <c r="K22" s="2" t="s">
        <v>221</v>
      </c>
    </row>
    <row r="23" spans="1:11" ht="16.8" thickBot="1" x14ac:dyDescent="0.35">
      <c r="A23" s="21"/>
      <c r="B23" s="2">
        <v>22</v>
      </c>
      <c r="C23" s="16" t="s">
        <v>19</v>
      </c>
      <c r="G23" s="12" t="s">
        <v>73</v>
      </c>
      <c r="H23" s="2" t="s">
        <v>123</v>
      </c>
      <c r="I23" s="10" t="s">
        <v>173</v>
      </c>
      <c r="J23" s="2">
        <v>50</v>
      </c>
      <c r="K23" s="2" t="s">
        <v>222</v>
      </c>
    </row>
    <row r="24" spans="1:11" ht="16.8" thickBot="1" x14ac:dyDescent="0.35">
      <c r="A24" s="7" t="s">
        <v>253</v>
      </c>
      <c r="B24" s="2">
        <v>23</v>
      </c>
      <c r="C24" s="8" t="s">
        <v>20</v>
      </c>
      <c r="G24" s="12" t="s">
        <v>74</v>
      </c>
      <c r="H24" s="2" t="s">
        <v>124</v>
      </c>
      <c r="I24" s="10" t="s">
        <v>174</v>
      </c>
      <c r="J24" s="2">
        <v>85</v>
      </c>
      <c r="K24" s="2" t="s">
        <v>223</v>
      </c>
    </row>
    <row r="25" spans="1:11" ht="16.8" thickBot="1" x14ac:dyDescent="0.35">
      <c r="A25" s="11"/>
      <c r="B25" s="2">
        <v>24</v>
      </c>
      <c r="C25" s="8" t="s">
        <v>21</v>
      </c>
      <c r="G25" s="12" t="s">
        <v>75</v>
      </c>
      <c r="H25" s="2" t="s">
        <v>125</v>
      </c>
      <c r="I25" s="10" t="s">
        <v>175</v>
      </c>
      <c r="J25" s="2">
        <v>88</v>
      </c>
      <c r="K25" s="2" t="s">
        <v>224</v>
      </c>
    </row>
    <row r="26" spans="1:11" ht="16.8" thickBot="1" x14ac:dyDescent="0.35">
      <c r="A26" s="11"/>
      <c r="B26" s="2">
        <v>25</v>
      </c>
      <c r="C26" s="8" t="s">
        <v>22</v>
      </c>
      <c r="G26" s="12" t="s">
        <v>76</v>
      </c>
      <c r="H26" s="2" t="s">
        <v>126</v>
      </c>
      <c r="I26" s="10" t="s">
        <v>176</v>
      </c>
      <c r="J26" s="2">
        <v>80</v>
      </c>
      <c r="K26" s="2" t="s">
        <v>225</v>
      </c>
    </row>
    <row r="27" spans="1:11" ht="16.8" thickBot="1" x14ac:dyDescent="0.35">
      <c r="A27" s="11"/>
      <c r="B27" s="2">
        <v>26</v>
      </c>
      <c r="C27" s="8" t="s">
        <v>23</v>
      </c>
      <c r="G27" s="12" t="s">
        <v>77</v>
      </c>
      <c r="H27" s="2" t="s">
        <v>127</v>
      </c>
      <c r="I27" s="10" t="s">
        <v>177</v>
      </c>
      <c r="J27" s="2">
        <v>84</v>
      </c>
      <c r="K27" s="2" t="s">
        <v>226</v>
      </c>
    </row>
    <row r="28" spans="1:11" ht="16.8" thickBot="1" x14ac:dyDescent="0.35">
      <c r="A28" s="11"/>
      <c r="B28" s="2">
        <v>27</v>
      </c>
      <c r="C28" s="8" t="s">
        <v>24</v>
      </c>
      <c r="G28" s="12" t="s">
        <v>78</v>
      </c>
      <c r="H28" s="2" t="s">
        <v>128</v>
      </c>
      <c r="I28" s="10" t="s">
        <v>178</v>
      </c>
      <c r="J28" s="2">
        <v>60</v>
      </c>
      <c r="K28" s="2" t="s">
        <v>227</v>
      </c>
    </row>
    <row r="29" spans="1:11" ht="16.8" thickBot="1" x14ac:dyDescent="0.35">
      <c r="A29" s="11"/>
      <c r="B29" s="2">
        <v>28</v>
      </c>
      <c r="C29" s="8" t="s">
        <v>25</v>
      </c>
      <c r="G29" s="13" t="s">
        <v>79</v>
      </c>
      <c r="H29" s="2" t="s">
        <v>129</v>
      </c>
      <c r="I29" s="10" t="s">
        <v>179</v>
      </c>
      <c r="J29" s="2">
        <v>77</v>
      </c>
      <c r="K29" s="2" t="s">
        <v>228</v>
      </c>
    </row>
    <row r="30" spans="1:11" ht="16.8" thickBot="1" x14ac:dyDescent="0.35">
      <c r="A30" s="21"/>
      <c r="B30" s="2">
        <v>29</v>
      </c>
      <c r="C30" s="16" t="s">
        <v>26</v>
      </c>
      <c r="G30" s="12" t="s">
        <v>80</v>
      </c>
      <c r="H30" s="2" t="s">
        <v>130</v>
      </c>
      <c r="I30" s="10" t="s">
        <v>180</v>
      </c>
      <c r="J30" s="2">
        <v>60</v>
      </c>
      <c r="K30" s="2" t="s">
        <v>229</v>
      </c>
    </row>
    <row r="31" spans="1:11" ht="16.8" thickBot="1" x14ac:dyDescent="0.35">
      <c r="A31" s="7" t="s">
        <v>254</v>
      </c>
      <c r="B31" s="2">
        <v>30</v>
      </c>
      <c r="C31" s="8" t="s">
        <v>27</v>
      </c>
      <c r="G31" s="12" t="s">
        <v>81</v>
      </c>
      <c r="H31" s="2" t="s">
        <v>131</v>
      </c>
      <c r="I31" s="10" t="s">
        <v>181</v>
      </c>
      <c r="J31" s="2">
        <v>84</v>
      </c>
      <c r="K31" s="2" t="s">
        <v>230</v>
      </c>
    </row>
    <row r="32" spans="1:11" ht="16.8" thickBot="1" x14ac:dyDescent="0.35">
      <c r="A32" s="11"/>
      <c r="B32" s="2">
        <v>31</v>
      </c>
      <c r="C32" s="8" t="s">
        <v>28</v>
      </c>
      <c r="G32" s="12" t="s">
        <v>82</v>
      </c>
      <c r="H32" s="2" t="s">
        <v>132</v>
      </c>
      <c r="I32" s="10" t="s">
        <v>182</v>
      </c>
      <c r="J32" s="2">
        <v>81</v>
      </c>
      <c r="K32" s="2" t="s">
        <v>231</v>
      </c>
    </row>
    <row r="33" spans="1:11" ht="16.8" thickBot="1" x14ac:dyDescent="0.35">
      <c r="A33" s="11"/>
      <c r="B33" s="2">
        <v>32</v>
      </c>
      <c r="C33" s="8" t="s">
        <v>29</v>
      </c>
      <c r="G33" s="13" t="s">
        <v>83</v>
      </c>
      <c r="H33" s="2" t="s">
        <v>133</v>
      </c>
      <c r="I33" s="10" t="s">
        <v>183</v>
      </c>
      <c r="J33" s="2">
        <v>85</v>
      </c>
      <c r="K33" s="2" t="s">
        <v>232</v>
      </c>
    </row>
    <row r="34" spans="1:11" ht="16.8" thickBot="1" x14ac:dyDescent="0.35">
      <c r="A34" s="11"/>
      <c r="B34" s="2">
        <v>33</v>
      </c>
      <c r="C34" s="8" t="s">
        <v>30</v>
      </c>
      <c r="G34" s="13" t="s">
        <v>84</v>
      </c>
      <c r="H34" s="2" t="s">
        <v>134</v>
      </c>
      <c r="I34" s="10" t="s">
        <v>184</v>
      </c>
      <c r="J34" s="2">
        <v>92</v>
      </c>
      <c r="K34" s="2" t="s">
        <v>233</v>
      </c>
    </row>
    <row r="35" spans="1:11" ht="16.8" thickBot="1" x14ac:dyDescent="0.35">
      <c r="A35" s="11"/>
      <c r="B35" s="2">
        <v>34</v>
      </c>
      <c r="C35" s="8" t="s">
        <v>31</v>
      </c>
      <c r="G35" s="12" t="s">
        <v>85</v>
      </c>
      <c r="H35" s="2" t="s">
        <v>135</v>
      </c>
      <c r="I35" s="10" t="s">
        <v>185</v>
      </c>
      <c r="J35" s="2">
        <v>85</v>
      </c>
      <c r="K35" s="2" t="s">
        <v>234</v>
      </c>
    </row>
    <row r="36" spans="1:11" ht="16.8" thickBot="1" x14ac:dyDescent="0.35">
      <c r="A36" s="11"/>
      <c r="B36" s="2">
        <v>35</v>
      </c>
      <c r="C36" s="8" t="s">
        <v>32</v>
      </c>
      <c r="G36" s="12" t="s">
        <v>86</v>
      </c>
      <c r="H36" s="2" t="s">
        <v>136</v>
      </c>
      <c r="I36" s="10" t="s">
        <v>186</v>
      </c>
      <c r="J36" s="2">
        <v>87</v>
      </c>
      <c r="K36" s="2" t="s">
        <v>235</v>
      </c>
    </row>
    <row r="37" spans="1:11" ht="16.8" thickBot="1" x14ac:dyDescent="0.35">
      <c r="A37" s="21"/>
      <c r="B37" s="2">
        <v>36</v>
      </c>
      <c r="C37" s="16" t="s">
        <v>33</v>
      </c>
      <c r="G37" s="12" t="s">
        <v>87</v>
      </c>
      <c r="H37" s="2" t="s">
        <v>137</v>
      </c>
      <c r="I37" s="10" t="s">
        <v>187</v>
      </c>
      <c r="J37" s="2">
        <v>90</v>
      </c>
      <c r="K37" s="2" t="s">
        <v>236</v>
      </c>
    </row>
    <row r="38" spans="1:11" ht="16.8" thickBot="1" x14ac:dyDescent="0.35">
      <c r="A38" s="7" t="s">
        <v>255</v>
      </c>
      <c r="B38" s="2">
        <v>37</v>
      </c>
      <c r="C38" s="8" t="s">
        <v>34</v>
      </c>
      <c r="G38" s="12" t="s">
        <v>88</v>
      </c>
      <c r="H38" s="2" t="s">
        <v>138</v>
      </c>
      <c r="I38" s="10" t="s">
        <v>188</v>
      </c>
      <c r="J38" s="2">
        <v>90</v>
      </c>
      <c r="K38" s="2" t="s">
        <v>237</v>
      </c>
    </row>
    <row r="39" spans="1:11" ht="16.8" thickBot="1" x14ac:dyDescent="0.35">
      <c r="A39" s="11"/>
      <c r="B39" s="2">
        <v>38</v>
      </c>
      <c r="C39" s="8" t="s">
        <v>35</v>
      </c>
      <c r="G39" s="12" t="s">
        <v>89</v>
      </c>
      <c r="H39" s="2" t="s">
        <v>139</v>
      </c>
      <c r="I39" s="10" t="s">
        <v>189</v>
      </c>
      <c r="J39" s="2">
        <v>88</v>
      </c>
      <c r="K39" s="2" t="s">
        <v>237</v>
      </c>
    </row>
    <row r="40" spans="1:11" ht="16.8" thickBot="1" x14ac:dyDescent="0.35">
      <c r="A40" s="11"/>
      <c r="B40" s="2">
        <v>39</v>
      </c>
      <c r="C40" s="8" t="s">
        <v>36</v>
      </c>
      <c r="G40" s="12" t="s">
        <v>90</v>
      </c>
      <c r="H40" s="2" t="s">
        <v>140</v>
      </c>
      <c r="I40" s="10" t="s">
        <v>190</v>
      </c>
      <c r="J40" s="2">
        <v>87</v>
      </c>
      <c r="K40" s="2" t="s">
        <v>238</v>
      </c>
    </row>
    <row r="41" spans="1:11" ht="16.8" thickBot="1" x14ac:dyDescent="0.35">
      <c r="A41" s="11"/>
      <c r="B41" s="2">
        <v>40</v>
      </c>
      <c r="C41" s="8" t="s">
        <v>37</v>
      </c>
      <c r="G41" s="12" t="s">
        <v>91</v>
      </c>
      <c r="H41" s="2" t="s">
        <v>141</v>
      </c>
      <c r="I41" s="10" t="s">
        <v>191</v>
      </c>
      <c r="J41" s="2">
        <v>90</v>
      </c>
      <c r="K41" s="2" t="s">
        <v>239</v>
      </c>
    </row>
    <row r="42" spans="1:11" ht="16.8" thickBot="1" x14ac:dyDescent="0.35">
      <c r="A42" s="11"/>
      <c r="B42" s="2">
        <v>41</v>
      </c>
      <c r="C42" s="8" t="s">
        <v>38</v>
      </c>
      <c r="G42" s="12" t="s">
        <v>92</v>
      </c>
      <c r="H42" s="2" t="s">
        <v>142</v>
      </c>
      <c r="I42" s="10" t="s">
        <v>192</v>
      </c>
      <c r="J42" s="2">
        <v>98</v>
      </c>
      <c r="K42" s="2" t="s">
        <v>240</v>
      </c>
    </row>
    <row r="43" spans="1:11" ht="16.8" thickBot="1" x14ac:dyDescent="0.35">
      <c r="A43" s="11"/>
      <c r="B43" s="2">
        <v>42</v>
      </c>
      <c r="C43" s="8" t="s">
        <v>39</v>
      </c>
      <c r="G43" s="13" t="s">
        <v>93</v>
      </c>
      <c r="H43" s="2" t="s">
        <v>143</v>
      </c>
      <c r="I43" s="10" t="s">
        <v>193</v>
      </c>
      <c r="J43" s="2">
        <v>94</v>
      </c>
      <c r="K43" s="2" t="s">
        <v>237</v>
      </c>
    </row>
    <row r="44" spans="1:11" ht="16.8" thickBot="1" x14ac:dyDescent="0.35">
      <c r="A44" s="21"/>
      <c r="B44" s="2">
        <v>43</v>
      </c>
      <c r="C44" s="16" t="s">
        <v>40</v>
      </c>
      <c r="G44" s="12" t="s">
        <v>94</v>
      </c>
      <c r="H44" s="2" t="s">
        <v>144</v>
      </c>
      <c r="I44" s="10" t="s">
        <v>194</v>
      </c>
      <c r="J44" s="2">
        <v>90</v>
      </c>
      <c r="K44" s="2" t="s">
        <v>239</v>
      </c>
    </row>
    <row r="45" spans="1:11" ht="16.8" thickBot="1" x14ac:dyDescent="0.35">
      <c r="A45" s="22" t="s">
        <v>256</v>
      </c>
      <c r="B45" s="2">
        <v>44</v>
      </c>
      <c r="C45" s="23" t="s">
        <v>41</v>
      </c>
      <c r="G45" s="12" t="s">
        <v>95</v>
      </c>
      <c r="H45" s="2" t="s">
        <v>145</v>
      </c>
      <c r="I45" s="10" t="s">
        <v>195</v>
      </c>
      <c r="J45" s="2">
        <v>88</v>
      </c>
      <c r="K45" s="2" t="s">
        <v>241</v>
      </c>
    </row>
    <row r="46" spans="1:11" ht="16.8" thickBot="1" x14ac:dyDescent="0.35">
      <c r="A46" s="24"/>
      <c r="B46" s="2">
        <v>45</v>
      </c>
      <c r="C46" s="23" t="s">
        <v>42</v>
      </c>
      <c r="G46" s="12" t="s">
        <v>96</v>
      </c>
      <c r="H46" s="2" t="s">
        <v>146</v>
      </c>
      <c r="I46" s="10" t="s">
        <v>196</v>
      </c>
      <c r="J46" s="2">
        <v>85</v>
      </c>
      <c r="K46" s="2" t="s">
        <v>242</v>
      </c>
    </row>
    <row r="47" spans="1:11" ht="16.8" thickBot="1" x14ac:dyDescent="0.35">
      <c r="A47" s="24"/>
      <c r="B47" s="2">
        <v>46</v>
      </c>
      <c r="C47" s="23" t="s">
        <v>43</v>
      </c>
      <c r="G47" s="12" t="s">
        <v>97</v>
      </c>
      <c r="H47" s="2" t="s">
        <v>147</v>
      </c>
      <c r="I47" s="10" t="s">
        <v>197</v>
      </c>
      <c r="J47" s="2">
        <v>95</v>
      </c>
      <c r="K47" s="2" t="s">
        <v>243</v>
      </c>
    </row>
    <row r="48" spans="1:11" ht="16.8" thickBot="1" x14ac:dyDescent="0.35">
      <c r="A48" s="24"/>
      <c r="B48" s="2">
        <v>47</v>
      </c>
      <c r="C48" s="23" t="s">
        <v>44</v>
      </c>
      <c r="G48" s="13" t="s">
        <v>98</v>
      </c>
      <c r="H48" s="2" t="s">
        <v>148</v>
      </c>
      <c r="I48" s="10" t="s">
        <v>198</v>
      </c>
      <c r="J48" s="2">
        <v>98</v>
      </c>
      <c r="K48" s="2" t="s">
        <v>240</v>
      </c>
    </row>
    <row r="49" spans="1:11" ht="16.8" thickBot="1" x14ac:dyDescent="0.35">
      <c r="A49" s="24"/>
      <c r="B49" s="2">
        <v>48</v>
      </c>
      <c r="C49" s="25" t="s">
        <v>48</v>
      </c>
      <c r="G49" s="12" t="s">
        <v>99</v>
      </c>
      <c r="H49" s="2" t="s">
        <v>149</v>
      </c>
      <c r="I49" s="10" t="s">
        <v>199</v>
      </c>
      <c r="J49" s="2">
        <v>90</v>
      </c>
      <c r="K49" s="2" t="s">
        <v>241</v>
      </c>
    </row>
    <row r="50" spans="1:11" ht="16.8" thickBot="1" x14ac:dyDescent="0.35">
      <c r="A50" s="24"/>
      <c r="B50" s="2">
        <v>49</v>
      </c>
      <c r="C50" s="23" t="s">
        <v>45</v>
      </c>
      <c r="G50" s="12" t="s">
        <v>100</v>
      </c>
      <c r="H50" s="2" t="s">
        <v>150</v>
      </c>
      <c r="I50" s="10" t="s">
        <v>200</v>
      </c>
      <c r="J50" s="2">
        <v>95</v>
      </c>
      <c r="K50" s="2" t="s">
        <v>237</v>
      </c>
    </row>
    <row r="51" spans="1:11" ht="16.8" thickBot="1" x14ac:dyDescent="0.35">
      <c r="A51" s="26"/>
      <c r="B51" s="2">
        <v>50</v>
      </c>
      <c r="C51" s="27" t="s">
        <v>46</v>
      </c>
      <c r="G51" s="12" t="s">
        <v>101</v>
      </c>
      <c r="H51" s="2" t="s">
        <v>151</v>
      </c>
      <c r="I51" s="10" t="s">
        <v>201</v>
      </c>
      <c r="J51" s="2">
        <v>90</v>
      </c>
      <c r="K51" s="2" t="s">
        <v>241</v>
      </c>
    </row>
    <row r="52" spans="1:11" ht="16.8" thickBot="1" x14ac:dyDescent="0.35">
      <c r="A52" s="28"/>
      <c r="J52" s="29">
        <f>AVERAGE(J2:J51)</f>
        <v>84.3</v>
      </c>
      <c r="K52" s="2" t="s">
        <v>244</v>
      </c>
    </row>
    <row r="53" spans="1:11" ht="16.8" thickBot="1" x14ac:dyDescent="0.35">
      <c r="A53" s="12"/>
      <c r="K53" s="29" t="s">
        <v>245</v>
      </c>
    </row>
    <row r="54" spans="1:11" ht="16.8" thickBot="1" x14ac:dyDescent="0.35">
      <c r="A54" s="12"/>
    </row>
    <row r="55" spans="1:11" ht="16.8" thickBot="1" x14ac:dyDescent="0.35">
      <c r="A55" s="12"/>
    </row>
    <row r="56" spans="1:11" ht="16.8" thickBot="1" x14ac:dyDescent="0.35">
      <c r="A56" s="12"/>
    </row>
    <row r="57" spans="1:11" ht="16.8" thickBot="1" x14ac:dyDescent="0.35">
      <c r="A57" s="12"/>
    </row>
    <row r="58" spans="1:11" ht="16.8" thickBot="1" x14ac:dyDescent="0.35">
      <c r="A58" s="12"/>
    </row>
    <row r="59" spans="1:11" ht="16.8" thickBot="1" x14ac:dyDescent="0.35">
      <c r="A59" s="12"/>
    </row>
    <row r="60" spans="1:11" ht="16.8" thickBot="1" x14ac:dyDescent="0.35">
      <c r="A60" s="12"/>
    </row>
  </sheetData>
  <autoFilter ref="A1:K1" xr:uid="{1BFB2B2E-F9CD-4257-96F3-FF9DE072B31F}"/>
  <mergeCells count="7">
    <mergeCell ref="A45:A51"/>
    <mergeCell ref="A2:A9"/>
    <mergeCell ref="A10:A16"/>
    <mergeCell ref="A17:A23"/>
    <mergeCell ref="A24:A30"/>
    <mergeCell ref="A31:A37"/>
    <mergeCell ref="A38:A44"/>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莉庭 魯</dc:creator>
  <cp:lastModifiedBy>莉庭 魯</cp:lastModifiedBy>
  <dcterms:created xsi:type="dcterms:W3CDTF">2026-05-05T06:10:15Z</dcterms:created>
  <dcterms:modified xsi:type="dcterms:W3CDTF">2026-05-12T03:56:27Z</dcterms:modified>
</cp:coreProperties>
</file>