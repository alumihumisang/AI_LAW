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2年判決標籤" sheetId="1" r:id="rId5"/>
    <sheet state="visible" name="111年判決標籤" sheetId="2" r:id="rId6"/>
    <sheet state="visible" name="建模資料" sheetId="3" r:id="rId7"/>
    <sheet state="visible" name="討論紀錄" sheetId="4" r:id="rId8"/>
    <sheet state="visible" name="編碼表(說明)" sheetId="5" r:id="rId9"/>
    <sheet state="visible" name="原被告財產備份"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tc={085dde50-1dcb-4582-b520-71f4a770c5ea}</author>
    <author>tc={3d7cccf1-d940-466f-afcc-ddd2a185536e}</author>
    <author>tc={47947e2f-b3db-41bc-bd1c-2cfdfbfa5464}</author>
    <author>tc={6d7b860a-d290-4aeb-bc1e-96df249e4c99}</author>
    <author>tc={88795768-f341-4f05-8191-f7a8d6d97b9c}</author>
    <author>tc={aaf64b72-d791-4579-9b6d-1a21fdc6aa69}</author>
    <author>tc={d7fe313c-d0ed-437f-ad8c-ff3fd8b98009}</author>
    <author>tc={daa0dfa8-017c-4bd0-ac20-c35af1ec86f2}</author>
  </authors>
  <commentList>
    <comment authorId="0" xr:uid="{085dde50-1dcb-4582-b520-71f4a770c5ea}" ref="AE5">
      <text>
        <t xml:space="preserve">[Threaded comment]
 Your version of Excel allows you to read this threaded comment; however, any edits to it will get removed if the file is opened in a newer version of Excel. Learn more: https://go.microsoft.com/fwlink/?linkid=870924
Comment:
	大前提有提但涵攝未寫怎麼算？
</t>
      </text>
    </comment>
    <comment authorId="1" xr:uid="{3d7cccf1-d940-466f-afcc-ddd2a185536e}" ref="AJ77">
      <text>
        <t xml:space="preserve">[Threaded comment]
 Your version of Excel allows you to read this threaded comment; however, any edits to it will get removed if the file is opened in a newer version of Excel. Learn more: https://go.microsoft.com/fwlink/?linkid=870924
Comment:
	確定是否將45,000(增生療法)納入醫療費
</t>
      </text>
    </comment>
    <comment authorId="2" xr:uid="{47947e2f-b3db-41bc-bd1c-2cfdfbfa5464}" ref="K1">
      <text>
        <t xml:space="preserve">[Threaded comment]
 Your version of Excel allows you to read this threaded comment; however, any edits to it will get removed if the file is opened in a newer version of Excel. Learn more: https://go.microsoft.com/fwlink/?linkid=870924
Comment:
	說明定義
</t>
      </text>
    </comment>
    <comment authorId="3" xr:uid="{6d7b860a-d290-4aeb-bc1e-96df249e4c99}" ref="AA1">
      <text>
        <t xml:space="preserve">[Threaded comment]
 Your version of Excel allows you to read this threaded comment; however, any edits to it will get removed if the file is opened in a newer version of Excel. Learn more: https://go.microsoft.com/fwlink/?linkid=870924
Comment:
	高中職放同一類
</t>
      </text>
    </comment>
    <comment authorId="4" xr:uid="{88795768-f341-4f05-8191-f7a8d6d97b9c}" ref="Q17">
      <text>
        <t xml:space="preserve">[Threaded comment]
 Your version of Excel allows you to read this threaded comment; however, any edits to it will get removed if the file is opened in a newer version of Excel. Learn more: https://go.microsoft.com/fwlink/?linkid=870924
Comment:
	寄信給便民信箱(說不屬於隱蔽案件)
</t>
      </text>
    </comment>
    <comment authorId="5" xr:uid="{aaf64b72-d791-4579-9b6d-1a21fdc6aa69}" ref="M41">
      <text>
        <t xml:space="preserve">[Threaded comment]
 Your version of Excel allows you to read this threaded comment; however, any edits to it will get removed if the file is opened in a newer version of Excel. Learn more: https://go.microsoft.com/fwlink/?linkid=870924
Comment:
	換成年齡
</t>
      </text>
    </comment>
    <comment authorId="6" xr:uid="{d7fe313c-d0ed-437f-ad8c-ff3fd8b98009}" ref="A119">
      <text>
        <t xml:space="preserve">[Threaded comment]
 Your version of Excel allows you to read this threaded comment; however, any edits to it will get removed if the file is opened in a newer version of Excel. Learn more: https://go.microsoft.com/fwlink/?linkid=870924
Comment:
	這個判決當中法官所引用刑事的被告名字不一樣？？
</t>
      </text>
    </comment>
    <comment authorId="7" xr:uid="{daa0dfa8-017c-4bd0-ac20-c35af1ec86f2}" ref="AC1">
      <text>
        <t xml:space="preserve">[Threaded comment]
 Your version of Excel allows you to read this threaded comment; however, any edits to it will get removed if the file is opened in a newer version of Excel. Learn more: https://go.microsoft.com/fwlink/?linkid=870924
Comment:
	變成有無考量
</t>
      </text>
    </comment>
  </commentList>
</comments>
</file>

<file path=xl/sharedStrings.xml><?xml version="1.0" encoding="utf-8"?>
<sst xmlns="http://schemas.openxmlformats.org/spreadsheetml/2006/main" count="7660" uniqueCount="1207">
  <si>
    <t>判決字號</t>
  </si>
  <si>
    <t>判決年份</t>
  </si>
  <si>
    <t>判決日期(月日)</t>
  </si>
  <si>
    <t>地方法院</t>
  </si>
  <si>
    <t xml:space="preserve"> 受傷原文(勾稽用)</t>
  </si>
  <si>
    <t>受傷部位
(頭頸A、軀幹B、四肢C)</t>
  </si>
  <si>
    <r>
      <rPr>
        <color rgb="FF1155CC"/>
        <u/>
      </rPr>
      <t xml:space="preserve">傷害程度 
</t>
    </r>
    <r>
      <rPr/>
      <t>(1最嚴重-5最輕)</t>
    </r>
  </si>
  <si>
    <t>住院天數</t>
  </si>
  <si>
    <t>是否有住加護病房</t>
  </si>
  <si>
    <t>日後復原難易</t>
  </si>
  <si>
    <t>判決醫療費用</t>
  </si>
  <si>
    <t>原告請求醫療費用</t>
  </si>
  <si>
    <t>原告年紀</t>
  </si>
  <si>
    <t>原告性別</t>
  </si>
  <si>
    <t>被告性別</t>
  </si>
  <si>
    <t>是否有刑事判決</t>
  </si>
  <si>
    <t>刑事判決( 勾稽用 )</t>
  </si>
  <si>
    <t>罪名</t>
  </si>
  <si>
    <t>主刑(日)</t>
  </si>
  <si>
    <t>主刑(易科罰金)</t>
  </si>
  <si>
    <t>是否在判決前有
先給付部分賠償金</t>
  </si>
  <si>
    <t>原告家中照顧
成員</t>
  </si>
  <si>
    <t>原告家庭資源</t>
  </si>
  <si>
    <t>事發經過(勾稽用)</t>
  </si>
  <si>
    <t>事發經過</t>
  </si>
  <si>
    <t>學歷有無考量</t>
  </si>
  <si>
    <t>原告學歷</t>
  </si>
  <si>
    <t>被告學歷</t>
  </si>
  <si>
    <t>原告收入/職業</t>
  </si>
  <si>
    <t>原告財產狀況</t>
  </si>
  <si>
    <t>被告收入/職業</t>
  </si>
  <si>
    <t>被告財產狀況</t>
  </si>
  <si>
    <t>判決車損金額</t>
  </si>
  <si>
    <t>原告請求車損金額</t>
  </si>
  <si>
    <t>看護費用及交通費</t>
  </si>
  <si>
    <t>其他總額</t>
  </si>
  <si>
    <t>原告住處與醫
院之距離</t>
  </si>
  <si>
    <t>原告請求慰撫金額</t>
  </si>
  <si>
    <t>判決慰撫金額</t>
  </si>
  <si>
    <t>判決總金額</t>
  </si>
  <si>
    <t>判決總金額(扣除過失+保險)</t>
  </si>
  <si>
    <t>AN-AO</t>
  </si>
  <si>
    <t>有無過失相抵</t>
  </si>
  <si>
    <t>原告過失比例</t>
  </si>
  <si>
    <t>臺灣屏東地方法院民事判決112年度潮簡字第322號</t>
  </si>
  <si>
    <t>頸部挫傷、左側手肘挫傷等傷害</t>
  </si>
  <si>
    <t>AC</t>
  </si>
  <si>
    <t>無</t>
  </si>
  <si>
    <t>男</t>
  </si>
  <si>
    <t>是</t>
  </si>
  <si>
    <t>臺灣屏東地方法院 112 年度交簡字第 48 號刑事判決</t>
  </si>
  <si>
    <t>刑法第284條前段之過失傷害罪</t>
  </si>
  <si>
    <t>原告臨停、被告擦撞</t>
  </si>
  <si>
    <t>F</t>
  </si>
  <si>
    <t>有</t>
  </si>
  <si>
    <t>D</t>
  </si>
  <si>
    <t>B</t>
  </si>
  <si>
    <t>臺灣屏東地方法院民事判決112年度潮簡字第111號</t>
  </si>
  <si>
    <t>右拇指疼痛、右左膝疼痛、背痛、左臉疼痛等傷害、原告潘明道受有右大腿疼痛，腫脹變形等傷害。</t>
  </si>
  <si>
    <t>致原告2人受有上揭非輕傷勢</t>
  </si>
  <si>
    <t>男、男</t>
  </si>
  <si>
    <t>否</t>
  </si>
  <si>
    <t>駕駛車牌號碼0 00-0000自小客車（下稱系爭車輛）搭載原告潘明道，沿屏 東縣新埤鄉台一線由南往北行駛於內側車道，行經台一線北上422公里處時，適被告駕駛車牌號碼00-0000號自用小貨車（下稱A車），亦沿台一線由南往北方向行駛於外側車道， 詎被告疏未禮讓直行車，亦未保持安全距離，貿然變換車道 ，原告張永裕閃避不及，兩車因而發生碰撞</t>
  </si>
  <si>
    <t xml:space="preserve"> </t>
  </si>
  <si>
    <t>原告張永裕於111年度並無所得資料、原告潘明道於111年度有其他所得</t>
  </si>
  <si>
    <t>名下則無財產</t>
  </si>
  <si>
    <t>被告於111年度有股利及利息所得</t>
  </si>
  <si>
    <t>名下有土地6筆、房屋1 筆及股票投資。</t>
  </si>
  <si>
    <t>臺灣桃園地方法院小額民事判決112年度壢小字第433號</t>
  </si>
  <si>
    <t>原告受有右手第五指、雙膝部、右小腿挫傷及右手第五指、右小腿擦傷等傷害</t>
  </si>
  <si>
    <t>C</t>
  </si>
  <si>
    <t>臺灣桃園地方法院 112 年度壢交簡字第 1504 號刑事判決</t>
  </si>
  <si>
    <t>未暫停讓幹線道車先行，亦疏未注意車前狀況貿然駛出欲行左轉</t>
  </si>
  <si>
    <t>A</t>
  </si>
  <si>
    <t>未揭露</t>
  </si>
  <si>
    <t>臺灣桃園地方法院民事簡易判決112年度壢簡字第42號</t>
  </si>
  <si>
    <t>原告受有頭部挫傷、頸部挫傷等傷害</t>
  </si>
  <si>
    <t>臺灣桃園地方法院 111 年度桃交簡字第 1225 號刑事判決</t>
  </si>
  <si>
    <t>自後追撞前方正停等匝道儀控號誌由原告</t>
  </si>
  <si>
    <t>臺灣屏東地方法院民事判決112年度潮簡字第209號</t>
  </si>
  <si>
    <t>下背挫傷疼痛之傷害</t>
  </si>
  <si>
    <t>臺灣屏東地方法院 111 年度交簡字第 988 號刑事判決</t>
  </si>
  <si>
    <t>駕駛車牌號碼0 0-0000號自用小貨車（下稱A車），沿屏東縣恆春鎮恆公路由北往南方向行駛，行經恆公路218號前，本應注意車前狀況，隨時採取必要之安全措施，以避免發生危險，而依當時天候晴、日間自然光線、柏油路面乾燥、無缺陷、無障礙物、視距良好等情，並無不能注意之情事，竟疏未注意同車道前方車輛因綠燈起步之車流尚未快速前行，自後追撞由原告駕駛車牌號碼000-0000號自用小客車</t>
  </si>
  <si>
    <t>1.醫療費用600元。2.無法工作之損失（3天）6,816元。3.系爭車輛維修費用200,500元。4.系爭車輛價值減損335,000元。5.系爭車輛維修期間之代步費用112,00元。6.精神慰撫金 24萬元。</t>
  </si>
  <si>
    <t>臺灣桃園地方法院民事簡易判決112年度壢簡字第285號</t>
  </si>
  <si>
    <t>成原告受有左側肩膀挫傷、左側前胸壁挫傷、下背和骨盆挫傷及第4、5腰椎第1薦椎椎間盤破裂伴有神經根壓迫等傷害</t>
  </si>
  <si>
    <t>3日</t>
  </si>
  <si>
    <t>未成年</t>
  </si>
  <si>
    <t>女</t>
  </si>
  <si>
    <t xml:space="preserve"> 男</t>
  </si>
  <si>
    <t>由家人看護</t>
  </si>
  <si>
    <t>超速闖紅燈</t>
  </si>
  <si>
    <t>BE</t>
  </si>
  <si>
    <t>臺灣嘉義地方法院民事判決112年度嘉小字第381號</t>
  </si>
  <si>
    <t>原告受有左膝挫傷、左小腿挫擦傷</t>
  </si>
  <si>
    <t>未保持安全距離</t>
  </si>
  <si>
    <t>臺灣嘉義地方法院民事判決112年度嘉簡字第25號</t>
  </si>
  <si>
    <t>受有創傷性硬膜下出血併顱內出血、頭部外傷併顱內出血術後右側顱骨缺損之傷害</t>
  </si>
  <si>
    <t>77歲</t>
  </si>
  <si>
    <t>臺灣嘉義地方法院 111 年度交簡上字第 91 號刑事判決</t>
  </si>
  <si>
    <t>跨越分向限制線行駛</t>
  </si>
  <si>
    <t>臺灣嘉義地方法院民事判決112年度嘉簡字第152號</t>
  </si>
  <si>
    <t>受有右側股骨幹骨折等傷害</t>
  </si>
  <si>
    <t>15日</t>
  </si>
  <si>
    <t>臺灣嘉義地方法院 111 年度交訴字第 59 號刑事判決</t>
  </si>
  <si>
    <t>轉彎未禮讓直行</t>
  </si>
  <si>
    <t>臺灣嘉義地方法院民事判決112年度嘉簡字第225號</t>
  </si>
  <si>
    <t>致原告受有左踝挫傷及左肩部挫傷之傷害</t>
  </si>
  <si>
    <t>臺灣嘉義地方法院 111 年度嘉交簡字第 764 號刑事判決</t>
  </si>
  <si>
    <t>未於閃光黃燈路口減速</t>
  </si>
  <si>
    <t>臺灣嘉義地方法院嘉義簡易庭民事簡易判決112年度嘉簡字第274號</t>
  </si>
  <si>
    <t>原告受有左肩胛骨骨折、雙上肢擦挫傷等傷害</t>
  </si>
  <si>
    <t>臺灣嘉義地方法院 111 年度嘉交簡字第 1047 號刑事判決</t>
  </si>
  <si>
    <t>變換車道時未注意安距離</t>
  </si>
  <si>
    <t>臺灣嘉義地方法院民事判決112年度嘉簡字第350號</t>
  </si>
  <si>
    <t>受有頭部外傷併臉部擦傷、頸部扭傷</t>
  </si>
  <si>
    <t>臺灣嘉義地方法院 112 年度嘉交簡字第 9 號刑事判決</t>
  </si>
  <si>
    <t>闖越紅燈</t>
  </si>
  <si>
    <t>臺灣桃園地方法院民事簡易判決112年度壢簡字第128號</t>
  </si>
  <si>
    <t>受有頭部外傷併輕微腦震盪之傷害</t>
  </si>
  <si>
    <t>男、女</t>
  </si>
  <si>
    <t>不慎追撞前車</t>
  </si>
  <si>
    <t>臺灣嘉義地方法院民事判決112年度嘉簡字第369號</t>
  </si>
  <si>
    <t>受有頭部外傷、第五頸脊髓挫傷、四肢癱瘓、顏面四肢多處撕裂傷（左前額撕裂傷3公分及5公分各1處、左下唇撕裂傷3公分、舌頭撕裂傷1公分、右側小指撕裂傷2公分1處、4公分1處）、功能性腸阻塞、左側肋膜腔積水、尿滯留，並因四肢癱瘓導致四肢功能完全喪失，已達重傷之程度</t>
  </si>
  <si>
    <t>ABC</t>
  </si>
  <si>
    <t>9日</t>
  </si>
  <si>
    <t>78歲</t>
  </si>
  <si>
    <t>臺灣嘉義地方法院 111 年度交易字第 456 號刑事判決</t>
  </si>
  <si>
    <t>支線道未暫停讓幹線道先行</t>
  </si>
  <si>
    <t>國小畢業</t>
  </si>
  <si>
    <t>專科畢業
國中畢業</t>
  </si>
  <si>
    <t>臺灣高雄地方法院民事判決112年度鳳簡字第176號</t>
  </si>
  <si>
    <t>受有右側骨盆挫傷、右手以及右腳擦傷之傷害</t>
  </si>
  <si>
    <t>BC</t>
  </si>
  <si>
    <t>臺灣高雄地方法院 111 年度交簡字第 3104 號刑事判決</t>
  </si>
  <si>
    <t>貿然起駛</t>
  </si>
  <si>
    <t>臺灣基隆地方法院基隆簡易庭小額民事判決112年度基小字第916號</t>
  </si>
  <si>
    <t>受有左側前胸壁挫傷、左肩膀痛等傷害</t>
  </si>
  <si>
    <t>本院111年12月20日111年度基交簡字第410號刑事判決</t>
  </si>
  <si>
    <t>無照、變換車道未禮讓直行</t>
  </si>
  <si>
    <t>臺灣高雄地方法院民事判決112年度雄小字第651號</t>
  </si>
  <si>
    <t>受有左大腿及左小腿挫傷瘀青、背痛等傷害</t>
  </si>
  <si>
    <t>未保持前後車距</t>
  </si>
  <si>
    <t>臺灣新竹地方法院民事小額判決112年度竹北小字第231號</t>
  </si>
  <si>
    <t>無身體損傷</t>
  </si>
  <si>
    <t>逆向及跨越雙黃線，擦撞</t>
  </si>
  <si>
    <t>臺灣新竹地方法院民事簡易判決112年度竹北簡字第271號</t>
  </si>
  <si>
    <t>原告郭彥旻受有右側膝部擦傷之傷害
原告劉玉婷則受有右膝挫傷之傷害</t>
  </si>
  <si>
    <t>刑法第284條前段之過失傷害罪，拘役30日</t>
  </si>
  <si>
    <t>跨越分向限制線</t>
  </si>
  <si>
    <t>郭彥旻高職畢業
劉玉婷大學肄業</t>
  </si>
  <si>
    <t>高職畢業</t>
  </si>
  <si>
    <t>各1萬</t>
  </si>
  <si>
    <t>臺灣高雄地方法院民事判決112年度雄簡字第42號</t>
  </si>
  <si>
    <t>受有臉部挫擦傷之傷害</t>
  </si>
  <si>
    <t>臺灣高雄地方法院 111 年度原交簡字第 68 號刑事判決</t>
  </si>
  <si>
    <t>聯結車右前車頭不慎與系爭車輛左後車尾發生碰撞</t>
  </si>
  <si>
    <t>臺灣新竹地方法院民事小額判決  112年度竹東小字第215號</t>
  </si>
  <si>
    <t>男、公司</t>
  </si>
  <si>
    <t>貨物掉落</t>
  </si>
  <si>
    <t>臺灣嘉義地方法院民事判決112年度朴小字第67號</t>
  </si>
  <si>
    <t>路邊起步未注意其他車輛</t>
  </si>
  <si>
    <t>臺灣高雄地方法院民事判決112年度雄簡字第381號</t>
  </si>
  <si>
    <t>受有左側手部擦傷、左側手肘擦傷、左側踝部擦傷、左側小腿擦傷等傷害</t>
  </si>
  <si>
    <t>臺灣高雄地方法院 111 年度交簡字第 1914 號刑事判決</t>
  </si>
  <si>
    <t>4,688元</t>
  </si>
  <si>
    <t>臺灣高雄地方法院民事判決112年度雄簡字第542號</t>
  </si>
  <si>
    <t>受有右側肩峰鎖骨關節閉鎖性脫位之傷害</t>
  </si>
  <si>
    <t>臺灣高雄地方法院 111 年度交簡字第 3153 號刑事判決</t>
  </si>
  <si>
    <t>貿然闖越紅燈行駛</t>
  </si>
  <si>
    <t>未呈現於判決</t>
  </si>
  <si>
    <t>臺灣高雄地方法院民事判決112年度雄簡字第1196號</t>
  </si>
  <si>
    <t>受有右側臉部挫傷、右側手部挫傷等傷害</t>
  </si>
  <si>
    <t>灣高雄地方法院 111 年度交簡字第 3525 號刑事判決</t>
  </si>
  <si>
    <t>貿然逕自行駛進入路口，致2車之前車頭發生碰撞</t>
  </si>
  <si>
    <t>臺灣苗栗地方法院民事簡易判決112年度苗簡字第103號</t>
  </si>
  <si>
    <t>受有右肩胛骨及右鎖骨閉鎖性骨折、左腕挫傷、右小腿及右足多處燙傷之傷害</t>
  </si>
  <si>
    <t>臺灣苗栗地方法院 111 年度交易字第 275 號刑事判決</t>
  </si>
  <si>
    <t>無視車道已有來車行駛接近中仍貿然穿越道路</t>
  </si>
  <si>
    <t>臺灣苗栗地方法院民事簡易判決112年度苗簡字第348號</t>
  </si>
  <si>
    <t>受有左側肋骨閉鎖性骨折、左側血胸、右側肋骨閉鎖性骨折、左側鎖骨閉鎖性骨折、左側肩胛骨骨折、腦震盪之傷害</t>
  </si>
  <si>
    <t>8日</t>
  </si>
  <si>
    <t>臺灣苗栗地方法院 111 年度交易字第 220 號刑事判決</t>
  </si>
  <si>
    <t>疏未注意車前狀況並駛出路面邊線</t>
  </si>
  <si>
    <t>臺灣士林地方法院民事簡易判決112年度湖簡字第244號</t>
  </si>
  <si>
    <t>受有腦震盪、頸部拉傷、胸部背部髖部挫傷等傷害</t>
  </si>
  <si>
    <t>AB</t>
  </si>
  <si>
    <t>臺灣士林地方法院 111 年度審交簡字第 217 號刑事判決</t>
  </si>
  <si>
    <t>未維持安全距離</t>
  </si>
  <si>
    <t>臺灣嘉義地方法院民事判決112年度嘉小字第625號</t>
  </si>
  <si>
    <t>迴轉彎未禮讓直行</t>
  </si>
  <si>
    <t>臺灣南投地方法院民事簡易判決112年度投簡字第56號</t>
  </si>
  <si>
    <t>受有頭部挫傷併頭暈等傷害</t>
  </si>
  <si>
    <t>臺灣南投地方法院 110 年度投交簡字第 443 號刑事判決</t>
  </si>
  <si>
    <t>跨越雙黃線左轉彎</t>
  </si>
  <si>
    <t>臺灣新北地方法院民事判決112年度簡字第5號</t>
  </si>
  <si>
    <t>受有左踝關節韌帶及軟骨損傷、左踝阿基里士腱斷裂等傷害</t>
  </si>
  <si>
    <t>臺灣新北地方法院 108 年度交簡字第 577 號刑事判決</t>
  </si>
  <si>
    <t>違規(禁止)右轉</t>
  </si>
  <si>
    <t>臺灣新北地方法院板橋簡易庭小額民事判決112年度板小字第1037號</t>
  </si>
  <si>
    <t>受有左側膝部開放性傷口、左側膝部擦傷之傷害</t>
  </si>
  <si>
    <t>臺灣新北地方法院 111 年度交易字第 35 號刑事判決</t>
  </si>
  <si>
    <t>貿然左轉</t>
  </si>
  <si>
    <t>臺灣新北地方法院板橋簡易庭民事簡易判決112年度板簡字第282號</t>
  </si>
  <si>
    <t>受有右側鎖骨骨折、右側第八肋骨骨折等傷害爭</t>
  </si>
  <si>
    <t>臺灣新北地方法院 111 年度審交易字第 786 號刑事判決</t>
  </si>
  <si>
    <t>疏未注意及此，不慎追撞</t>
  </si>
  <si>
    <t>臺灣新北地方法院板橋簡易庭民事簡易判決112年度板簡字第305號</t>
  </si>
  <si>
    <t>受有頸部挫傷、下背和骨盆挫傷、疑似尾椎骨骨折等傷害</t>
  </si>
  <si>
    <t>臺灣新北地方法院 111 年度審交易字第 572 號刑事判決</t>
  </si>
  <si>
    <t>疏未注意及此而貿然行進</t>
  </si>
  <si>
    <t>臺灣新北地方法院板橋簡易庭民事簡易判決112年度板簡字第340號</t>
  </si>
  <si>
    <t>受有下顎骨複雜開放性骨折、左側下顎髁頭骨折、創傷後骨缺損、左手肘、左膝、左小腿擦傷、右小腿撕裂傷3CM等傷害</t>
  </si>
  <si>
    <t>臺灣新北地方法院 111 年度交易字第 167 號刑事判決</t>
  </si>
  <si>
    <t>臺灣新北地方法院板橋簡易庭民事簡易判決112年度板簡字第543號</t>
  </si>
  <si>
    <t>受有左側後十字韌帶撕裂性骨折、左膝、左小腿擦傷及挫傷等傷害</t>
  </si>
  <si>
    <t>臺灣新北地方法院 111 年度原交簡字第 173 號刑事判決</t>
  </si>
  <si>
    <t>未禮讓車道上行駛中之車輛先行</t>
  </si>
  <si>
    <t>臺灣新北地方法院板橋簡易庭民事簡易判決112年度板簡字第1265號</t>
  </si>
  <si>
    <t>受有左側手肘、左側膝部、雙側性手背擦挫傷之傷害</t>
  </si>
  <si>
    <t>臺灣新北地方法院 111 年度審交易字第 1135 號刑事判決</t>
  </si>
  <si>
    <t>臺灣彰化地方法院北斗簡易庭民事判決112年度斗簡字第214號</t>
  </si>
  <si>
    <t>受有頸部疼痛及骨盆挫傷等傷害</t>
  </si>
  <si>
    <t>臺灣彰化地方法院 111 年度交簡字第 2357 號刑事判決</t>
  </si>
  <si>
    <t>未保持行車安全距離</t>
  </si>
  <si>
    <t>臺灣臺北地方法院簡易民事判決 112年度店簡字第121號</t>
  </si>
  <si>
    <t>左側第3、4、5、6根肋骨骨折合併氣胸、右側肋膜積液、臉 部及四肢多處擦傷等</t>
  </si>
  <si>
    <t>臺灣臺北地方法院 111 年度審交簡字第 301 號刑事判決</t>
  </si>
  <si>
    <t>被告甲○○於民國110年3月14日晚上19時24分許， 駕駛被告富和中汽車企業有限公司（下稱富和中公司）所有 車牌號碼000-0000號營業小客車，沿新北市新店區民族路往 建國路方向直行，行經民族路89號前方之路段時，因疏未保 持行車安全間隔，其車身右側不慎擦撞同側右側由伊騎乘車 牌號碼000-0000號普通重型機車左側把手</t>
  </si>
  <si>
    <t>臺灣臺南地方法院柳營簡易庭民事判決 112年度營簡字第89號</t>
  </si>
  <si>
    <t>受有左側脛骨上端 閉鎖性骨折、左側跟骨閉鎖性骨折、頭部外傷併撕裂傷3公 分、左側小腿未伴有異物撕裂傷10×5公分、左手擦傷、右臀 擦傷、下背部大範圍擦傷等傷害</t>
  </si>
  <si>
    <t>69歲</t>
  </si>
  <si>
    <t>臺灣臺南地方法院 111 年度交易字第 655 號刑事判決</t>
  </si>
  <si>
    <t>家庭經濟狀況小康</t>
  </si>
  <si>
    <t>被告於110年8月30日16時56分許，無照駕駛車牌號碼000-000 0號自用小客車，沿臺南市官田區烏山頭里165線公路由北往 南方向行駛，行經165線公路32.6公里處時，本應注意汽車 在設有慢車道之雙向二車道時，應在遵行車道內行駛；於快 慢車道間變換車道時，應顯示方向燈，讓直行車先行，並注 意安全距離等規定，竟疏未注意及此，於前揭地點處，原行 駛於快車道上，於轉彎之際，貿然跨線進入機慢車道，而未 在遵行車道內行駛，適有原告騎乘車牌號碼000-000號普通 輕機車沿同路段同行向行駛於機慢車道處，見狀煞閃不及致 左側車身與被告前開車輛發生碰撞後，另擦撞路旁騎樓所停 放機車之車尾</t>
  </si>
  <si>
    <t>臺灣臺南地方法院柳營簡易庭民事判決 112年度營簡字第279號</t>
  </si>
  <si>
    <t>頭部損傷、臉部損傷、左側膝部挫傷、左側膝 部擦傷及亞急性硬腦膜下出血之傷害</t>
  </si>
  <si>
    <t>76歲</t>
  </si>
  <si>
    <t>臺灣臺南地方法院 111 年度交簡字第 2962 號刑事判決</t>
  </si>
  <si>
    <t>被告於民國110年11月19日12時37分，駕駛車牌號碼000-0000 號自小客車（下稱被告車輛），沿臺南市新營區三民路由東 往西方向行駛，在行經該路與同濟街之交岔路口時，本應注 意汽車行駛時，駕駛人應注意車前狀況，並隨時採取必要之 安全措施，竟疏未注意車前狀況，即貿然左轉駛入同濟街並 前行，此時適有適原告沿三民路由西往東方向步行穿越道路 至此，致被告之車輛車頭與原告發生碰撞</t>
  </si>
  <si>
    <t>臺灣橋頭地方法院民事判決112年度岡小字第335號</t>
  </si>
  <si>
    <t>未禮讓幹線道車先行</t>
  </si>
  <si>
    <t>臺灣臺南地方法院柳營簡易庭民事判決 112年度營簡字第230號</t>
  </si>
  <si>
    <t>頭部 外傷併頭皮挫傷、胸壁挫傷、尾底骨挫傷、右肩挫傷、右輪 旋肌斷裂、右肩膀旋轉肌腱破裂等</t>
  </si>
  <si>
    <t>68歲</t>
  </si>
  <si>
    <t>臺灣臺南地方法院 110 年度交簡上字第 210 號刑事判決</t>
  </si>
  <si>
    <t>被告於民國110年2月10日上午10時59分許，無照駕駛車號000 0-00號自用小客貨車（下稱被告車輛），自臺南市○○區○○路 000○0號前停車處，欲倒車駛入車道時，本應注意汽車倒車 時，應顯示倒車燈光或手勢後，謹慎緩慢後倒，並應注意其 他車輛及行人，而依當時之情形，並無不能注意之情事，竟 疏未注意及此，貿然進行倒車，適原告駕駛車號000-000號 普通重型機車暫停在被告所駕駛之車輛後方，原告之機車後 座扶手支架上所裝設之置物箱遭被告之車輛撞擊，使原告重 心不穩而人、車倒地</t>
  </si>
  <si>
    <t>臺灣臺中地方法院民事判決 112年度中簡字第849號</t>
  </si>
  <si>
    <t>左足挫傷</t>
  </si>
  <si>
    <t>臺灣臺中地方法院 111 年度交訴字第 376 號刑事判決</t>
  </si>
  <si>
    <t>被告於民國110年11月11日下午因疏未注意車前狀況、兩車併 行之間隔，及疏未遵守交通號誌之指示，擅自駕車闖越紅燈 右轉駛入中興街285巷而不慎輾壓在該路口停等紅燈原告之 左腳板</t>
  </si>
  <si>
    <t>臺灣花蓮地方法院民事簡易判決112年度花簡字第31號</t>
  </si>
  <si>
    <t>原告陳人豪受有右側第一肋骨骨折、右下肺挫傷、第一胸椎右側橫突骨折之傷害，原告陳人華則受有頭部外傷合併頭皮皮瓣撕裂傷、牙齒斷裂、左側肩膀及雙下肢挫傷等傷害</t>
  </si>
  <si>
    <t>違規跨越停止線卻拒絕受檢而加速逃逸</t>
  </si>
  <si>
    <t>10萬、5萬</t>
  </si>
  <si>
    <t>臺灣基隆地方法院基隆簡易庭小額民事判決112年度基小字第87號</t>
  </si>
  <si>
    <t>駕車不慎</t>
  </si>
  <si>
    <t>臺灣臺中地方法院民事簡易判決 112年度中簡字第1543號</t>
  </si>
  <si>
    <t>左側疑似第六肋骨閉鎖性 骨折、左側膝部挫傷及擦傷、左側手部、右側膝部挫傷等傷 害</t>
  </si>
  <si>
    <t>臺灣臺中地方法院 111 年度交簡字第 842 號刑事判決</t>
  </si>
  <si>
    <t>被告於111年1月4日11時41分許，騎乘車牌號碼0 00-0000號普通重型機車，沿臺中市西屯區西屯路二段由烈 美街往黎明路方向行駛，行經西屯路二段307號前，於超越 其右前方由原告所騎乘之車牌號碼000-000號普通重型機車 ，竟疏未注意超車時，應保持半公尺以上之間隔，即貿然自 原告左側超越，造成被告所騎乘之機車擦撞到原告騎乘之機 車，致使原告人車倒地</t>
  </si>
  <si>
    <t>臺灣臺南地方法院臺南簡易庭民事判決 112年度南簡字第521號</t>
  </si>
  <si>
    <t>第一腰椎壓迫性骨折、第二腰椎爆裂性骨折等傷害</t>
  </si>
  <si>
    <t>原告骨折傷勢頗重，術後須持續治療復健，對其行 動及生活影響甚大</t>
  </si>
  <si>
    <t>臺灣臺南地方法院 111 年度交易字第 1026 號刑事判決</t>
  </si>
  <si>
    <t>被告於民國110年10月17日中午12時58分許，駕 駛車號0000-00號自用小客車搭載被告之母莊韻霓、被告阿 姨即原告及訴外人莊燧榕等人，沿臺南市東區裕忠路由南向 北方向直行，行經該路段與裕農路口時，竟擅闖紅燈通過上 開交岔路口，適有訴外人林漢迪駕駛車號00-0000號自用小 客車搭載訴外人郭威廷，沿東區裕農路由西向東方向綠燈起 步行駛至該交岔路口，兩車見狀煞避不及而碰撞</t>
  </si>
  <si>
    <t>福建金門地方法院民事簡易判決112年度城簡字第18號</t>
  </si>
  <si>
    <t>臺灣基隆地方法院 111 年度基交簡字第 339 號刑事判決</t>
  </si>
  <si>
    <t>轉彎未注意</t>
  </si>
  <si>
    <t>臺灣臺北地方法院民事簡易判決 112年度北簡字第286號</t>
  </si>
  <si>
    <t>下 頷骨髁狀突閉鎖性骨折、下唇撕裂傷、四肢擦傷等傷害</t>
  </si>
  <si>
    <t>臺灣臺北地方法院 111 年度審交易字第 27 號刑事判決</t>
  </si>
  <si>
    <t>被告於民國109年12月22日凌晨12時54分許，駕 駛車牌號碼000-0000號營業小客車（下稱肇事車輛），沿臺 北市中正區市民高架下閘道由東向西行駛，欲左轉進入重慶 北路1段與鄭州路之交岔口，疏未注意左轉時需待左轉之號 誌指示燈亮起始能左轉，貿然在未有左轉號誌指示下左轉往 重慶北路1段方向行駛，適伊自鄭州路第2車道由西向東乘車 牌號碼000-000號普通重型機車（下稱系爭機車）而來，肇 事車輛右後車門與系爭機車右前車頭碰撞</t>
  </si>
  <si>
    <t>臺灣臺北地方法院民事簡易判決 112年度北簡字第518號</t>
  </si>
  <si>
    <t>左側胸壁挫傷、左側足部挫傷及擦傷、右側小腿擦傷等</t>
  </si>
  <si>
    <t>原告不敢 出門面對交通，影響學習成績下降，且惡夢連連注意力無法 集中，時常緊張焦慮，呼吸急促思緒中斷，情緒低落有憂鬱 情形，經診斷確立因車禍引發創傷後壓力症候群</t>
  </si>
  <si>
    <t>臺灣臺北地方法院 111 年度審交簡字第 258 號刑事判決</t>
  </si>
  <si>
    <t>被告於民國110年11月23日凌晨1時56分許，駕駛 車牌號碼000-0000號自用小客車，沿臺北市大安區信義路由 西往東方向行駛，本應注意行進應遵守燈光號誌，而依當時 情形並無不能注意之情事，竟在行經信義路3段與建國南路1 段之交岔路口時，疏未注意其行進車道號誌為紅燈，仍貿然 穿越該交岔路口，致撞及由原告所駕駛、沿建國南路1段由 北往南方向行駛之車牌號碼000-000號重型機車(下稱系爭機 車)，造成原告人車倒地</t>
  </si>
  <si>
    <t>臺灣高雄地方法院民事判決112年度雄簡字第250號</t>
  </si>
  <si>
    <t>受有右肩胛骨疑線性骨折、下排門牙鈍挫傷、右頭皮撕裂2 公分併異物、創傷後壓力症候群合併憂鬱情緒等傷勢</t>
  </si>
  <si>
    <t>刑法第284條前段之過失傷害罪、恐嚇危害安全罪</t>
  </si>
  <si>
    <t>被告因認伊有繞遠路情事，先以言詞辱罵伊，旋手持仿貝瑞塔92之瓦斯槍恐嚇伊，復又持該槍枝槍托敲擊伊頭部及身體，並開槍以塑膠子彈朝伊連續射擊，伊為求自保與被告在車上拉扯，復跳離駕駛座跑出車外求救，被告見狀追出後雙方繼續在路口追逐拉扯</t>
  </si>
  <si>
    <t>臺灣臺北地方法院民事簡易判決 112年度北簡字第615號</t>
  </si>
  <si>
    <t>頭部外傷併 腦內出血、創傷性蜘蛛膜下腔出血、水腦等傷害</t>
  </si>
  <si>
    <t>臺灣臺北地方法院 111 年度審交簡字第 196 號刑事判決</t>
  </si>
  <si>
    <t>被告於民國110年8月22日上午6時11分許，駕駛 車牌號碼000-0000號普通重型機車（下稱肇事車輛）沿臺北 巿中正區羅斯福路由北向南行駛，至羅斯福路3段與同路段3 16巷交岔路口時，本應注意行駛至交岔路口，其行進應遵守 燈光號誌，竟疏未注意前方號誌為圓形紅燈，貿然向前行駛 ，適伊駕駛車牌號碼000-000號普通重型機車（下稱系爭車 輛）沿羅斯福路3段316巷由西向東行駛，亦駛至前述交岔路 口，兩車因而發生碰撞，系爭車輛倒地</t>
  </si>
  <si>
    <t>臺灣臺北地方法院民事簡易判決 112年度北簡字第856號</t>
  </si>
  <si>
    <t>左手肘、左膝、左腳掌、左腰多處擦挫傷等</t>
  </si>
  <si>
    <t>期間從110年7月 19日至110年9月30日於本院，接受傷口清創換藥治療、及後 續復健治療(參照附件二：醫療費用明細期間收據)。三、病 患最嚴重傷處在於左手肘，(參照附件三：病患傷處照片)， 主要是左手肘挫傷後，皮膚破損、皮下深處組織壞死感染化 膿，故需傷口清創排膿、換藥治療。因傷處在左手肘，此為 關節活動處，若傷口治療期間，手肘時常彎曲活動，會接扯 到傷口，會影響到關節處皮膚修復。且傷口須保持乾燥，建 議減少外出流汗等機會，減少後續傷口續發感染機會。綜合 上述，此傷口不適合外勤流汗，及需手對活動負重等工作。</t>
  </si>
  <si>
    <t>臺灣臺北地方法院 111 年度交簡字第 958 號刑事判決</t>
  </si>
  <si>
    <t>被告於民國110年7月15日中午12時2分許，駕駛車 牌號碼000-0000號自用小客車(下稱系爭肇事車輛)，行經臺北 市○○區○○○○0段000巷00○00號與仁愛路3段123巷口時，竟疏未 注意讓直行車先行，即貿然左轉，適原告騎乘車牌號碼000-0000 號普通重型機車駛(下稱系爭機車)至上址，因事出突然，避 煞不及，因而發生碰撞</t>
  </si>
  <si>
    <t>臺灣高雄地方法院民事判決112年度雄簡字第412號</t>
  </si>
  <si>
    <t>丙○○受有右肩挫傷、右膝挫傷、右足擦挫傷、左手大拇指挫傷、右背挫傷及右肘擦傷等傷害，原告甲○○受有頭部外傷、臉部擦傷及胸部挫傷等傷害，原告乙○○則受有右手第一指鈍挫傷、右膝鈍挫傷等傷害</t>
  </si>
  <si>
    <t>刑法第284條前段之過失傷害罪，有期徒刑2月</t>
  </si>
  <si>
    <t>大學就學</t>
  </si>
  <si>
    <t>1萬</t>
  </si>
  <si>
    <t>臺灣臺北地方法院民事簡易判決 112年度北簡字第1113號</t>
  </si>
  <si>
    <t>頭部挫傷、右肩挫傷、右肘挫擦傷、右髖挫傷、右踝挫擦傷等</t>
  </si>
  <si>
    <t>臺灣臺北地方法院 112 年度審交簡字第 121 號刑事判決</t>
  </si>
  <si>
    <t>父母</t>
  </si>
  <si>
    <t>被告於民國111年8月4日下午5時53分許，騎乘車牌 號碼000-0000號普通重型機車（下稱系爭肇事機車），沿臺 北市松山區復興北路由南往北方向行駛，駛至復興北路31號 至33號前，見原告騎乘車牌號碼000-0000號普通重型機車（ 下稱系爭機車），同向行駛於被告騎乘之上開機車右前方， 亦行經該處，被告竟仍貿然向右變換行向，被告騎乘之機車 遂撞及原告騎乘之機車，致使原告人車倒地</t>
  </si>
  <si>
    <t>臺灣臺北地方法院民事簡易判決 112年度北簡字第1121號</t>
  </si>
  <si>
    <t>左側手部瘀傷、頸部及下背挫傷</t>
  </si>
  <si>
    <t>臺灣臺北地方法院 111 年度審交易字第 274 號刑事判決</t>
  </si>
  <si>
    <t>被告於民國110年8月7日下午18時33分許，駕駛 車號9E-0067號自用小客車（下稱肇事車輛），沿新北市汐 止區新江北路由南向北行駛，行經新江北二橋路段時，適伊 駕駛車牌號碼000-0000號自用小客車（下稱系爭車輛）行駛 於肇事車輛之左後方，被告因疏未注意汽車在劃有分向限制 線之路段不得迴車、即貿然駕車迴轉之過失，致伊閃避不及 而發生碰撞</t>
  </si>
  <si>
    <t>臺灣臺北地方法院民事簡易判決 112年度北簡字第4009號</t>
  </si>
  <si>
    <t>頸部扭傷、左側胸部挫傷、左腳挫擦傷、左大腿外側挫擦傷及左足背深度撕裂傷挫傷等</t>
  </si>
  <si>
    <t>原告須休養之日數</t>
  </si>
  <si>
    <t>臺灣臺北地方法院 111 年度審交簡字第 422 號刑事判決</t>
  </si>
  <si>
    <t>被告於民國110年9月23日晚上7時31分許，駕駛 車牌號碼000-0000號自用小客車，沿臺北市中正區林森南路 車行地下道，由北往南方向行駛，嗣於同日晚上7時31分許 ，本應注意汽車在同一車道行駛時，後車與前車之間應保持 隨時可以煞停之距離，並無不能注意之情事，竟疏未注意及 此，追撞同一車道在前、由原告所騎乘車牌號碼000-0000號 大型重型機車(下稱系爭機車)車尾，致系爭機車於左側倒地 受有損傷</t>
  </si>
  <si>
    <t>臺灣臺北地方法院民事簡易判決 112年度北簡字第5057號</t>
  </si>
  <si>
    <t>多處牙齒斷裂、下巴擦傷及右手多處擦傷等</t>
  </si>
  <si>
    <t>我這2年來其實無法正常進食，都要用剪刀剪食 物，且沒有收到被告關心，除了身體的疼痛外，也感受不到被 告任何誠意，折磨都是我承受，也沒有辦法衡量以後裝假牙後 生活會造成如何影響，對我就是造成一輩子的影響，才會提出 此精神慰撫金金額，對於我因此導致的身心壓力跟痛苦都很大</t>
  </si>
  <si>
    <t>臺灣臺北地方法院 111 年度審交簡字第 316 號刑事判決</t>
  </si>
  <si>
    <t>被告於民國110年9月8日夜間8時26分許，駕駛車牌號碼000－000 0號自用小客車（下稱被告車輛），沿臺北市大安區建國南路1 段由南往北方向行駛至忠孝東路3段路口，欲自第3車道駛入建 國高架橋匝道時，本應注意汽車行駛時，行在同向2車道以上 之道路，於變換車道時，應讓直行車先行，而依當時天候陰、 夜間有照明、柏油路面乾燥、無缺陷、無障礙物、視距良好， 並無不能注意之情事，竟疏未注意禮讓直行車先行，於發現該 車道係連接建國高架橋機車專用道時，即貿然自第3車道向左 行駛，致不慎撞擊適沿著同向、同車道騎乘車牌號碼000－000 號普通重型機車（下稱系爭車輛）之訴外人張皓程及張皓程搭 載之原告，並致張皓程及原告人車倒地</t>
  </si>
  <si>
    <t>臺灣桃園地方法院民事簡易判決 112年度桃簡字第176號</t>
  </si>
  <si>
    <t>尾椎骨骨折</t>
  </si>
  <si>
    <t>因懷孕必須延後開刀時間，醫生建議產後進行 腰椎融合手術</t>
  </si>
  <si>
    <t>臺灣桃園地方法院 111 年度審交簡字第 371 號刑事判決</t>
  </si>
  <si>
    <t>被告於民國(下同)110年5月14日下午1時4分許， 駕駛車牌號碼000-0000號普通重型機車(下稱肇事車輛)，沿 桃園市桃園區寶山街往大有路方向行駛，原應注意車前狀況 及在劃有分向限制線之路段，不得駛入來車之車道內，而依 當時情形又無不能注意情事，於途經同市區寶山街與寶山街 58巷交岔路口處時，適有同向前方由原告所駕駛車牌號碼00 0-0000號普通重型機車，沿寶山街往大有方向行駛至寶山街 58巷口欲行左轉，詎被告為超越原告前開機車，竟貿然跨越 分向限制線駛入來車道且疏未注意車前狀況，自後撞及原告 上開機車，使原告當場人、車倒地</t>
  </si>
  <si>
    <t>臺灣桃園地方法院民事簡易判決 112年度桃簡字第469號</t>
  </si>
  <si>
    <t>左側肩膀挫傷、左側腕部挫傷 、下背挫傷、胸部挫傷及雙側下肢挫傷等傷害</t>
  </si>
  <si>
    <t>臺灣桃園地方法院 111 年度桃交簡字第 1869 號刑事判決</t>
  </si>
  <si>
    <t>被告於民國(下同)111年2月12日14時21分許，駕 駛車牌號碼0000-00號自用小客車，沿桃園市桃園區春日路 往民光東路方向直行行駛，行經桃園市桃園區春日路與三民 路2段交岔路口時，本應注意行駛至交岔路口，應遵守燈光 號誌，不得闖越紅燈行駛，又圓形紅燈表示禁止通行，不得 超越停止線或進入路口，且依當時情況，並無不能注意之情 形，竟疏未注意及此，即貿然闖紅燈直行，適有原告及訴外 人唐浩羲分別騎乘車牌號碼000-0000號及EQB-0095號普通重 型機車，自三民路2段上之機車待轉區遇綠燈起步直行行駛 ，唐浩羲見狀閃避不及，與被告駕駛之上開車輛發生碰撞， 騎駛於唐浩羲後方之原告亦閃避不及而與唐浩羲之機車發生 碰撞，致原告人車倒地</t>
  </si>
  <si>
    <t>臺灣澎湖地方法院民事簡易判決112年度馬簡字第50號</t>
  </si>
  <si>
    <t>受有頭部外傷併延遲性腦挫傷及蛛網膜腔出血等傷</t>
  </si>
  <si>
    <t>撞擊</t>
  </si>
  <si>
    <t>大學畢業
國中畢業</t>
  </si>
  <si>
    <t>臺灣嘉義地方法院民事判決112年度朴小字第129號</t>
  </si>
  <si>
    <t>受有右膝部及左手擦傷、左胸挫傷、肌腱撕裂傷與多處扭傷之傷害</t>
  </si>
  <si>
    <t>有祖父母要扶養、家庭經濟狀況勉持</t>
  </si>
  <si>
    <t>故意借給無駕照之人</t>
  </si>
  <si>
    <t>臺灣新北地方法院板橋簡易庭民事簡易判決112年度板簡字第159號</t>
  </si>
  <si>
    <t>原告受有右側肱骨外科頸骨折併內翻變型之傷害</t>
  </si>
  <si>
    <t>臺灣新北地方法院 111 年度審交易字第 831 號刑事判決</t>
  </si>
  <si>
    <t>占用來車道搶先左轉</t>
  </si>
  <si>
    <t>臺灣雲林地方法院小額民事判決 112年度六小字第88號</t>
  </si>
  <si>
    <t>有右側膝部挫傷之傷 害</t>
  </si>
  <si>
    <t>臺灣雲林地方法院 111 年度交簡字第 98 號刑事判決</t>
  </si>
  <si>
    <t>被告於民國110 年10月17日18時52分許， 駕駛車牌號碼000-0000號自用小貨車，沿雲林縣斗南鎮南生 路180 巷由北往南行駛，行經該路段與靖興里124號路燈前 交岔路口，原應注意行駛至無號誌路口，其為直行之左方車 應暫停讓直行之右方車先行，而依當時現場狀況其並無不能 注意之情事，竟疏未讓直行之右方車先行，即直行通過上開 路口，適訴外人黃羿雄駕駛車牌號碼0000-00 號自用小客車 搭載原告，沿靖興里由西往東直行駛至上開路口，2 車因而 發生碰撞</t>
  </si>
  <si>
    <t>臺灣臺北地方法院民事小額判決 112年度店小字第634號</t>
  </si>
  <si>
    <t>左側手肘挫傷、左側膝部挫擦傷、左腹 壁挫擦傷、左鼠蹊部挫擦傷等傷害</t>
  </si>
  <si>
    <t>臺灣臺北地方法院 111 年度審交易字第 58 號刑事判決</t>
  </si>
  <si>
    <t>被告於110年3月11日22時49分許，騎乘車牌號碼000-000號普 通重型機車（下稱被告機車）沿臺北市文山區興隆路1段第2 車道由北往南方向行駛，至興隆路1段與該路段202巷口前近 黃色網狀線處時，本應注意向左變換行向時，應先顯示左邊 方向燈或手勢，且變換車道時，應讓直行車先行，並注意與 其他車輛之安全距離，而依當時情形，並無不能注意之情事 ，竟貿然向左偏行至第1車道；適原告騎乘車牌號碼000-000 0號普通重型機車（下稱原告機車）自同行向後方沿第1車道 行駛，以時速約65公里（該路段速限50公里）超速駛至，因 閃避不及致原告機車前車頭撞擊被告機車後車側，兩車人車 倒地</t>
  </si>
  <si>
    <t>E</t>
  </si>
  <si>
    <t>臺灣南投地方法院民事小額判決112年度投小字第110號</t>
  </si>
  <si>
    <t>這篇跟車禍無關</t>
  </si>
  <si>
    <t>臺灣南投地方法院民事簡易判決112年度埔簡字第61號</t>
  </si>
  <si>
    <t>致原告受有左上肢鈍挫傷、左下肢鈍挫傷等傷害</t>
  </si>
  <si>
    <t>臺灣南投地方法院 111 年度埔原交簡字第 83 號刑事判決</t>
  </si>
  <si>
    <t>跨越雙黃線違規迴轉</t>
  </si>
  <si>
    <t>臺灣花蓮地方法院小額民事判決112年度花小字第312號</t>
  </si>
  <si>
    <t>受有頭部外傷併輕微腦症盪、左肩部挫傷及四肢多處擦挫傷之傷害</t>
  </si>
  <si>
    <t>臺灣屏東地方法院民事判決112年度潮簡字第144號</t>
  </si>
  <si>
    <t>足踝挫扭傷合併表淺性外傷、雙下肢表淺性外傷等傷害</t>
  </si>
  <si>
    <t>臺灣屏東地方法院 110 年度交簡字第 1866 號刑事判決</t>
  </si>
  <si>
    <t>本件被告之駕駛行為固有上揭疏失，惟原告騎乘系爭車輛，應隨時注意車前狀況，並採取必要之安全措施，詎原告疏未注意車前狀況並隨時採取必要之安全措施，致閃煞不及，而與A車發生碰撞，則原告亦應負過失責任甚明</t>
  </si>
  <si>
    <t>臺灣臺南地方法院臺南簡易庭小額民事判決 112年度南小字第1122號</t>
  </si>
  <si>
    <t>顏面部擦傷、左髖擦挫傷併皮下血腫</t>
  </si>
  <si>
    <t>建議需休養兩星期、後續門診追蹤</t>
  </si>
  <si>
    <t>被告無駕駛執照，於民國111年2月11日中午12時47分（日時 下以「00.00.00/00:00:00」格式）騎乘車牌號碼000-0000 號普通重型機車，沿臺南市東區裕農路668 巷北向行駛，於 穿越裕農路668 巷與富農街2 段12巷口時，未停等讓幹道（ 富農街2 段12巷）車先行即直行穿越路口，致撞擊穿越富農 街2 段12巷騎乘車牌號碼MSA-8738號重型機車（下稱【原告 機車】）之原告，致使原告人車倒地</t>
  </si>
  <si>
    <t>臺灣南投地方法院民事簡易判決112年度投簡字第286號</t>
  </si>
  <si>
    <t>受有左側肩膀挫傷、頸部扭傷、下背和骨盆挫傷、右側膝部挫傷等傷害，原告魏振漢則受有胸部挫傷、頸部挫傷等傷害</t>
  </si>
  <si>
    <t>違規跨越雙黃線</t>
  </si>
  <si>
    <t>2萬</t>
  </si>
  <si>
    <t>臺灣臺北地方法院小額民事判決 112年度北小字第1548號</t>
  </si>
  <si>
    <t>下背 及骨盆擦挫傷、左下肢擦傷等傷害</t>
  </si>
  <si>
    <t>臺灣臺北地方法院 111 年度交易字第 129 號刑事判決</t>
  </si>
  <si>
    <t>被告於民國109年8月1日中午12時35分許，騎乘 車牌號碼000-000號普通重型機車(下稱系爭肇事機車)，沿 臺北市松山區八德路3段12巷由北往南方向行駛至市民大道4 段路口時，本應注意其行車方向設有停車再開標誌，應停車 觀察，認為安全時方得再開，竟疏未注意依標誌指示停車觀 察左右來車動態，即貿然直行，適逢原告騎乘自行車沿市民 大道4段北側紅磚人行道由西往東方向行駛至八德路3段12巷 口時，本應注意車前狀況，隨時採取必要之安全措施，竟於 進入道路時，亦疏未注意往來車輛，雙方因此閃避不及，在 市民大道4段與八德路3段12巷口發生碰撞</t>
  </si>
  <si>
    <t>臺灣嘉義地方法院民事判決112年度嘉小字第539號</t>
  </si>
  <si>
    <t>原告受有前胸鈍挫傷之傷</t>
  </si>
  <si>
    <t>臺灣嘉義地方法院 112 年度交易字第 21 號刑事判決</t>
  </si>
  <si>
    <t>未行至交岔路口中心處即搶先左轉</t>
  </si>
  <si>
    <t>臺灣臺北地方法院民事簡易判決 112年度北簡字第6202號</t>
  </si>
  <si>
    <t>腰椎退化性關節炎、急性坐骨神經 痛、右大腿前側擦挫傷等傷害</t>
  </si>
  <si>
    <t>退休</t>
  </si>
  <si>
    <t>臺灣臺北地方法院 111 年度審交簡字第 449 號刑事判決</t>
  </si>
  <si>
    <t>無需扶養之人</t>
  </si>
  <si>
    <t>被告曾郁恩於民國110年12月31日11時14分 許，駕駛車牌號碼000-0000號自小客車沿臺北市松山區光復南路2 2巷由西往東方向行駛，行經光復南路22巷16弄口時，本應注意汽 車行駛至無號誌之交岔路口，支線道車（即光復南路22巷）應暫停 讓幹線道車（即光復南路22巷16弄）先行，且依當時天候晴、日間 自然光線、柏油路面乾燥無缺陷、無障礙物、視距良好，並無 不能注意之情事，竟未暫停讓幹線道車輛先行，即貿然直行通過 上開交岔路口，適有原告騎乘車牌號碼000-000號普通重型機車 ，沿光復南路22巷16弄由南往北行駛至該處，見狀閃避不及，二車發 生碰撞</t>
  </si>
  <si>
    <t>臺灣屏東地方法院民事判決112年度潮簡字第249號</t>
  </si>
  <si>
    <t>原告受有顱內損傷、下巴傷口1.1公分、左膝挫傷、左膝創傷性外側副韌帶破裂、左側胸挫傷併第6、7、8、9肋骨骨折、左側肩背挫傷等傷害</t>
  </si>
  <si>
    <t>臺灣屏東地方法院 111 年度交簡字第 488 號刑事判決</t>
  </si>
  <si>
    <t>超速追撞、無駕駛執照駕車</t>
  </si>
  <si>
    <t>CE</t>
  </si>
  <si>
    <t>臺灣苗栗地方法院民事簡易判決112年度苗簡字第188號</t>
  </si>
  <si>
    <t>受有右側大腿撕裂傷、右膝及右足背擦挫傷等傷害</t>
  </si>
  <si>
    <t>臺灣苗栗地方法院 111 年度苗交簡字第 771 號刑事判決</t>
  </si>
  <si>
    <t>夜間未開亮頭燈及注意車前狀況</t>
  </si>
  <si>
    <t>臺灣嘉義地方法院民事判決112年度朴簡字第40號</t>
  </si>
  <si>
    <t>並受有頭部外傷合併腦震盪症狀、雙膝挫傷、頸部、右肩拉傷、四肢多處擦挫傷之傷害</t>
  </si>
  <si>
    <t>臺灣嘉義地方法院 111 年度交易字第 385 號刑事判決</t>
  </si>
  <si>
    <t>臺灣新竹地方法院民事簡易判決112年度竹北簡字第313號</t>
  </si>
  <si>
    <t>原告受有胸壁挫傷、下肢擦傷等傷害</t>
  </si>
  <si>
    <t>臺灣新竹地方法院 111 年度交易字第 429 號刑事判決</t>
  </si>
  <si>
    <t>臺灣新北地方法院板橋簡易庭小額民事判決 112年度板小字第1611號</t>
  </si>
  <si>
    <t>恍神未注意車前狀況</t>
  </si>
  <si>
    <t>0元</t>
  </si>
  <si>
    <t>臺灣桃園地方法院民事簡易判決112年度桃簡字第1013號</t>
  </si>
  <si>
    <t>外傷性顱內出血、創傷性蜘蛛網膜下出血、腦震盪、右側胸壁挫傷併第八肋骨骨折、雙側肩部及左臂挫傷</t>
  </si>
  <si>
    <t>臺灣桃園地方法院 111 年度壢交簡字第 2059 號刑事判決</t>
  </si>
  <si>
    <t>原告主張被告於上開時 、地，駕駛肇事車輛行經系爭路口而欲左轉時，並未暫停禮 讓直行於幹線道上之系爭車輛先行，兩車因而發生碰撞</t>
  </si>
  <si>
    <t>臺灣臺中地方法院民事判決 112年度中簡字第74號</t>
  </si>
  <si>
    <t>右側近端肱骨骨折之 傷害</t>
  </si>
  <si>
    <t>臺灣臺中地方法院 111 年度交簡字第 617 號刑事判決</t>
  </si>
  <si>
    <t>需扶養2 名未成年子女</t>
  </si>
  <si>
    <t>被告於110年12月16日7時43分許，騎車號000-00 00號普通重型機車，沿臺中市大里區環中東路5段機慢車道 往六順橋方向行駛，原應注意車前狀況，隨時採取必要之安 全措施，而依當時之天候晴、日間自然光線、路面鋪設柏油 且乾燥無缺陷、無障礙物、視距良好，並無不能注意之情事 ，竟疏未保持行車安全距離，並注意車前狀況，適原告騎車 號000-000號普通重型機車（下稱系爭機車）同向行駛在前 ，見前方第三人洪意銘所騎車號000-000號普通重型機車剎 車，亦隨之剎車，被告則因剎車不及，與原告所騎之系爭機 車發生碰撞，原告因此人車倒地</t>
  </si>
  <si>
    <t>臺灣新北地方法院板橋簡易庭民事簡易判決112年度板簡字第758號</t>
  </si>
  <si>
    <t>受有左側膝部挫傷、左侧手肘挫傷、左側胸部挫傷、左侧肋骨閉鎖性骨折、車禍後雙侧耳鳴與右侧聽損、創傷後壓力症等傷害</t>
  </si>
  <si>
    <t>臺灣新北地方法院 112 年度審交易字第 688 號刑事判決</t>
  </si>
  <si>
    <t>未與平行車輛保持安全距離</t>
  </si>
  <si>
    <t>臺灣桃園地方法院民事簡易判決 112年度桃簡字第230號</t>
  </si>
  <si>
    <t>背腹 多處挫傷及子宮早產性收縮等傷害</t>
  </si>
  <si>
    <t>臺灣桃園地方法院 112 年度桃交簡字第 583 號刑事判決</t>
  </si>
  <si>
    <t>被告於民國(下同)111年2月6日下午1時40分許， 駕駛車牌號碼000-0000號自用小貨車，沿桃園市桃園區春日路 往桃園方向直行，行經同市區春日路與健行路口時，本應注意 車前狀況，隨時採取必要之安全措施，且依當時之天候及路況 ，並無不能注意之情形，竟疏未注意車前狀況，適有訴外人陳 永琮駕駛車牌號碼000-0000號自用小客車(下稱系爭車輛)搭 載原告，沿於同市區春日路往蘆竹方向行駛，行經上開路口 左轉時，兩車發生碰撞</t>
  </si>
  <si>
    <t>40％</t>
  </si>
  <si>
    <t>臺灣屏東地方法院民事判決112年度潮簡字第351號</t>
  </si>
  <si>
    <t>頭部外傷併腦震盪之傷害</t>
  </si>
  <si>
    <t>臺灣屏東地方法院 111 年度交簡字第 1487 號刑事判決</t>
  </si>
  <si>
    <t>追撞</t>
  </si>
  <si>
    <t>臺灣高雄地方法院民事判決112年度鳳簡字第356號</t>
  </si>
  <si>
    <t>受有頭部外傷併顱內出血、右顏面骨骨折、右眼鈍傷併結膜下出血、右眼眶骨骨折、外傷性右下眼瞼攣縮等傷害</t>
  </si>
  <si>
    <t>臺灣高雄地方法院 111 年度審交易字第 855 號刑事判決</t>
  </si>
  <si>
    <t>超速行駛</t>
  </si>
  <si>
    <t>臺灣新北地方法院板橋簡易庭民事簡易判決112年度板簡字第455號</t>
  </si>
  <si>
    <t>臺灣嘉義地方法院民事判決112年度嘉簡字第122號</t>
  </si>
  <si>
    <t>原告因此受有左手第五掌骨開放性骨折、左前臂挫傷、頸部及背部扭拉傷等傷害</t>
  </si>
  <si>
    <t>4日</t>
  </si>
  <si>
    <t>65歲</t>
  </si>
  <si>
    <t>臺灣嘉義地方法院 111 年度嘉交簡字第 1050 號刑事判決</t>
  </si>
  <si>
    <t>未婚無子女，須扶養父母，家庭經濟狀況小康</t>
  </si>
  <si>
    <t>臺灣新北地方法院板橋簡易庭民事簡易判決112年度板簡字第657號</t>
  </si>
  <si>
    <t>未說明(普通傷害)</t>
  </si>
  <si>
    <t>左轉彎未保持安全間隔之過失</t>
  </si>
  <si>
    <t>臺灣南投地方法院民事簡易判決112年度投簡字第43號</t>
  </si>
  <si>
    <t>受有腦震盪、頭皮撕裂傷、右側手肘及左側手部擦傷、右腳擦挫傷、頭部鈍傷等傷害</t>
  </si>
  <si>
    <t>5日</t>
  </si>
  <si>
    <t>臺灣南投地方法院 111 年度交易字第 175 號刑事判決</t>
  </si>
  <si>
    <t>於臺灣高等法院臺中分院112年度交上易字第79號審理期間，被告與原告成立調解，並於審理時當庭依調解內容，賠償原告9萬元</t>
  </si>
  <si>
    <t>闖紅燈直行</t>
  </si>
  <si>
    <t>臺灣南投地方法院民事簡易判決112年度投簡字第321號</t>
  </si>
  <si>
    <t>致原告人車倒地，受有下背和骨盆挫傷併左側股骨頸閉鎖性骨折、左側手肘及雙膝擦挫傷之傷害</t>
  </si>
  <si>
    <t>臺灣南投地方法院 111 年度投交簡字第 178 號刑事判決</t>
  </si>
  <si>
    <t>未禮讓行進中車輛，逕行駛入系爭路段</t>
  </si>
  <si>
    <t>臺灣嘉義地方法院民事判決112年度嘉簡字第140號</t>
  </si>
  <si>
    <t>原告受有頭部外傷、頭皮挫傷、顱內出血、創傷性腦損傷併左側癱瘓、創傷性腦出血等傷害。</t>
  </si>
  <si>
    <t>臺灣嘉義地方法院 111 年度嘉交簡字第 183 號刑事判決</t>
  </si>
  <si>
    <t>未注意行人</t>
  </si>
  <si>
    <t>70％</t>
  </si>
  <si>
    <t>臺灣新北地方法院板橋簡易庭民事簡易判決112年度板簡字第327號</t>
  </si>
  <si>
    <t>受有右側脛骨開放性骨折之傷害</t>
  </si>
  <si>
    <t>臺灣新北地方法院 111 年度審交簡字第 127 號刑事判決</t>
  </si>
  <si>
    <t>未讓行進中之車輛行人優先通行</t>
  </si>
  <si>
    <t>臺灣新北地方法院板橋簡易庭民事簡易判決112年度板簡字第1164號</t>
  </si>
  <si>
    <t>受有右遠端脛骨骨折、右膝深度擦傷、右足第五趾骨骨折等傷害</t>
  </si>
  <si>
    <t>臺灣新北地方法院 111 年度交易字第 118 號刑事判決</t>
  </si>
  <si>
    <t>闖紅燈左轉彎</t>
  </si>
  <si>
    <t>臺灣屏東地方法院小額民事判決112年度屏小字第140號</t>
  </si>
  <si>
    <t>未注意車前狀況</t>
  </si>
  <si>
    <t>臺灣屏東地方法院民事判決112年度潮簡字第216號</t>
  </si>
  <si>
    <t>腰椎笫一節即笫四節壓迫性骨折、腦挫傷、左臉深且大撕裂傷12X6X3cm、左眼瞼撕裂傷、胸骨骨折、橫突骨折與多處挫傷等傷害</t>
  </si>
  <si>
    <t>11日</t>
  </si>
  <si>
    <t>臺灣屏東地方法院 111 年度交簡字第 1646 號刑事判決</t>
  </si>
  <si>
    <t>駕駛車牌號碼000-0000號自用小客車，應注意駕駛汽車應遵守燈光號誌，而當時天氣晴、夜間有照明、柏油路面乾燥無缺陷、視距良好無障礙物，並無其不能注意之情事，竟於沿屏東縣枋寮鄉臺一線由南往北方向行駛至臺一線與建興路口時，未遵守燈光號誌，逕闖紅燈，適原告駕駛車牌號碼000-000號重型機車（下稱系爭車輛）沿建興路由西往東方向行駛至該路口，被告駕駛之上開車輛遂直接撞擊原告駕駛之系爭車輛</t>
  </si>
  <si>
    <t>臺灣屏東地方法院簡易民事判決112年度屏簡字第198號</t>
  </si>
  <si>
    <t>臺灣臺中地方法院小額民事判決112年度沙小字第46號</t>
  </si>
  <si>
    <t>臺灣臺中地方法院小額民事判決 112年度沙小字第130號</t>
  </si>
  <si>
    <t>涉嫌酒駕</t>
  </si>
  <si>
    <t>臺灣臺中地方法院小額民事判決 112年度沙小字第228號</t>
  </si>
  <si>
    <t>無慰撫金</t>
  </si>
  <si>
    <t>臺灣臺中地方法院小額民事判決 112年度沙小字第295號</t>
  </si>
  <si>
    <t>臺灣新北地方法院三重簡易庭民事判決 112年度重簡字第437號</t>
  </si>
  <si>
    <t>臺灣士林地方法院民事簡易判決 112年度士簡字第382號</t>
  </si>
  <si>
    <t>臺灣高雄地方法院民事判決112年度雄簡字第415號</t>
  </si>
  <si>
    <t>受有左手挫傷併第5掌骨骨折、左臉挫擦傷、左膝挫傷、左側膝部前十字韌帶創傷性破裂、左側腓神經病變、左下肢神經損傷等傷害</t>
  </si>
  <si>
    <t>臺灣高雄地方法院 111 年度交簡字第 3219 號刑事判決</t>
  </si>
  <si>
    <t>貿然迴轉</t>
  </si>
  <si>
    <t>臺灣新北地方法院板橋簡易庭民事簡易判決112年度板簡字第873號</t>
  </si>
  <si>
    <t>左脛腓骨骨折</t>
  </si>
  <si>
    <t>6日</t>
  </si>
  <si>
    <t>臺灣新北地方法院 111 年度交易字第 40 號刑事判決</t>
  </si>
  <si>
    <t>未暫停讓行人先行通過</t>
  </si>
  <si>
    <t>臺灣桃園地方法院民事簡易判決112年度壢簡字第759號</t>
  </si>
  <si>
    <t>原告因而受有左側小腿擦傷及 挫傷、左側手肘擦傷、下背和骨盆挫傷等傷害</t>
  </si>
  <si>
    <t>臺灣桃園地方法院 111 年度壢交簡字第 2284 號刑事判決</t>
  </si>
  <si>
    <t>臺灣桃園地方法院民事簡易判決112年度壢簡字第203號</t>
  </si>
  <si>
    <t>原告受有右側鎖骨粉碎性骨折、右側肺部挫傷合併氣胸、右側第二至第四肋骨骨折、右側鎖骨粉碎性骨折、右側肩胛骨性骨折等傷害</t>
  </si>
  <si>
    <t>臺灣桃園地方法院 111 年度壢交簡字第 1043 號刑事判決</t>
  </si>
  <si>
    <t>臺灣花蓮地方法院民事簡易判決112年度玉原簡字第6號</t>
  </si>
  <si>
    <t>受有右側肱骨頸骨折之傷害</t>
  </si>
  <si>
    <t>74歲</t>
  </si>
  <si>
    <t>貿然駛入外側車道並右轉</t>
  </si>
  <si>
    <t>臺灣新北地方法院板橋簡易庭民事簡易判決112年度板簡字第453號</t>
  </si>
  <si>
    <t>受有左側髖股擦挫傷、左側膝蓋擦挫傷、左側手肘挫傷及左股骨頸骨折等傷害</t>
  </si>
  <si>
    <t>臺灣新北地方法院 112 年度審交簡字第 295 號刑事判決</t>
  </si>
  <si>
    <t>貿然將公車駛離停靠站，致從公車後門下車之乘客即原告許連登重心不穩跌倒在地</t>
  </si>
  <si>
    <t>臺灣高雄地方法院民事判決112年度雄簡字第745號</t>
  </si>
  <si>
    <t>受有創傷性蜘蛛膜下出血、左鎖骨骨折、左側第2至6肋骨骨折、左岩顳骨骨折、左耳0.5公分撕裂傷及肢體多處鈍挫傷、左側顏面神經及左耳聽力受損、右側第6、7、8節頸椎神經根病變等傷害</t>
  </si>
  <si>
    <t>臺灣高雄地方法院 111 年度交簡字第 3534 號刑事判決</t>
  </si>
  <si>
    <t>貿然闖紅燈右轉</t>
  </si>
  <si>
    <t>臺灣臺南地方法院柳營簡易庭民事判決 112年度營簡字第208號</t>
  </si>
  <si>
    <t>多數原告</t>
  </si>
  <si>
    <t>臺灣嘉義地方法院民事判決112年度嘉簡字第138號</t>
  </si>
  <si>
    <t>原告受有右側遠端脛、腓骨開放性骨折、右側第4至第8根肋骨骨折併創傷性氣血胸、右下肺葉撕裂傷等傷害</t>
  </si>
  <si>
    <t>臺灣嘉義地方法院 111 年度嘉交簡字第 965 號刑事判決</t>
  </si>
  <si>
    <t>其竟疏未注意而貿然彎腰撿拾掉落車內之行動電話，因此操控車輛失當</t>
  </si>
  <si>
    <t>臺灣桃園地方法院民事簡易判決 112年度桃簡字第427號</t>
  </si>
  <si>
    <t>頸部挫傷、背部挫傷、右側腕部挫傷、右側肘部挫傷、右側足部挫傷、右肩部挫傷等</t>
  </si>
  <si>
    <t>醫囑要求原告需使用頸圈及由專人照護一個月</t>
  </si>
  <si>
    <t>臺灣桃園地方法院 111 年度桃交簡字第 2476 號刑事判決</t>
  </si>
  <si>
    <t>被告於111年8月2日16時42分許前某時，駕駛車 牌號碼000-0000號自用小客車（下稱肇事車輛），沿桃園市 桃園區力行路由永安路往文中路之方向行駛，於同日16時42 分許，行經同市區○○路○○○○街○○號誌交岔路口（下稱系爭路 口）而欲左轉時，本應注意轉彎車應讓直行車先行，而當時 並無不能注意之情事，竟疏未禮讓即貿然左轉，適有原告騎 乘車牌號碼000-000號普通重型機車（下稱系爭車輛）沿同 市區力行路之外側車道由文中路往永安路之方向駛至，兩車 因而於系爭路口發生碰撞</t>
  </si>
  <si>
    <t>臺灣臺南地方法院臺南簡易庭民事判決 112年度南簡字第157號</t>
  </si>
  <si>
    <t>左側脛骨上端閉鎖性骨折之</t>
  </si>
  <si>
    <t>臺灣臺南地方法院 111 年度交簡字第 2784 號刑事判決</t>
  </si>
  <si>
    <t>配偶</t>
  </si>
  <si>
    <t>被告於民國111年3月3日下午3時25分許，駕駛車號000-0000 號自用小客貨車，沿臺南市北區文成五路由東往西方向行駛 ，行經該路段與育成路交岔路口時，本應注意其行進應遵守 燈光號誌之指示，又閃光紅燈表示「停車再開」，車輛應減 速接近，並停止於交岔路口前，支線道車注意右方幹道來車 並停讓幹線道車優先通行後，認為安全時，方得續行，而依 當時天候晴、日間自然光線、柏油路面乾燥、無缺陷、無障 礙物、視距良好，客觀上並無不能注意之情事，竟疏未注意 ，未停讓右方幹道車先行，即貿然前行，適有原告騎乘車牌 號碼000-000號普通重型機車，亦疏未注意汽車行駛至交岔路 口，其行進應遵守燈光號誌之指示，又閃光黃燈表示「警告 」，車輛應減速接近，注意安全，小心通過，而沿臺南市北 區育成路由北往南方向行駛至該交岔路口，造成被告小客貨 車之右前車頭與原告機車之前車頭發生碰撞，導致原告人車 倒地</t>
  </si>
  <si>
    <t>臺灣臺中地方法院民事判決 105年度重訴字第112號</t>
  </si>
  <si>
    <t>右側股骨幹骨折、肋骨骨折 、右膝髕骨下端骨折合併髕骨韌帶受損、疑似肝臟撕裂傷 等傷害</t>
  </si>
  <si>
    <t>育有2子</t>
  </si>
  <si>
    <t>原告主張被告駕駛車牌號碼00-0000號自用小客車，於104 年1月7日凌晨5時28分許，行經臺中市○○區○道○號高 速公路南向177公里處時，所駕駛之自小客車失控往左側 滑行到內側車道並撞上內側護欄後，而橫停在該處之內側 車道上。又被告在上開車禍事故發生後，未顯示危險警告 燈，亦未立即在故障車輛後方設置警示標誌，致原告駕駛 車牌號碼0000-00號自用小客車，見被告駕駛之上開車輛 橫停擋在車道間，閃避不及下，所駕駛之自用小客車前車 頭遂撞擊被告上開自用小客車左側車身，且因撞擊力道過 大，使原告夾於車內</t>
  </si>
  <si>
    <t>仁佑堂中醫診所至原告住所地距離6.9公里</t>
  </si>
  <si>
    <t>臺灣臺中地方法院民事判決 112年度訴字第354號</t>
  </si>
  <si>
    <t>非車禍案件</t>
  </si>
  <si>
    <t>臺灣高雄地方法院民事判決112年度雄簡字第624號</t>
  </si>
  <si>
    <t>原告受有左側髁骨骨折、右下顎體骨折、右側上顎犬齒、第一大臼齒牙冠斷裂、右側下 顎第一小臼齒、第一大臼齒、第二大臼齒牙冠斷裂、左側上顎第一大臼齒、第二大臼齒牙冠斷裂、左側上顎第二小臼齒牙冠斷裂、左側下顎犬齒牙冠斷裂等傷害</t>
  </si>
  <si>
    <t>不慎撞擊</t>
  </si>
  <si>
    <t>臺灣臺南地方法院柳營簡易庭民事判決 112年度營簡字第212號</t>
  </si>
  <si>
    <t>頭 部創傷併硬腦膜下出血、胸部挫傷併右側第4、5、6根肋骨 骨折及左側第5、6根肋骨骨折之傷害</t>
  </si>
  <si>
    <t>61歲</t>
  </si>
  <si>
    <t>臺灣臺南地方法院 111 年度交簡字第 4613 號刑事判決</t>
  </si>
  <si>
    <t>被告於民國111年1月11日中午12時48分許，無照騎乘車號000 -000號普通重型機車，沿臺南市下營區文明街由東往西方向 直行，行經該街與民生街之無號誌交岔路口時，本應注意車 前狀況，隨時採取必要之安全措施，以避免危險之發生，竟 疏未注意車前狀況，復未減速慢行，即貿然向前直行進入路 口，適有原告騎乘車號000-000號普通重型機車，沿民生街 由南往北方向駛至上開路口，雙方見狀閃避不及，2車遂因 此發生碰撞</t>
  </si>
  <si>
    <t>臺灣嘉義地方法院民事判決112年度嘉簡字第352號</t>
  </si>
  <si>
    <t>受有頸部、右肩及左膝挫傷與左膝內側韌帶拉傷及半月板受損之傷害</t>
  </si>
  <si>
    <t>臺灣嘉義地方法院 112 年度交易字第 34 號刑事判決</t>
  </si>
  <si>
    <t>家庭經濟困難</t>
  </si>
  <si>
    <t>跨越雙黃實線迴轉行駛</t>
  </si>
  <si>
    <t>臺灣基隆地方法院基隆簡易庭民事判決112年度基簡字第52號</t>
  </si>
  <si>
    <t>受有左側股骨幹骨折、左側臉部開放性傷口3公分等傷害</t>
  </si>
  <si>
    <t>7日</t>
  </si>
  <si>
    <t>疏未注意即貿然左轉</t>
  </si>
  <si>
    <t>臺灣桃園地方法院民事簡易判決112年度壢簡字第598號</t>
  </si>
  <si>
    <t>受有頭部外傷合併腦震盪、頸部扭傷、頭部挫傷及頭皮下血腫、雙側下肢多處擦裂傷、蜂窩性組織炎及膿傷、左下肢擦傷撕裂傷3公分合併傷口感染等傷害</t>
  </si>
  <si>
    <t>臺灣桃園地方法院 111 年度壢交簡字第 1309 號刑事判決</t>
  </si>
  <si>
    <t>不慎自後追撞前車</t>
  </si>
  <si>
    <t>臺灣高雄地方法院民事判決112年度雄簡字第406號</t>
  </si>
  <si>
    <t>受有腦震盪、額頭挫擦傷、左臉頰挫傷併皮下血腫、左胸挫傷併第1肋骨骨折、左胸壁撕裂傷、右大腿挫傷併血腫及股骨幹粉碎性移位性骨折、右髖部挫傷併髂骨和髖臼骨折、右膝和左下肢多處挫擦傷、左上臂挫傷瘀青等傷害</t>
  </si>
  <si>
    <t>臺灣高雄地方法院 111 年度交簡字第 3411 號刑事判決</t>
  </si>
  <si>
    <t>臺灣臺北地方法院民事簡易判決 112年度北簡字第1179號</t>
  </si>
  <si>
    <t>右腕橈骨遠端閉鎖性骨折與右手舟狀骨骨折</t>
  </si>
  <si>
    <t>臺灣臺北地方法院 111 年度審交簡字第 229 號刑事判決</t>
  </si>
  <si>
    <t>被告於民國110年6月21日21時19分許，駕駛車號 000-0000號營業用小客車，沿臺北市信義區基隆路2段南往 北方向直行，行經基隆路2段與光復南路口，本應注意轉彎 車應禮讓直行車先行，復應注意起駛時應注意前後左右有無 障礙或車輛行人，並應讓行進中之車輛優先通行，依當時狀 況復無不能注意之情形，竟疏未注意貿然左轉，致與沿基隆 路2段對向直行、由原告所騎乘之車號000-000號普通重型機 車(下稱系爭機車)發生碰撞</t>
  </si>
  <si>
    <t>臺灣臺南地方法院臺南簡易庭民事判決 112年度南簡字第866號</t>
  </si>
  <si>
    <t>臺灣臺南地方法院臺南簡易庭民事判決 112年度南簡字第924號</t>
  </si>
  <si>
    <t>多數原告且呈現植物人</t>
  </si>
  <si>
    <t>臺灣臺北地方法院小額民事判決 112年度北小字第1106號</t>
  </si>
  <si>
    <t>臺灣屏東地方法院民事判決112年度潮簡字第310號</t>
  </si>
  <si>
    <t>原告受有左側遠端鎖骨粉碎性骨折之傷害</t>
  </si>
  <si>
    <t>臺灣屏東地方法院 110 年度交簡字第 1608 號刑事判決</t>
  </si>
  <si>
    <t>轉彎未禮讓直行、無駕駛執照駕車</t>
  </si>
  <si>
    <t>AE</t>
  </si>
  <si>
    <t>臺灣臺北地方法院小額民事判決 112年度北小字第1584號</t>
  </si>
  <si>
    <t>臺灣臺北地方法院簡易民事判決 112年度店原簡字第3號</t>
  </si>
  <si>
    <t>右側股骨轉子下骨折</t>
  </si>
  <si>
    <t>臺灣臺北地方法院 110 年度審交易字第 573 號刑事判決</t>
  </si>
  <si>
    <t>被告於民國109年12月14日6時12分許，騎乘車牌 號碼000-000號普通重型機車，沿新北市深坑區北深路1段往 3段直行，行經北深路2段與深南路交岔路口，本應注意車前 狀況，而依當時情形，亦無不能注意之情事竟疏於注意，適 伊騎乘車牌號碼000-000號普通重型機車沿北深路2段往石碇 方向，行經上開路口左轉深南路時，兩造發生碰撞</t>
  </si>
  <si>
    <t>臺灣南投地方法院民事簡易判決112年度埔簡字第43號</t>
  </si>
  <si>
    <t>受有右側膝部後十字韌帶斷裂、右側膝部前十字韌帶損傷、左側肩膀挫傷、踝部韌帶拉傷、右側肩膀擦傷之傷害</t>
  </si>
  <si>
    <t>臺灣南投地方法院 111 年度埔交簡字第 238 號刑事判決</t>
  </si>
  <si>
    <t>未減速慢行，作隨時停車之準備</t>
  </si>
  <si>
    <t>臺灣臺北地方法院簡易民事判決 112年度北簡字第549號</t>
  </si>
  <si>
    <t>因本件事故之發生，受到驚嚇，後續並配合司法調查 ，雖取得不起訴處分仍多次作惡夢並至精神科就診</t>
  </si>
  <si>
    <t>與訴外之共同侵權人已先調解10000元</t>
  </si>
  <si>
    <t>原告陳宜賢為車牌號碼000-0000號自用小客車（下稱系爭車輛 ）之所有權人，並為原告甘雅莉之配偶，而原告甘雅莉於110 年7月12日11時47分許，駕駛系爭車輛，沿臺北市中正區重慶 南路1段北向南行駛，在該重慶南路1段及衡陽路口等待交通號 誌，等待交通號誌轉為綠燈時，適有訴外人莊士賢騎乘車牌號 碼000-000號普通重型機車（下稱B車），突自原告甘雅莉左側 超車切入原告甘雅莉前方之機車待轉區內並無故於車道暫停， 隨後，被告駕駛之車牌號碼000-000號普通重型機車（下稱C車 ）亦同B車為相同行為無故於車道暫停並緊靠於B車右側，導致 甘雅莉因事發突然煞車不及而撞擊被告之C車</t>
  </si>
  <si>
    <t>臺灣南投地方法院民事簡易判決112年度投簡字第296號</t>
  </si>
  <si>
    <t>致原告因而受有右肘、左腕挫傷、左膝挫傷合併巨大血腫、左足多處外傷等傷害</t>
  </si>
  <si>
    <t>臺灣南投地方法院 112 年度投交簡字第 126 號刑事判決</t>
  </si>
  <si>
    <t>貿然右轉</t>
  </si>
  <si>
    <t>臺灣嘉義地方法院民事判決112年度朴簡字第39號</t>
  </si>
  <si>
    <t>受有右腳外踝與後踝閉鎖性骨折等傷害</t>
  </si>
  <si>
    <t>需經二度住院開刀治療</t>
  </si>
  <si>
    <t>臺灣嘉義地方法院 111 年度朴交簡字第 295 號刑事判決</t>
  </si>
  <si>
    <t>變換車道未禮讓直行</t>
  </si>
  <si>
    <t>臺灣嘉義地方法院民事判決112年度朴簡字第23號</t>
  </si>
  <si>
    <t>原告受有左側遠端股骨幹開放性粉碎移位性骨折、左側鎖骨閉鎖性骨折、左側顴骨、左右上頷骨及左側眼窩骨骨折、臉部及口腔撕裂傷之傷害</t>
  </si>
  <si>
    <t>臺灣嘉義地方法院 111 年度交簡上字第 92 號刑事判決</t>
  </si>
  <si>
    <t>臺灣高雄地方法院民事判決112年度雄簡字第420號</t>
  </si>
  <si>
    <t>受有左側股骨骨折之傷害</t>
  </si>
  <si>
    <t>臺灣高雄地方法院 111 年度交簡字第 2747 號刑事判決</t>
  </si>
  <si>
    <t>行進中低頭拿取機車置物架之飲料而未予注意</t>
  </si>
  <si>
    <t>臺灣屏東地方法院民事判決112年度潮簡字第113號</t>
  </si>
  <si>
    <t>右側第二肋骨骨折、恥骨及薦椎骨骨折、左腳外踝骨折及雙手與臀部挫傷等傷害</t>
  </si>
  <si>
    <t>臺灣屏東地方法院 111年度交附民字第108號</t>
  </si>
  <si>
    <t>查本件被告之駕駛行為固有上揭疏失，惟原告騎乘系爭車輛，行經上揭閃光紅燈之交岔路口，有未先停止於交岔路口前，及未禮讓被告之幹道車優先通行之疏失，致發生系爭事故，則原告自屬與有過失</t>
  </si>
  <si>
    <t>臺灣臺北地方法院民事簡易判決 112年度北簡字第3330號</t>
  </si>
  <si>
    <t>臺灣南投地方法院民事簡易判決112年度投簡字第173號</t>
  </si>
  <si>
    <t>受有左側骨盆骨折、牙齒外傷性骨折、腦震盪、口腔撕裂傷、全身多處擦傷等傷害</t>
  </si>
  <si>
    <t>臺灣南投地方法院 111 年度投交簡字第 365 號刑事判決</t>
  </si>
  <si>
    <t>本應注意汽車行駛至交岔路口，右轉彎時，應距交岔路口30公尺前顯示方向燈或手勢，換入外側車道、右轉車道或慢車道，駛至路口後再行右轉</t>
  </si>
  <si>
    <t>臺灣士林地方法院民事簡易判決 112年度士簡字第911號</t>
  </si>
  <si>
    <t>右側髖臼閉鎖性骨折、右側髖關節 脫位等傷害</t>
  </si>
  <si>
    <t>臺灣士林地方法院 111 年度審交簡字第 308 號刑事判決</t>
  </si>
  <si>
    <t>雖燈號為綠燈，惟仍應注意轉彎車應讓直行車先行</t>
  </si>
  <si>
    <t>臺灣臺北地方法院民事簡易判決 112年度北簡字第5373號</t>
  </si>
  <si>
    <t>受有頭部外傷併顱內出血（硬腦膜下出血及蜘蛛膜下出血）、右側顳骨骨裂、乳突內血腫、右側外耳道撕裂傷併出血、肢體多處擦傷、鈍挫傷及拉傷、外傷性嗅覺異常、嗅覺全失等傷害</t>
  </si>
  <si>
    <t>臺灣新北地方法院 111 年度交簡字第 1360 號刑事判決</t>
  </si>
  <si>
    <t>臺灣臺北地方法院民事簡易判決 112年度北簡字第6361號</t>
  </si>
  <si>
    <t>臺灣桃園地方法院民事簡易判決 112年度桃簡字第11號</t>
  </si>
  <si>
    <t>臺灣桃園地方法院民事簡易判決 112年度桃簡字第15號</t>
  </si>
  <si>
    <t>多數被告</t>
  </si>
  <si>
    <t>臺灣屏東地方法院民事判決112年度潮簡字第35號</t>
  </si>
  <si>
    <t>頭部外傷併顱內出血、左顴骨粉碎性骨折、左胸鈍挫傷、左股骨骨折、左側脛腓骨骨折、肢體多處鈍挫傷、左眼第三對腦神經麻痺</t>
  </si>
  <si>
    <t>10日</t>
  </si>
  <si>
    <t>臺灣屏東地方法院 111 年度交簡字第 842 號刑事判決</t>
  </si>
  <si>
    <t>前有給付3萬元之慰問金予原告</t>
  </si>
  <si>
    <t>臺灣臺南地方法院新市簡易庭民事判決 112年度新簡字第291號</t>
  </si>
  <si>
    <t>左側脛腓骨開放性骨折、組織缺損之 傷害</t>
  </si>
  <si>
    <t>最長達30日</t>
  </si>
  <si>
    <t>前後多次住院進行清瘡、重建、植皮等手術，術後入 住加護病房，單次最長住院期間達30日，多次往返就醫，造 成時間及金錢之花費</t>
  </si>
  <si>
    <t>年紀已長</t>
  </si>
  <si>
    <t>臺灣臺南地方法院 111 年度交簡字第 3200 號刑事判決</t>
  </si>
  <si>
    <t>被告於民國111年1月2日11時58分，駕駛車牌號碼000-00號營 業小客車，沿臺南市新化區台19甲線外側快車道由西往東方 向行駛，在行經臺南市新化區台19甲線39.7公里處（臺南市 ○○區○○路0巷00號附近）時，本應注意閃光黃燈表示警告，車 輛應減速接近，注意安全，小心通過，又汽車行駛時，駕駛人 應注意車前狀況，並隨時採取必要之安全措施，而當時為日間 有自然光線，天候晴，路面為乾燥無缺陷之柏油路面，無障 礙物，視距良好，並無不能注意之情事，竟疏未注意車前狀 況並減速慢行，即貿然向前行駛，此時適有原告騎乘之車牌 號碼000-000號重機車(下稱系爭機車)，沿同路段同向右前方 駛來，而亦疏未注意轉彎車應讓直行車先行，即貿然左轉，致被 告之車輛右前車頭與原告之車輛左側車身發生碰撞(</t>
  </si>
  <si>
    <t>臺灣南投地方法院民事簡易判決112年度埔簡字第36號</t>
  </si>
  <si>
    <t>受有右側鎖骨及第4-8肋骨骨折併血胸等傷害</t>
  </si>
  <si>
    <t>臺灣南投地方法院 110 年度交易字第 36 號刑事判決</t>
  </si>
  <si>
    <t>貿然進入系爭路口並搶快左轉</t>
  </si>
  <si>
    <t>臺灣臺南地方法院柳營簡易庭民事判決 112年度營簡字第154號</t>
  </si>
  <si>
    <t>第四、五頸椎骨折滑脫併頸椎損 傷合併四肢癱瘓之傷害</t>
  </si>
  <si>
    <t>於110年8月13 日急診住院接受手術後，於同年9月16日轉至一般病房，至 同年10月22日出院，其後仍繼續門診追蹤治療</t>
  </si>
  <si>
    <t>52歲</t>
  </si>
  <si>
    <t>臺灣彰化地方法院 111 年度交易字第 321 號刑事判決</t>
  </si>
  <si>
    <t>被告於110年8月13日12時35分許，駕駛車牌號碼0000-00號自 用小客車，沿臺南市西港區南海里未命名東西向道路由西往 東方向行駛，途經南海里南吉高幹6右28右1電桿旁路口（下 稱系爭交岔路口）時，疏未注意行經有「停」標字指示之路 段，須在停止線停車再開，未停車即貿然向前行駛通過系爭 交岔路口，適原告駕駛車牌號碼00-0000號自用小客貨車搭 載其妻即訴外人阮氏玉金，沿上開電桿西側之未命名南北向 道路由南往北方向行駛至系爭交岔路口，兩車發生碰撞</t>
  </si>
  <si>
    <t>臺灣南投地方法院民事簡易判決112年度投簡字第175號</t>
  </si>
  <si>
    <t>致原告受有頭部外傷合併顱內出血及顱底骨折之傷害等傷害，雖經治療仍呈植物人狀態，生活無法自理，屬難以回復至正常狀態之重傷害</t>
  </si>
  <si>
    <t>67歲</t>
  </si>
  <si>
    <t>臺灣南投地方法院 111 年度交易字第 62 號刑事判決</t>
  </si>
  <si>
    <t>刑法第284條後段之過失重傷罪</t>
  </si>
  <si>
    <t>未禮讓行人及未注意車前狀態</t>
  </si>
  <si>
    <r>
      <rPr>
        <color rgb="FF1155CC"/>
        <u/>
      </rPr>
      <t xml:space="preserve">傷害程度 
</t>
    </r>
    <r>
      <rPr/>
      <t>(1最嚴重-5最輕)</t>
    </r>
  </si>
  <si>
    <t>臺灣桃園地方法院民事簡易判決111年度壢簡字第849號</t>
  </si>
  <si>
    <t>原告因而受有右側鎖骨閉鎖性骨折之傷害</t>
  </si>
  <si>
    <t>臺灣桃園地方法院民事簡易判決111年度壢簡字第1089號</t>
  </si>
  <si>
    <t>原告受有右側股骨閉鎖性骨折、右側踝部撕裂傷、臉部損傷、頭部鈍傷之傷害</t>
  </si>
  <si>
    <t>臺灣桃園地方法院民事簡易判決111年度壢簡字第1119號</t>
  </si>
  <si>
    <t>原告因而受有右側前胸壁及體側挫傷、四肢多處挫擦傷、牙齒斷裂等傷害</t>
  </si>
  <si>
    <t>111年度審交易字第64號判決</t>
  </si>
  <si>
    <t>臺灣桃園地方法院民事簡易判決111年度壢簡字第1702號</t>
  </si>
  <si>
    <t>左腳踝雙踝開放性骨折</t>
  </si>
  <si>
    <t>111年度壢交簡字第33號刑事簡易判決</t>
  </si>
  <si>
    <t>臺灣新竹地方法院民事簡易判決111年度竹北簡字第508號</t>
  </si>
  <si>
    <t>原告受有右恥骨骨折不良於行約6週右胸右腰挫傷頭部外傷血腫等傷害</t>
  </si>
  <si>
    <t>111年度竹交簡字第284號刑事案件之刑事判決</t>
  </si>
  <si>
    <t>臺灣新竹地方法院民事簡易判決111年度竹北簡字第544號</t>
  </si>
  <si>
    <t>受有薦椎骨折併神經病變、恥骨骨折、腰椎第四、五節脊椎滑脫、腰薦椎和骨盆未明示部分部位閉鎖性骨折、適應障礙症、手腳擦傷、受傷轉為氣喘及壓力症狀等傷害。</t>
  </si>
  <si>
    <t>110年度竹交簡字第620號刑事判決</t>
  </si>
  <si>
    <t>臺灣新竹地方法院民事簡易判決111年度竹北簡字第610號</t>
  </si>
  <si>
    <t>並受有左側腳踝及足部擦挫傷、左腳外踝骨骨折等傷害</t>
  </si>
  <si>
    <t>110年度交易字第96號刑事判決</t>
  </si>
  <si>
    <t>臺灣新竹地方法院民事簡易判決111年度竹東簡字第62號</t>
  </si>
  <si>
    <t>受有雙側股骨骨折</t>
  </si>
  <si>
    <t>臺灣嘉義地方法院民事判決111年度朴簡字第138號</t>
  </si>
  <si>
    <t>第三腰椎爆裂性骨折</t>
  </si>
  <si>
    <t>110年度朴交簡字第224號刑事判決</t>
  </si>
  <si>
    <t>臺灣嘉義地方法院民事判決111年度嘉簡字第143號</t>
  </si>
  <si>
    <t>右肩肌腱撕裂傷</t>
  </si>
  <si>
    <t>臺灣嘉義地方法院民事判決111年度嘉簡字第281號</t>
  </si>
  <si>
    <t>右側小腿挫傷、眩暈</t>
  </si>
  <si>
    <t>111年度朴交簡字第57號刑事簡易判決</t>
  </si>
  <si>
    <t>臺灣嘉義地方法院民事判決111年度嘉簡字第668號</t>
  </si>
  <si>
    <t>頭部外傷、頸部扭傷、頸部挫傷、右手肘擦傷、右手挫傷、右足踝擦傷、尾骶骨挫傷、腰部及骨盆挫傷、頸部關節和韌帶挫傷扭傷、第五腰椎椎間盤移位等傷害</t>
  </si>
  <si>
    <t>111年度嘉交簡字第284號刑事簡易判決</t>
  </si>
  <si>
    <t>臺灣高雄地方法院民事判決111年度鳳簡字第521號</t>
  </si>
  <si>
    <t>受有第一、二頸椎骨折併脊髓壓迫、右足背部裂傷之傷害及第二頸椎閉鎖性骨折</t>
  </si>
  <si>
    <t>臺灣高雄地方法院民事判決111年度鳳簡字第524號</t>
  </si>
  <si>
    <t>右側鎖骨外側端移位性骨折、臉部及多處擦傷、左腳撕裂傷併左踝韌帶損傷等傷害</t>
  </si>
  <si>
    <t>臺灣高雄地方法院民事判決111年度鳳簡字第639號</t>
  </si>
  <si>
    <t>左臉及下背挫傷、左膝擦挫傷（前二者下稱甲傷害）、下背和骨盆挫傷、下背扭挫傷、腰椎第2節（楔形）壓迫性骨折</t>
  </si>
  <si>
    <t>臺灣高雄地方法院 110 年度審交易字第 799 號刑事判決</t>
  </si>
  <si>
    <t>臺灣高雄地方法院民事判決111年度鳳簡字第709號</t>
  </si>
  <si>
    <t>有頸部及下背 鈍挫傷之傷害</t>
  </si>
  <si>
    <t>臺灣高雄地方法院 111 年度 交簡 字第 2422 號刑事判決</t>
  </si>
  <si>
    <t>臺灣臺中地方法院民事判決111年度豐簡字第814號</t>
  </si>
  <si>
    <t>頭部挫傷合併頭暈、疑輕微腦震盪、胸部及左膝挫傷等傷害</t>
  </si>
  <si>
    <t>臺灣臺中地方法院 111 年度交簡字第 443 號刑事判決</t>
  </si>
  <si>
    <t>臺灣臺中地方法院民事判決111年度豐簡字第844號</t>
  </si>
  <si>
    <t>左側手肘、左膝及左踝擦挫傷</t>
  </si>
  <si>
    <t>臺灣橋頭地方法院民事判決111年度岡原簡字第4號</t>
  </si>
  <si>
    <t>左肩及頸扭傷</t>
  </si>
  <si>
    <t>110 年度原交簡字第41號刑事</t>
  </si>
  <si>
    <t>臺灣花蓮地方法院民事簡易判決111年度花簡字第486號</t>
  </si>
  <si>
    <t>第三腰椎楔型壓迫閉鎖性骨折</t>
  </si>
  <si>
    <t>刑事庭111年度交簡字第30號刑事案件</t>
  </si>
  <si>
    <t>臺灣花蓮地方法院民事簡易判決111年度花簡字第531號</t>
  </si>
  <si>
    <t>左側小腿撕裂傷合併腓骨骨折、下巴撕裂傷、頭部外傷併多處挫傷顱內出血、左側血胸合併左鎖骨及肋骨骨折</t>
  </si>
  <si>
    <t>刑事庭111年度交簡字第34號刑事案</t>
  </si>
  <si>
    <t>臺灣高雄地方法院民事判決111年度雄簡字第251號</t>
  </si>
  <si>
    <t>封閉性頭部外傷、左腰拉傷、左脛骨平台骨折、右膝擦挫傷之傷害</t>
  </si>
  <si>
    <t>臺灣高雄地方法院 110 年度 審交易 字第 233 號刑事判決</t>
  </si>
  <si>
    <t>臺灣高雄地方法院民事判決111年度雄簡字第325號</t>
  </si>
  <si>
    <t>頭部外傷併顱內出血、胸部鈍傷併右側第二至第五肋骨骨折及血胸、四肢及顏面鈍擦傷</t>
  </si>
  <si>
    <t>110年度審交易字第786 號</t>
  </si>
  <si>
    <t>臺灣高雄地方法院民事判決111年度雄簡字第962號</t>
  </si>
  <si>
    <t>左踝、左足、左手挫傷</t>
  </si>
  <si>
    <t>灣高雄地方法院 110 年度交簡字第 2749 號刑事判決</t>
  </si>
  <si>
    <t>臺灣高雄地方法院民事判決111年度雄簡字第1757號</t>
  </si>
  <si>
    <t>左膝脛骨平台粉碎性骨折、左肩近端肱骨骨折等傷害</t>
  </si>
  <si>
    <t>111年交簡字第1629號</t>
  </si>
  <si>
    <t>臺灣高雄地方法院民事判決111年度雄簡字第1885號</t>
  </si>
  <si>
    <t>頭部損傷併腦震盪、肢體多處挫擦傷</t>
  </si>
  <si>
    <t>111年度交上訴字第93號</t>
  </si>
  <si>
    <t>臺灣高雄地方法院民事判決111年度雄簡字第1993號</t>
  </si>
  <si>
    <t>右胸挫傷併第二至第八肋肋骨骨折併血胸、右側近端肱骨骨折、右肩脫臼、左側鎖骨骨折、四肢挫擦傷</t>
  </si>
  <si>
    <t>臺灣高雄地方法院 111 年度交簡字第 1535 號刑事判決</t>
  </si>
  <si>
    <t>臺灣高雄地方法院民事判決111年度雄簡字第2180號</t>
  </si>
  <si>
    <t>頭部鈍傷、雙側膝蓋、雙手、左肩及右側大腳趾擦挫傷</t>
  </si>
  <si>
    <t>111年度交簡字第1680號刑事判決</t>
  </si>
  <si>
    <t>臺灣高雄地方法院民事判決111年度雄簡字第2242號</t>
  </si>
  <si>
    <t>頭部損傷之初期照護、頭痛、左側眼瞼及眼周圍區域擦傷之初期照護、頭部其他部位擦傷之初期照護及噁心</t>
  </si>
  <si>
    <t>111年度交簡字第3251號刑事判決</t>
  </si>
  <si>
    <t>臺灣苗栗地方法院民事簡易判決111年度苗簡字第614號</t>
  </si>
  <si>
    <t>腦震盪、頭皮開放性傷口、左側肩胛骨骨折、左側第三肋骨閉鎖性骨折、右側小腿挫傷、右側脛骨平台骨折</t>
  </si>
  <si>
    <t>臺灣士林地方法院民事簡易判決111年度湖簡字第404號</t>
  </si>
  <si>
    <t>右肘肱骨開放性骨折併關節脫位、左手第四遠端指骨骨折併杵狀指變形、右側骨盆坐骨骨折、右肩旋轉肌袖斷裂、第2/3及4/5腰椎滑脫、第2/3/4/5腰椎狹窄併神經壓迫等傷害</t>
  </si>
  <si>
    <t>臺灣士林地方法院民事簡易判決111年度湖簡字第536號</t>
  </si>
  <si>
    <t>頸椎韌帶扭傷之初期照護、頭暈、目眩、腦震盪後症候群及頸椎中心脊髓症候群等傷害</t>
  </si>
  <si>
    <t>臺灣士林地方法院 110 年度審交簡字第 344 號刑事判決</t>
  </si>
  <si>
    <t>臺灣士林地方法院民事簡易判決111年度湖簡字第842號</t>
  </si>
  <si>
    <t>左側第三至第七肋骨骨折、左側血胸、第三腰椎壓迫性骨折、左胸壁挫傷、左小腿挫傷併皮下血腫、左鎖骨骨折及左下肢蜂窩性組織炎</t>
  </si>
  <si>
    <t>臺灣士林地方法院民事簡易判決111年度湖簡字第1120號</t>
  </si>
  <si>
    <t>肝臟撕裂傷、右胸鈍挫傷、左上正門牙牙冠骨折、右胸壁挫傷、左肘撕裂傷、雙膝擦傷</t>
  </si>
  <si>
    <t>110年度審交簡字第367號判決</t>
  </si>
  <si>
    <t>臺灣士林地方法院民事簡易判決111年度湖簡字第1333號</t>
  </si>
  <si>
    <t>左肩挫傷、左膝淚挫傷併臏骨關節次脫位、左膝內側副韌帶撕裂傷</t>
  </si>
  <si>
    <t>臺灣士林地方法院 110 年度審交簡字第 19 號刑事判決</t>
  </si>
  <si>
    <t>臺灣士林地方法院民事簡易判決111年度湖簡字第1772號</t>
  </si>
  <si>
    <t>頭部外傷併腦震盪、頭皮、右手肘及右足踝擦傷、胸口、臀部及雙膝挫傷、胸痛、脊椎基底動脈症候群、無預兆偏頭痛、腦震盪後症候群、頭暈</t>
  </si>
  <si>
    <t>臺灣士林地方法院 111 年度交簡上字第 37 號刑事判決</t>
  </si>
  <si>
    <t>臺灣南投地方法院民事簡易判決111年度投簡字第51號</t>
  </si>
  <si>
    <t>右腕、右肘、右踝挫傷及擦傷、右肩挫傷、右膝挫傷、創傷性右側腕部三角纖維軟骨破裂與右肩旋轉肌袖破裂</t>
  </si>
  <si>
    <t>臺灣南投地方法院民事簡易判決111年度投簡字第158號</t>
  </si>
  <si>
    <t>頭部外傷併腦震盪症候群，創傷性蜘蛛網膜下出血、胸部挫傷併左側4至6根肋骨骨折傷害，迄今仍遺留頭部暈眩、疼痛及左胸部疼痛等影響日常生活及工作不適症狀</t>
  </si>
  <si>
    <t>臺灣南投地方法院 110 年度投交簡字第 361 號刑事判決</t>
  </si>
  <si>
    <t>臺灣南投地方法院民事簡易判決111年度投簡字第199號</t>
  </si>
  <si>
    <t>右側橈骨colles氏閉鎖性骨折、右側肱骨上端閉鎖性骨折、神經痛及神經炎</t>
  </si>
  <si>
    <t>111年度投交簡字第17號刑事簡易判決</t>
  </si>
  <si>
    <t>臺灣南投地方法院民事簡易判決111年度投簡字第358號</t>
  </si>
  <si>
    <t>左肩扭挫傷、左右髖部扭挫傷、頸部扭挫傷、頸椎第4節至第5節椎間盤突出破裂併神經壓迫、下背痛、肌痛</t>
  </si>
  <si>
    <t>110年度交易字第22號刑事判決</t>
  </si>
  <si>
    <t>臺灣南投地方法院民事簡易判決111年度投簡字第360號</t>
  </si>
  <si>
    <t>左側第五掌閉鎖性骨折、左側恥骨閉鎖性骨折、頸面部多處挫傷擦傷、背臀部多處挫傷瘀傷</t>
  </si>
  <si>
    <t>111年度投交簡字第244號判決</t>
  </si>
  <si>
    <t>臺灣南投地方法院民事簡易判決111年度投簡字第364號</t>
  </si>
  <si>
    <t>左側脛骨幹閉鎖性骨折，左側踝部、右側膝部開放性傷口，左側小腿、左側踝部、足部、下背和骨盆、胸部挫傷，右側手部擦傷</t>
  </si>
  <si>
    <t>111年度交易字第19號刑事判決</t>
  </si>
  <si>
    <t>臺灣南投地方法院民事簡易判決111年度投簡字第408號</t>
  </si>
  <si>
    <t>左側鎖骨骨幹移位閉鎖性骨折、左側肩胛骨閉鎖性骨折、左側肱骨複雜性髁上移位性骨折伴有髁間開放性骨折、左側股骨頸及粗隆閉鎖性骨折、左側肋骨多發性閉鎖性骨折、創傷性氣胸、單側肺挫傷</t>
  </si>
  <si>
    <t>111年度投交簡字第254號刑事判決</t>
  </si>
  <si>
    <t>臺灣南投地方法院民事簡易判決111年度投簡字第588號</t>
  </si>
  <si>
    <t>有側性前胸壁挫傷、右側拇指挫傷、右側膝部擦傷及右側第九根肋骨閉鎖性骨折</t>
  </si>
  <si>
    <t>111年度交易字第59號判決</t>
  </si>
  <si>
    <t>AD</t>
  </si>
  <si>
    <t>臺灣南投地方法院民事簡易判決111年度投簡字第593號</t>
  </si>
  <si>
    <t>右側近端股骨粉碎骨折、會陰部挫傷併傷口感染</t>
  </si>
  <si>
    <t xml:space="preserve"> 111年度投交簡字第439號刑事判決</t>
  </si>
  <si>
    <t>臺灣南投地方法院民事簡易判決111年度埔簡字第29號</t>
  </si>
  <si>
    <t>右上肢挫傷、雙側下肢多處開放性傷口</t>
  </si>
  <si>
    <t>110年度投交簡字第227號判決</t>
  </si>
  <si>
    <t>臺灣南投地方法院民事簡易判決111年度埔簡字第181號</t>
  </si>
  <si>
    <t>骶骨閉鎖性骨折、左側坐骨閉鎖性骨折、下背和骨盆挫傷、左側髖部挫傷、左側腕部挫傷、左側踝部擦傷、左側足部挫傷、左肩頸挫傷、左膝挫傷、左肘挫傷、齒列第42號牙齒斷裂之傷害</t>
  </si>
  <si>
    <t>111年埔交簡字第212號刑事判決</t>
  </si>
  <si>
    <t>臺灣新北地方法院板橋簡易庭小額民事判決111年度板小字第3653號</t>
  </si>
  <si>
    <t>前胸、左側腿部挫傷</t>
  </si>
  <si>
    <t>111年度審交簡上字第12號</t>
  </si>
  <si>
    <t>臺灣新北地方法院板橋簡易庭民事簡易判決111年度板簡字第116號</t>
  </si>
  <si>
    <t>左側前胸壁挫傷、左側第5、6肋骨閉鎖性骨折、右側小腿挫傷及左側小腿挫擦傷</t>
  </si>
  <si>
    <t>臺灣新北地方法院板橋簡易庭小額民事判決111年度板小字第4456號</t>
  </si>
  <si>
    <t>左側小腿挫傷</t>
  </si>
  <si>
    <t>111年度交易字第94號刑事判決</t>
  </si>
  <si>
    <t>臺灣新北地方法院板橋簡易庭民事簡易判決111年度板簡字第567號</t>
  </si>
  <si>
    <t>頭部外 傷、顱內出血、腦室內出血、水腦症、腦膜下積水併意識不清及左側無力</t>
  </si>
  <si>
    <t>臺灣新北地方法院板橋簡易庭簡易民事判決111年度板簡字第821號</t>
  </si>
  <si>
    <t>右足踝內外踝突骨折、右足第一楔狀骨及第三、第四蹠骨基底骨折、左手腕挫傷</t>
  </si>
  <si>
    <t>110年審交簡字第200號刑事判決</t>
  </si>
  <si>
    <t>臺灣新北地方法院板橋簡易庭民事簡易判決111年度板簡字第789號</t>
  </si>
  <si>
    <t>右肩挫傷併肩胛峰鎖骨間關節半脫位、右側肩部粘連性囊炎</t>
  </si>
  <si>
    <t>110年度審交易字第922號刑事判決</t>
  </si>
  <si>
    <t>臺灣新北地方法院板橋簡易庭民事簡易判決111年度板簡字第1373號</t>
  </si>
  <si>
    <t>全身多處擦傷、左膝骨折、左小腿多處撕裂傷</t>
  </si>
  <si>
    <t>臺灣新北地方法院 111 年度交簡字第 245 號刑事判決</t>
  </si>
  <si>
    <t>臺灣新北地方法院板橋簡易庭簡易民事判決111年度板簡字第891號</t>
  </si>
  <si>
    <t>頭部、右肩、右骨盆、右胸、右腹部、右足踝挫傷、頸椎外傷合併第456 節椎間盤突出及脊椎狹窄、右側鎖骨骨折、右側第2-7 肋骨非移位性骨折、臉部、右手肘、右足 踝、右大腳趾擦傷</t>
  </si>
  <si>
    <t>110年度審交易字第791號刑事判</t>
  </si>
  <si>
    <t>臺灣新北地方法院板橋簡易庭簡易民事判決111年度板簡字第1720號</t>
  </si>
  <si>
    <t>頭部外傷、外傷性腦出血、高血壓</t>
  </si>
  <si>
    <t>111年度審交字第304號刑事判決1</t>
  </si>
  <si>
    <t>臺灣新北地方法院板橋簡易庭民事簡易判決111年度板簡字第1589號</t>
  </si>
  <si>
    <t>兩側下肢多處挫擦傷</t>
  </si>
  <si>
    <t>臺灣新北地方法院 110 年度審交易字第 195 號刑事判決</t>
  </si>
  <si>
    <t>臺灣新北地方法院板橋簡易庭簡易民事判決111年度板簡字第1563號</t>
  </si>
  <si>
    <t>左側脛腓骨骨折、左足第一腳掌骨中足關節脫臼、左足第二蹠骨骨折、左側足部挫傷併皮膚部分壞死</t>
  </si>
  <si>
    <t>臺灣新北地方法院板橋簡易庭民事簡易判決111年度板簡字第1443號</t>
  </si>
  <si>
    <t>頭部外傷合併右側硬膜下血腫與顱內出血、顱內損傷之後遺症、創傷性出血及大腦挫傷</t>
  </si>
  <si>
    <t>臺灣新北地方法院 110 年度審交易字第 1092 號刑事判決</t>
  </si>
  <si>
    <t>臺灣新北地方法院板橋簡易庭民事簡易判決111年度板簡字第2150號</t>
  </si>
  <si>
    <t>左側第二到第六肋骨骨折、左側血胸、骨盆骨折、腹腔內出血、左側肱骨開放性骨折、左側腓骨閉鎖性骨折、左手臂及左屁股撕裂傷等傷害</t>
  </si>
  <si>
    <t>臺灣新北地方法院 111 年度審交易字第 236 號刑事判決</t>
  </si>
  <si>
    <t>臺灣新北地方法院板橋簡易庭民事簡易判決111年度板簡字第2109號</t>
  </si>
  <si>
    <t>創傷性急性雙側硬腦膜下出血、右外踝骨折、顏面部及右肢掌鈍傷瘀腫、水腦</t>
  </si>
  <si>
    <t>111年度審交易字第127號刑事判決</t>
  </si>
  <si>
    <t>臺灣新北地方法院板橋簡易庭簡易民事判決111年度板簡字第2029號</t>
  </si>
  <si>
    <t>左肩關節脫位、右側髖骨骨折合併3公分撕裂傷、左側股骨骨折</t>
  </si>
  <si>
    <t>111年審交易字第423號刑事判決</t>
  </si>
  <si>
    <t>臺灣新北地方法院板橋簡易庭民事簡易判決111年度板簡字第2573號</t>
  </si>
  <si>
    <t>右髖轉子間粉碎性骨折、右髖挫傷</t>
  </si>
  <si>
    <t>111年度審交簡字第37號刑事簡易判決</t>
  </si>
  <si>
    <t>臺灣新北地方法院板橋簡易庭民事簡易判決111年度板簡字第2560號</t>
  </si>
  <si>
    <t>左右膝蓋、右腳踝、左小腿、右手手心、右手前臂、右手手腕、左手手肘、右側屁股、左腰擦傷</t>
  </si>
  <si>
    <t>院111年度交簡字第292號刑事簡易判決</t>
  </si>
  <si>
    <t>臺灣新北地方法院板橋簡易庭民事簡易判決111年度板簡字第2541號</t>
  </si>
  <si>
    <t>肛門撕裂傷</t>
  </si>
  <si>
    <t>111年度交簡字第449號</t>
  </si>
  <si>
    <t>臺灣新北地方法院板橋簡易庭民事簡易判決111年度板簡字第2524號</t>
  </si>
  <si>
    <t>右側手肘挫傷及擦傷、下背挫傷、右側腳踝挫傷、左側小腿挫傷</t>
  </si>
  <si>
    <t>臺灣新北地方法院 111 年度審交易字第 579 號刑事判決</t>
  </si>
  <si>
    <t>臺灣新北地方法院板橋簡易庭民事簡易判決111年度板簡字第2259號</t>
  </si>
  <si>
    <t>頭部創傷及後頸、下背、右食指、雙膝、雙腳跟、左足、右小趾、右大腿擦傷合併挫傷</t>
  </si>
  <si>
    <t>111年度審交易字第396號刑事判決</t>
  </si>
  <si>
    <t>臺灣新北地方法院板橋簡易庭民事簡易判決111年度板簡字第2204號</t>
  </si>
  <si>
    <t>前額撕裂傷15公分、右側股骨骨折、左側遠端橈骨骨折、左側肩胛骨骨折，及右側眼球破裂、合併創傷性白內障</t>
  </si>
  <si>
    <t>111年度交易字第102號刑事判決判</t>
  </si>
  <si>
    <t>臺灣新北地方法院板橋簡易庭民事簡易判決111年度板簡字第2197號</t>
  </si>
  <si>
    <t>左側橈骨骨折、左側脛骨平台骨折</t>
  </si>
  <si>
    <t>111年度交易字第23號刑事判決</t>
  </si>
  <si>
    <t>臺灣新北地方法院板橋簡易庭民事簡易判決111年度板簡字第2186號</t>
  </si>
  <si>
    <t>右膝擦挫傷、左足擦挫傷、左下肢多處挫傷、右手腕挫傷、右膝關節挫傷及十字韌帶、內側副韌帶斷裂、內側半月軟骨破裂</t>
  </si>
  <si>
    <t>臺灣新北地方法院 111 年度交簡字第 471 號刑事判決</t>
  </si>
  <si>
    <t>臺灣新北地方法院板橋簡易庭民事簡易判決111年度板簡字第2153號</t>
  </si>
  <si>
    <t>右手腕、左手肘、左大腿及左小腿挫傷併瘀傷</t>
  </si>
  <si>
    <t>111年度審交簡字第75號刑事簡易判決</t>
  </si>
  <si>
    <t>臺灣新北地方法院板橋簡易庭民事簡易判決111年度板簡字第2814號</t>
  </si>
  <si>
    <t>左膝前十字韌帶損傷、左側膝部擦挫傷、左側手肘擦挫傷、右側足部挫傷</t>
  </si>
  <si>
    <t>臺灣新北地方法院板橋簡易庭簡易民事判決111年度板簡字第2723號</t>
  </si>
  <si>
    <t>左側腎臟鈍傷、右側第12肋骨骨折、腰椎第2、3節骨折、眼睛側性玻璃體退化、雙眼玻璃體退化、頭部損傷、右側肋骨骨折、第一腰椎閉鎖性骨折、第三腰椎閉鎖性骨折</t>
  </si>
  <si>
    <t>臺灣新北地方法院 111 年度審交易字第 626 號刑事判決</t>
  </si>
  <si>
    <t>臺灣新北地方法院板橋簡易庭民事簡易判決111年度板簡字第2603號</t>
  </si>
  <si>
    <t>右鎖骨骨折</t>
  </si>
  <si>
    <t>臺灣新北地方法院 111 年度審交易字第 397 號刑事判決</t>
  </si>
  <si>
    <t>臺灣屏東地方法院簡易民事判決111年度屏簡字第736號</t>
  </si>
  <si>
    <t>左側肱骨近端骨折之傷害</t>
  </si>
  <si>
    <t>111年度交簡字第888號</t>
  </si>
  <si>
    <t>臺灣屏東地方法院簡易民事判決111年度屏簡字第407號</t>
  </si>
  <si>
    <t>右足踝扭傷、右手、右肩及腹壁挫傷等傷害</t>
  </si>
  <si>
    <t>110年度交簡字第2006號刑事</t>
  </si>
  <si>
    <t>臺灣彰化地方法院北斗簡易庭民事判決111年度斗簡字第358號</t>
  </si>
  <si>
    <t>右側腳踝外踝閉鎖性骨折、右膝及右足擦傷</t>
  </si>
  <si>
    <t>111年度交簡字第797號刑事</t>
  </si>
  <si>
    <t>臺灣臺中地方法院小額民事判決111年度沙小字第840號</t>
  </si>
  <si>
    <t>左側手部挫傷、左側食指挫傷未伴有指甲受損、左側小指擦傷</t>
  </si>
  <si>
    <t>111年度沙交簡字第125號刑事簡易判決</t>
  </si>
  <si>
    <t>臺灣新北地方法院三重簡易庭民事判決111年度重簡字第996號</t>
  </si>
  <si>
    <t>右手第四指遠端股外傷性截肢達二分之一</t>
  </si>
  <si>
    <t>臺灣新北地方法院三重簡易庭簡易民事判決111年度重簡字第2138號</t>
  </si>
  <si>
    <t>創傷性硬腦膜下出血、急性呼吸衰竭、胸部挫傷合併肋骨骨折、後成植物人</t>
  </si>
  <si>
    <t>111年度審交易字第23號判決</t>
  </si>
  <si>
    <t>臺灣新北地方法院三重簡易庭民事判決111年度重簡字第2125號</t>
  </si>
  <si>
    <t>右膝髕骨粉碎性骨折及髕骨韌帶斷裂</t>
  </si>
  <si>
    <t>110年度交易字第64號刑事判決</t>
  </si>
  <si>
    <t>臺灣臺北地方法院小額民事判決111年度店小字第1561號</t>
  </si>
  <si>
    <t>右頸挫傷、頭部損傷</t>
  </si>
  <si>
    <t>刑事庭111年度審交簡字第213號刑事</t>
  </si>
  <si>
    <t>臺灣臺北地方法院小額民事判決111年度店小字第1490號</t>
  </si>
  <si>
    <t>多處挫擦傷</t>
  </si>
  <si>
    <t>111年度審交簡字第207號刑事簡易判決</t>
  </si>
  <si>
    <t>臺灣臺南地方法院新市簡易庭民事判決111年度新簡字第593號</t>
  </si>
  <si>
    <t>頭部外傷併腦出血及顱骨骨折、第三腰椎壓迫性骨折、頭皮撕裂傷約7公分、四肢多處擦挫傷</t>
  </si>
  <si>
    <t>臺灣臺北地方法院簡易民事判決11年度店簡字第835號</t>
  </si>
  <si>
    <t>左側股骨幹骨折、左膝撕裂傷併傷口感染、左眼挫傷瘀青及左肺肋膜積水</t>
  </si>
  <si>
    <t>111年度交簡字第187號刑事簡易判決</t>
  </si>
  <si>
    <t>臺灣臺北地方法院民事簡易判決111年度店簡字第621號</t>
  </si>
  <si>
    <t>雙側臉頰鈍挫傷、左側鎖骨骨折、左側腓骨疑似骨折、左膝及小腿挫擦傷、背部鈍挫傷、右肩鈍挫傷、右手鈍挫傷、左腕擦挫傷、左上臂鈍挫傷、左膝外側側韌帶損傷合併腓骨骨折</t>
  </si>
  <si>
    <t>110年度審交易字第231號判決</t>
  </si>
  <si>
    <t>臺灣臺北地方法院簡易民事判決111年度店簡字第550號</t>
  </si>
  <si>
    <t>爆裂閉鎖性骨折、右側上臂、手肘、下背部、右側小腿、踝部擦傷、左側第七節頸神經根壓迫等</t>
  </si>
  <si>
    <t>臺灣臺北地方法院簡易民事判決111年度店簡字第459號</t>
  </si>
  <si>
    <t>口腔及牙齒挫傷及口腔表淺傷口</t>
  </si>
  <si>
    <t>110年度審交簡字第245號刑事簡易判決</t>
  </si>
  <si>
    <t>臺灣臺北地方法院民事簡易判決111年度店簡字第417號</t>
  </si>
  <si>
    <t>右側股骨幹骨折、左側鎖骨骨折</t>
  </si>
  <si>
    <t>110年度審交簡字第299號判決</t>
  </si>
  <si>
    <t>臺灣臺南地方法院柳營簡易庭民事判決111年度營簡字第710號</t>
  </si>
  <si>
    <t>頸椎韌帶扭傷、頸部疼痛、揮鞭氏創傷症候群</t>
  </si>
  <si>
    <t>臺灣臺南地方法院柳營簡易庭民事判決111年度營簡字第644號</t>
  </si>
  <si>
    <t>受有頭部外傷、腦挫傷出血、蜘蛛網膜下出血、腦震盪、右側大腿挫傷、右股骨大粗隆骨折、四肢多處擦挫傷、器質性腦症候群、大小便失禁、兩側輕微腦挫傷出血合併腦萎</t>
  </si>
  <si>
    <t>111年度交訴字第160號刑事判決</t>
  </si>
  <si>
    <t>臺灣臺北地方法院簡易民事判決111年度店簡字第1318號</t>
  </si>
  <si>
    <t>左前臂與右小腿挫傷、左前臂2公分擦傷</t>
  </si>
  <si>
    <t>111年度審交簡字第213號刑事簡易判決</t>
  </si>
  <si>
    <t>臺灣臺中地方法院臺中簡易庭小額民事判決111年度中小字第4829號</t>
  </si>
  <si>
    <t>右側大腿挫傷及開放性傷口</t>
  </si>
  <si>
    <t>111年度交簡字第442號刑事</t>
  </si>
  <si>
    <t>臺灣臺中地方法院臺中簡易庭小額民事判決111年度中小字第4675號</t>
  </si>
  <si>
    <t>左側肩膀挫傷、左側手肘挫傷、右側髖部挫傷</t>
  </si>
  <si>
    <t>111年度交簡字第597號刑事判決</t>
  </si>
  <si>
    <t>臺灣臺中地方法院民事判決111年度中簡字第3189號</t>
  </si>
  <si>
    <t>右肘挫傷合併肘關節內側副韌帶斷裂及脫位</t>
  </si>
  <si>
    <t>111年度交簡字第474號</t>
  </si>
  <si>
    <t>臺灣臺中地方法院民事判決111年度中簡字第2088號</t>
  </si>
  <si>
    <t>雙側膝部、左側手部、左側手肘及下背部擦傷</t>
  </si>
  <si>
    <t>111年度交簡字第306號刑事簡易判決</t>
  </si>
  <si>
    <t>臺灣臺中地方法院民事判決111年度中簡字第3893號</t>
  </si>
  <si>
    <t>頸椎韌帶扭傷、左側前胸壁挫傷、左側肩膀挫傷、左側手肘挫傷、右側手部挫傷、左側膝部挫傷、左側第二及五肋骨閉鎖性骨折</t>
  </si>
  <si>
    <t>111年度交簡字第577號</t>
  </si>
  <si>
    <t>臺灣臺中地方法院民事簡易判決111年度中簡字第3805號</t>
  </si>
  <si>
    <t>頭部外傷合併腦震盪、頸部挫傷、左腰挫傷、四肢多處擦傷</t>
  </si>
  <si>
    <t>111年度中交簡字第1647號刑事判決</t>
  </si>
  <si>
    <t>臺灣臺中地方法院民事判決111年度中簡字第3561號</t>
  </si>
  <si>
    <t>頸椎挫傷併腦震盪、右膝擦傷、右側手指擦傷、右側手肘擦傷</t>
  </si>
  <si>
    <t>111年度交簡字第491號刑事判決</t>
  </si>
  <si>
    <t>臺灣臺南地方法院臺南簡易庭民事判決111年度南簡字第424號</t>
  </si>
  <si>
    <t>右側腎臟撕裂傷</t>
  </si>
  <si>
    <t>臺灣臺南地方法院 111 年度交易字第 10 號刑事判決</t>
  </si>
  <si>
    <t>臺灣臺南地方法院臺南簡易庭民事判決111年度南小字第1981號</t>
  </si>
  <si>
    <t>雙手挫擦傷、左膝挫擦傷、左小腿挫擦傷</t>
  </si>
  <si>
    <t>111 年度交簡字第4003號刑事簡易判決</t>
  </si>
  <si>
    <t>臺灣臺南地方法院臺南簡易庭民事判決111年度南簡字第1074號</t>
  </si>
  <si>
    <t>背部挫傷、第4、5腰椎滑脫、胸部及右肩挫傷伴旋轉肩袖撕裂等傷</t>
  </si>
  <si>
    <t>111年度交簡字第2047號刑事簡易判決</t>
  </si>
  <si>
    <t>臺灣臺南地方法院臺南簡易庭民事判決111年度南簡字第1826號</t>
  </si>
  <si>
    <t>創傷性右側顱骨骨折、硬膜上出血及硬腦膜下出血、右側顴骨骨折、下牙齦撕裂傷</t>
  </si>
  <si>
    <t>11年度交簡字第3091號刑事簡易判決</t>
  </si>
  <si>
    <t>臺灣臺南地方法院臺南簡易庭民事判決111年度南簡字第1724號</t>
  </si>
  <si>
    <t>頭部外傷併顏面部挫擦傷、右手腕及右手挫擦傷、左手腕及左手挫擦傷、左膝及左足踝挫擦傷等傷害</t>
  </si>
  <si>
    <t>111 年度交簡字第4003號刑事簡易判決書</t>
  </si>
  <si>
    <t>臺灣臺南地方法院臺南簡易庭民事判決111年度南簡字第1612號</t>
  </si>
  <si>
    <t>多處擦傷、肌肉筋膜拉傷、右前臂擦挫傷併2公分淺撕裂傷，頸部挫傷，右手肘、右足及雙膝挫擦傷，牙齒假牙脫落</t>
  </si>
  <si>
    <t>11年度交簡字第1672號判決判</t>
  </si>
  <si>
    <t>臺灣臺南地方法院臺南簡易庭民事判決111年度南簡字第1579號</t>
  </si>
  <si>
    <t>頭部損傷、左側膝 部擦傷、頸部韌帶扭傷</t>
  </si>
  <si>
    <t>111年度交簡字第1號刑事簡易判決</t>
  </si>
  <si>
    <t>臺灣臺南地方法院臺南簡易庭民事判決111年度南簡字第1426號</t>
  </si>
  <si>
    <t>腦挫傷性出血之傷害，並造成認知功能減損程度達輕度失智</t>
  </si>
  <si>
    <t>111年度交易字第393號</t>
  </si>
  <si>
    <t>臺灣臺北地方法院民事簡易判決111年度北簡字第5095號</t>
  </si>
  <si>
    <t>手部挫傷、雙膝、右足部及左踝擦挫傷</t>
  </si>
  <si>
    <t>110年度審交簡字第229號刑事簡易判決</t>
  </si>
  <si>
    <t>臺灣臺北地方法院民事簡易判決111年度北簡字第2034號</t>
  </si>
  <si>
    <t>頭部外傷、腦部蜘蛛網囊腫、頸椎挫傷、右肩挫傷、右手肘挫傷、髖部挫傷</t>
  </si>
  <si>
    <t>110年度交簡字第587號刑事判決</t>
  </si>
  <si>
    <t>臺灣臺北地方法院民事簡易判決111年度北簡字第9962號</t>
  </si>
  <si>
    <t>左側大腿擦傷、左小腿瘀傷、左側踝部挫傷、右膝扭挫傷、左大腿外傷性肥厚性疤痕增生之傷害</t>
  </si>
  <si>
    <t>111年度審交簡字第121號刑事判決判決</t>
  </si>
  <si>
    <t>臺灣臺北地方法院民事簡易判決111年度北簡字第8647號</t>
  </si>
  <si>
    <t>右後側腰挫傷、右側手部及右側手肘擦傷、左側小腿外側挫傷皮下血腫</t>
  </si>
  <si>
    <t>111年度交簡字第110號刑事判決判決</t>
  </si>
  <si>
    <t>臺灣臺北地方法院民事簡易判決111年度北簡字第5989號</t>
  </si>
  <si>
    <t>頭部鈍傷、外傷合併腦震盪、頸部挫傷（右頸旋轉肌群扭挫傷）、右側眼瞼及眼周圍區域鈍傷</t>
  </si>
  <si>
    <t>111年度審交簡字第1號刑事判決</t>
  </si>
  <si>
    <t>臺灣臺北地方法院民事簡易判決111年度北簡字第15707號</t>
  </si>
  <si>
    <t>左膝擦挫傷、左小腿挫傷、左側腳</t>
  </si>
  <si>
    <t>111年度交簡字第643號刑事判決判</t>
  </si>
  <si>
    <t>臺灣臺北地方法院民事簡易判決111年度北簡字第14590號</t>
  </si>
  <si>
    <t>左側鎖骨骨折、左側肩膀擦挫傷、左臂擦傷、左膝擦傷、左拇指及食指挫傷、左胸挫傷</t>
  </si>
  <si>
    <t>111年度交上易字第283號刑事判決判</t>
  </si>
  <si>
    <t>臺灣臺北地方法院民事簡易判決111年度北簡字第14240號</t>
  </si>
  <si>
    <t>頭部挫傷、頸部疼痛、右側前胸壁挫傷、雙側膝部擦挫傷、下背擦挫傷、左肘挫傷、第一腰椎輕微壓迫性骨折</t>
  </si>
  <si>
    <t>111年度交易字第67號刑事判決</t>
  </si>
  <si>
    <t>臺灣臺北地方法院民事簡易判決111年度北簡字第14120號</t>
  </si>
  <si>
    <t>左膝內半月板破裂</t>
  </si>
  <si>
    <t>臺灣臺北地方法院民事簡易判決111年度北簡字第14113號</t>
  </si>
  <si>
    <t>下背部挫傷</t>
  </si>
  <si>
    <t>111年度交易字第69號刑事判決</t>
  </si>
  <si>
    <t>臺灣臺北地方法院民事簡易判決111年度北簡字第12564號</t>
  </si>
  <si>
    <t>左脛骨骨折合併左膝蓋傷口</t>
  </si>
  <si>
    <t>110年度交簡字第683號刑事簡易判決</t>
  </si>
  <si>
    <t>臺灣臺北地方法院民事簡易判決111年度北簡字第17420號</t>
  </si>
  <si>
    <t>右側鎖骨骨折、右側肩膀挫傷</t>
  </si>
  <si>
    <t>111年度審交易字第499號刑事判決</t>
  </si>
  <si>
    <t>臺灣臺北地方法院民事簡易判決111年度北簡字第15827號</t>
  </si>
  <si>
    <t>右側橈骨Colles’氏閉鎖性骨折，左側前臂撕裂傷、右側手部開放性傷口，左側膝部擦傷</t>
  </si>
  <si>
    <t>111年度審交簡字第104號刑事簡易判決</t>
  </si>
  <si>
    <t>臺灣臺北地方法院民事簡易判決111年度北簡字第15708號</t>
  </si>
  <si>
    <t>左膝挫傷、左小腿挫傷、左足擦傷、左臂挫傷、左肘及前臂挫傷、左腳及左踝挫傷</t>
  </si>
  <si>
    <t>臺灣桃園地方法院民事簡易判決111年度桃簡字第818號</t>
  </si>
  <si>
    <t>左側膝部擦傷、左側膝關節及小腿嚴重挫傷、左肩膀挫傷、左側近端肱骨骨折併肩關節沾黏、下背挫傷、腰椎神經根病變、因左側近端肱骨骨折生理狀況所致之情感疾患、創傷後壓力疾患、失智症（器質性腦功能障礙）伴有行為障礙、焦慮、失眠、認知功能下降</t>
  </si>
  <si>
    <t>臺灣桃園地方法院 110 年度桃交簡字第 3133 號刑事判決</t>
  </si>
  <si>
    <t>臺灣桃園地方法院民事簡易判決111年度桃簡字第586號</t>
  </si>
  <si>
    <t>左側髖臼骨折、左髖脫臼、左手第三指壓砸傷併掌側皮膚缺損、左手第五掌骨基底部骨折、頭部外傷併輕微腦振盪、左額葉蜘蛛膜下腔出血、左眼挫傷併前房積血（嗣左眼眼球萎縮）</t>
  </si>
  <si>
    <t>110年度審交易字第205號刑事判決</t>
  </si>
  <si>
    <t>臺灣桃園地方法院民事簡易判決111年度桃簡字第2223號</t>
  </si>
  <si>
    <t>頸部扭傷、左肩胛挫傷及第五、六節頸椎椎間盤突出之傷害</t>
  </si>
  <si>
    <t>111年度審交簡字第377號刑事判決</t>
  </si>
  <si>
    <t>臺灣桃園地方法院民事簡易判決111年度桃簡字第2008號</t>
  </si>
  <si>
    <t>顱內出血、腦震盪</t>
  </si>
  <si>
    <t xml:space="preserve"> 111年度審交簡字第321號判決</t>
  </si>
  <si>
    <t>臺灣桃園地方法院民事簡易判決111年度桃簡字第1802號</t>
  </si>
  <si>
    <t>顱內出血、顏面骨骨折、左側髖部半脫位、多處擦傷、牙齒閉鎖性骨折（外傷性）</t>
  </si>
  <si>
    <t>110 年度桃交簡字第2178號判決</t>
  </si>
  <si>
    <t>臺灣桃園地方法院民事簡易判決111年度桃簡字第1503號</t>
  </si>
  <si>
    <t>頭部外傷、臉部擦傷、腰部挫傷、骨盆骨折、右側股骨脫臼併發髖關節骨折、右側髖臼骨折（術後合併右髖關節角度攣縮）、左腕舟狀骨骨折、雙膝關節炎</t>
  </si>
  <si>
    <t>111年度交簡上字第160號刑事</t>
  </si>
  <si>
    <r>
      <rPr>
        <color rgb="FF1155CC"/>
        <u/>
      </rPr>
      <t xml:space="preserve">傷害程度 
</t>
    </r>
    <r>
      <rPr/>
      <t>(1最嚴重-5最輕)</t>
    </r>
  </si>
  <si>
    <t>判決慰撫金額(應變數)</t>
  </si>
  <si>
    <t>編號</t>
  </si>
  <si>
    <t>研究限制</t>
  </si>
  <si>
    <t>年齡</t>
  </si>
  <si>
    <t>無資料太多</t>
  </si>
  <si>
    <t>放在研究限制-說明大約多少比例有提及(!不放變項）</t>
  </si>
  <si>
    <t>性別</t>
  </si>
  <si>
    <t>以姓名判斷</t>
  </si>
  <si>
    <t>放在研究限制-說明：依照默會知識可能判斷錯誤</t>
  </si>
  <si>
    <t>刑事判決</t>
  </si>
  <si>
    <t>以姓名+車禍地段搜尋</t>
  </si>
  <si>
    <t>48拿掉</t>
  </si>
  <si>
    <t>主刑</t>
  </si>
  <si>
    <t>s72不得易科罰金，但轉換為罰金金額</t>
  </si>
  <si>
    <t>教育程度</t>
  </si>
  <si>
    <t>參考教育部統計處-教育程度標準分類</t>
  </si>
  <si>
    <t>(1) 學前教育: 2歲以上至入國民小學前之幼兒於幼兒園中接受教保服務人員提供之教育及照顧服務，採自由入園方式，非義務教育。
(2) 國民教育: 「國民教育法」規定凡6至15歲之國民，應受國民教育。國民教育並分為二階段實施：前6年為國民小學教育；後3年為國民中學教育。
(3) 高級中等教育: 高級中等學校學生數含括高級中等學校普通科、綜合高中、專業群科、實用技能學程、進修部(學校)及特殊教育學校高中職部學生。
(4) 高等教育: 高等教育學生數含括研究所、大學、專科(不含五專前三年)、宗教研修學院、空大及大專校院附設進修學校學生。
其中: 若研究對象「未充分完成」某一教育等級（例如肄業、中途退學、仍在學就讀中），其教育程度歸類到 前一個已完成的教育層級。</t>
  </si>
  <si>
    <t>未揭露太多</t>
  </si>
  <si>
    <t>放在研究限制-有無考量代替</t>
  </si>
  <si>
    <t>職業財產</t>
  </si>
  <si>
    <t>missing data+未揭露</t>
  </si>
  <si>
    <t>AA-AF都是有無</t>
  </si>
  <si>
    <t>家庭資源</t>
  </si>
  <si>
    <t>missing data</t>
  </si>
  <si>
    <t>本變項不使用</t>
  </si>
  <si>
    <t>日後復原難易，決定本變項不要使用</t>
  </si>
  <si>
    <t>項目</t>
  </si>
  <si>
    <t>編碼</t>
  </si>
  <si>
    <t>說明</t>
  </si>
  <si>
    <t>受傷部位</t>
  </si>
  <si>
    <t>A：頭頸
B：軀幹
C：四肢</t>
  </si>
  <si>
    <t>以受傷部位區分，並不區分受傷區域是否為臟器，舉例而言，若傷及肝等臟器，其受傷部位將標記為B：軀幹。</t>
  </si>
  <si>
    <t>G</t>
  </si>
  <si>
    <t>傷害程度</t>
  </si>
  <si>
    <r>
      <rPr>
        <color rgb="FF1155CC"/>
        <u/>
      </rPr>
      <t>1最嚴重-5最輕</t>
    </r>
    <r>
      <rPr/>
      <t xml:space="preserve">
1：病況危急生命或肢體，需立即處理。如：心跳、呼吸停止、肢體及嘴唇發青、發紫，體溫高於41度或低於32度，無意識或意識混亂、持續抽搐且無意識。
2：在性危及生命、肢體及器官功能，需快速控制與處理。如：急性意識狀態改變、持續胸悶、胸痛且冒冷汗、低血糖、外傷造成之大量出血，頭頸軀幹骨盆部位血流不止、高處墜落、車禍(乘客被拋出車外)、頭部撞擊後曾失去意識等。
3：病況可能持續惡化，需急診處置；病人可能伴隨明顯不適症狀，影響日常生活。如：無法控制的腹瀉或嘔吐、外傷後肢體腫脹變形疑似骨折/脫臼、高血壓且沒有任何症狀等。
4：病況可能為慢性病及急性發作，或某些疾病之合併症相關，需在1至2小時做處置避免惡化。如：局部蜂窩性組織炎、急性咳嗽但沒有發燒、發燒但無其他不適、反覆性疼痛或暈眩等。
5：病況非緊急，需做鑑別性診斷或轉介門診。如：慢性噁心、嘔吐或打嗝、輕微擦傷，瘀青，軟組織受傷、螫傷或咬傷，但無發燒或疼痛不適、輕微腹瀉，無脫水現象等。</t>
    </r>
  </si>
  <si>
    <t>急診五級檢傷
1、若為腦震盪，則分類標準將落於(2-3)，惟腦震盪之情惜分為輕度或是重度腦震盪而判決多未寫明，因此以是否有其他嚴重之傷勢進行衡量，例如，若腦震盪的同時僅為擦傷，則嚴重程度落於3、若同時伴隨出血或臟器破裂，則嚴重程度落於2。
2、若為頭內或臟器破損，嚴重程度將落於2。</t>
  </si>
  <si>
    <t>K、L</t>
  </si>
  <si>
    <t>醫療費用</t>
  </si>
  <si>
    <t>包含：手術、看診、醫療輔具、未來可能醫療(復健)費用、醫療材料(如：棉片)
不包含：看診交通費、照護費</t>
  </si>
  <si>
    <t>X</t>
  </si>
  <si>
    <t>A：未禮讓(車、行人)行駛、貿然轉彎        
B：闖紅燈、雙黃(白)線        
C：無照駕駛        
D：酒駕        
E：超速行駛  
F：不慎注意、未維持距離  (其他)</t>
  </si>
  <si>
    <t>分類說明：A分類即為未禮讓行人或行車而行駛或轉彎；B分類即為違反禁止號誌或標誌；E分類為判決未提及具體事項，或統稱駕駛不慎注意或為維持距離之其他事項。</t>
  </si>
  <si>
    <t>Y、Z</t>
  </si>
  <si>
    <t>學歷</t>
  </si>
  <si>
    <t>A：學前教育
B：國民教育
C：高級中等教育
D：高等教育</t>
  </si>
  <si>
    <t>若研究對象「未充分完成」某一教育等級（例如肄業、中途退學、仍在學就讀中），其教育程度歸類到 前一個已完成的教育層級。
如高中肄業則學歷將歸類為國民教育(B)標籤; 大學在學就讀中則以高級中等教育(C)計算。</t>
  </si>
  <si>
    <t>AA-AD</t>
  </si>
  <si>
    <t>原被告財產情形</t>
  </si>
  <si>
    <t>有考量、無考量</t>
  </si>
  <si>
    <t>以涵攝時是否將該條件列出判斷，即使法院引用之大前提有提及，惟底下涵攝未提及，亦歸類為無考量。有考量者包括有將資料列出者及因隱私而未將該資訊列出但有呈現於涵攝者</t>
  </si>
  <si>
    <t>AE、AF</t>
  </si>
  <si>
    <t>車損金額</t>
  </si>
  <si>
    <t>計算方式：車輛維修費用+車輛貶值差價</t>
  </si>
  <si>
    <t>AK</t>
  </si>
  <si>
    <t>計算方式：最終賠償金額-(過失比例+強制汽車保險)</t>
  </si>
  <si>
    <t>勾稽方法：用姓名搜尋+比對車禍路段</t>
  </si>
  <si>
    <t>每月收入3萬多元</t>
  </si>
  <si>
    <t>名下財產僅有1輛機車</t>
  </si>
  <si>
    <t>原告於110年度有薪資所得</t>
  </si>
  <si>
    <t>名下則無財產資料。從事養殖業，家境小康</t>
  </si>
  <si>
    <t>被告於109年度無所得資料</t>
  </si>
  <si>
    <t>名下亦無財產資料</t>
  </si>
  <si>
    <t>原告於109年度有營利所得(原告稱月薪5萬)</t>
  </si>
  <si>
    <t>名下財產有房屋、土地、汽車</t>
  </si>
  <si>
    <t>月收入約28,000至30,000元</t>
  </si>
  <si>
    <t>名下則無財產資料</t>
  </si>
  <si>
    <t>於110年度無所得資料</t>
  </si>
  <si>
    <t>每月收入約6萬多元</t>
  </si>
  <si>
    <t>名下財產為股票投資</t>
  </si>
  <si>
    <t>被告乙○○於110年度並無所得資料
被告甲○○於110年度有營利（3萬5千元）</t>
  </si>
  <si>
    <t>名下亦無財產資料
名下財產為房屋、土地各1筆、汽車1部及股票投資。</t>
  </si>
  <si>
    <t>原告於110年度有薪資、股利、營利等所得（７萬）</t>
  </si>
  <si>
    <t>名下財產為股票投資。</t>
  </si>
  <si>
    <t>被告於110年度有薪資所得</t>
  </si>
  <si>
    <t>名下則無財產資料。</t>
  </si>
  <si>
    <t>原告於111年度有執行業務等所得(2萬5~3萬)</t>
  </si>
  <si>
    <t>名下財產為汽車1 部</t>
  </si>
  <si>
    <t>被告於111年度並無所得資料</t>
  </si>
  <si>
    <t>名下財產為汽車1部</t>
  </si>
  <si>
    <t>原告於111年度有股利、執行業務及利息等所得</t>
  </si>
  <si>
    <t>名下財產為房屋3筆、土地6筆及股票投資。</t>
  </si>
  <si>
    <t>被告於111年度有薪資所得(2萬)</t>
  </si>
  <si>
    <t>原告於111年度有執行業務等所得(25,250元)</t>
  </si>
  <si>
    <t>被告於111年度有營利所得資料（經濟狀況勉持）</t>
  </si>
  <si>
    <t xml:space="preserve">110年度所得142,153元
</t>
  </si>
  <si>
    <t>名下有汽車乙輛
名下無所得財產等節</t>
  </si>
  <si>
    <t>月薪1至3萬元</t>
  </si>
  <si>
    <t>名下汽車4輛</t>
  </si>
  <si>
    <t>其110年度報稅所得為0元</t>
  </si>
  <si>
    <t>財產資料共1筆，財產總額為0元</t>
  </si>
  <si>
    <t>其110年度報稅所得為363,482元</t>
  </si>
  <si>
    <t>財產資料共4筆，財產總額為5,223,480元等</t>
  </si>
  <si>
    <t>月薪3萬</t>
  </si>
  <si>
    <t>月薪7萬5千、單親家庭需扶養3名子女，家庭經濟狀況普通</t>
  </si>
  <si>
    <t>家境小康</t>
  </si>
  <si>
    <t>經濟來源是實習機構之津貼收入，家庭經濟狀況為弱勢</t>
  </si>
  <si>
    <t>月薪約3萬4至3萬5左右，有獎金</t>
  </si>
  <si>
    <t>繪圖工程師</t>
  </si>
  <si>
    <t>目前無業，仰賴母親敬老金維生</t>
  </si>
  <si>
    <t>每月薪水為25,250</t>
  </si>
  <si>
    <t>名下有不動產1筆</t>
  </si>
  <si>
    <t>離婚、負擔行使負擔對3名未成年子女之權利部義務</t>
  </si>
  <si>
    <t>名下無不動產</t>
  </si>
  <si>
    <t>月薪10萬</t>
  </si>
  <si>
    <t>月收入為基本工資</t>
  </si>
  <si>
    <t>無業</t>
  </si>
  <si>
    <t>2萬7千</t>
  </si>
  <si>
    <t>低收入戶</t>
  </si>
  <si>
    <t>111年7月起至111年9月止3個月期間之銷售額為272,727元</t>
  </si>
  <si>
    <t>從事農產品販賣</t>
  </si>
  <si>
    <t>月收入約6萬元</t>
  </si>
  <si>
    <t>月收入2萬5千元至3萬元</t>
  </si>
  <si>
    <t>109年度之所得為401,400元</t>
  </si>
  <si>
    <t>名下財產價值為675,748元</t>
  </si>
  <si>
    <t>109年度之所得為30,308元</t>
  </si>
  <si>
    <t>名下財產價值為3,685,794元</t>
  </si>
  <si>
    <t>675,748元</t>
  </si>
  <si>
    <t>每月收入約4至5萬元</t>
  </si>
  <si>
    <t>名下有不動產</t>
  </si>
  <si>
    <t>月收入約5萬元</t>
  </si>
  <si>
    <t>名下均有不動產</t>
  </si>
  <si>
    <t>每月收入約3萬多元</t>
  </si>
  <si>
    <t>每月收入約1萬多元</t>
  </si>
  <si>
    <t>46,000元</t>
  </si>
  <si>
    <t>平均所得約為44,878元</t>
  </si>
  <si>
    <t>科技業</t>
  </si>
  <si>
    <t>計程車業</t>
  </si>
  <si>
    <t>均無不動產</t>
  </si>
  <si>
    <t>40,000元</t>
  </si>
  <si>
    <t>每月4萬元
每天800元</t>
  </si>
  <si>
    <t>6萬1123元</t>
  </si>
  <si>
    <t>名下有不動產2筆、汽車1部</t>
  </si>
  <si>
    <t>下無任何不動產或車輛</t>
  </si>
  <si>
    <t>月收入4萬元</t>
  </si>
  <si>
    <t>名下有汽車1輛、投資9筆，財產總值20萬380元</t>
  </si>
  <si>
    <t>10年度所得2萬5,489元</t>
  </si>
  <si>
    <t>名下無財產</t>
  </si>
  <si>
    <t>月收入22,000元至26,000元</t>
  </si>
  <si>
    <t>每月29,250元</t>
  </si>
  <si>
    <t>案發時約收約2萬6,000元</t>
  </si>
  <si>
    <t>每月25,250元</t>
  </si>
  <si>
    <t>醫師，每月15萬</t>
  </si>
  <si>
    <t>月薪約3萬6,000元</t>
  </si>
  <si>
    <t>每月收入約60,000多元</t>
  </si>
  <si>
    <t>每月收入約3、40,000元等情</t>
  </si>
  <si>
    <t>現已退休。目前由子女扶養</t>
  </si>
  <si>
    <t>現無工作</t>
  </si>
  <si>
    <t>保險公司擔任業務長，年薪大約800至1,000萬元</t>
  </si>
  <si>
    <t>月收約3、4千元等</t>
  </si>
  <si>
    <t>110年、111年之每月基本工資分別為 24,000元、25,250元</t>
  </si>
  <si>
    <t>被告目前無業、經濟狀況小康、需扶養父母</t>
  </si>
  <si>
    <t>月收約5萬元</t>
  </si>
  <si>
    <t>收入約10萬元</t>
  </si>
  <si>
    <t>月薪約27,000元至30,000元</t>
  </si>
  <si>
    <t>日薪3千</t>
  </si>
  <si>
    <t>無其他財產</t>
  </si>
  <si>
    <t>無工作</t>
  </si>
  <si>
    <t>月薪約為35,000元</t>
  </si>
  <si>
    <t>每月薪資約為65,000元</t>
  </si>
  <si>
    <t>每月27,200元</t>
  </si>
  <si>
    <t>每月收入約48,000元</t>
  </si>
  <si>
    <t>年收入不到45萬元</t>
  </si>
  <si>
    <t>存款2萬</t>
  </si>
  <si>
    <t>臺灣新北地方法院板橋簡易庭民事簡易判決112年度板簡字第687號</t>
  </si>
  <si>
    <t>每月34,375元</t>
  </si>
  <si>
    <t>每月薪資約77,845元</t>
  </si>
  <si>
    <t>木工</t>
  </si>
  <si>
    <t>股票、不動產</t>
  </si>
  <si>
    <t>上班族</t>
  </si>
  <si>
    <t>股票、汽車及不動產</t>
  </si>
  <si>
    <t>工程師</t>
  </si>
  <si>
    <t>110 年度之給付及財產總額約為2,200,000元</t>
  </si>
  <si>
    <t>110年度 之給付及財產總額為0元</t>
  </si>
  <si>
    <t>從事外送業務</t>
  </si>
  <si>
    <t>109年、110年申報所得分別為64,0 85元、57,989元</t>
  </si>
  <si>
    <t>田賦4筆、房屋1筆、土地1筆</t>
  </si>
  <si>
    <t>月收 約3萬元</t>
  </si>
  <si>
    <t>名下有汽車1輛</t>
  </si>
  <si>
    <t>109年申報所得總額856,658元</t>
  </si>
  <si>
    <t>名下有房屋、土地、 汽車及股份等財產總額5,027,900元</t>
  </si>
  <si>
    <t>109年、110年申報所得額 為32,280元、0元</t>
  </si>
  <si>
    <t>名下僅有汽車</t>
  </si>
  <si>
    <t>109年、110年申報所得分別為510元、4 89元，</t>
  </si>
  <si>
    <t>名下有投資1筆</t>
  </si>
  <si>
    <t>109年、110年申報 所得分別為3,086元、1,126元</t>
  </si>
  <si>
    <t>109年 、110年申報所得分別為38,669元、4,092元</t>
  </si>
  <si>
    <t>名下有房屋及 土地各1筆，財產總額約7百餘萬元</t>
  </si>
  <si>
    <t>109年、110年申報所得分別為298, 386元、314,511元</t>
  </si>
  <si>
    <t>名下有汽車1輛產</t>
  </si>
  <si>
    <t>109年、110年申報所得均為0元</t>
  </si>
  <si>
    <t>家庭經濟狀況勉持，汽車1輛</t>
  </si>
  <si>
    <t>名下無財 產</t>
  </si>
  <si>
    <t>每月薪資5萬多元</t>
  </si>
  <si>
    <t>每月收入約2萬500 0元</t>
  </si>
  <si>
    <t>每月薪資收入為3萬0 885元，109年度之所得總額為55萬1770元，11 0年度之所得總額為53萬4717元，</t>
  </si>
  <si>
    <t>109、110年度均 無所得</t>
  </si>
  <si>
    <t>名下有汽車3輛，家中經濟狀況不佳</t>
  </si>
  <si>
    <t>消防水電工</t>
  </si>
  <si>
    <t>臨時工</t>
  </si>
  <si>
    <t>擔任一家資產超過100萬美元之 跨國公司股東兼負責人</t>
  </si>
  <si>
    <t>低於被告</t>
  </si>
  <si>
    <t>高於原告</t>
  </si>
  <si>
    <t>日薪為1,221元</t>
  </si>
  <si>
    <t>裝潢工作</t>
  </si>
  <si>
    <t>年薪約250萬</t>
  </si>
  <si>
    <t>名下有房子及車輛各一</t>
  </si>
  <si>
    <t>優於被告</t>
  </si>
  <si>
    <t>每月48000退休金</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</si>
</sst>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color theme="1"/>
      <name val="Arial"/>
      <scheme val="minor"/>
    </font>
    <font>
      <u/>
      <color rgb="FF0000FF"/>
    </font>
    <font>
      <sz val="10.0"/>
      <color rgb="FF212529"/>
      <name val="System-ui"/>
    </font>
    <font>
      <sz val="10.0"/>
      <color rgb="FF212529"/>
      <name val="Arial"/>
    </font>
    <font>
      <sz val="10.0"/>
      <color theme="1"/>
      <name val="Arial"/>
      <scheme val="minor"/>
    </font>
    <font>
      <sz val="10.0"/>
      <color rgb="FF000000"/>
      <name val="System-ui"/>
    </font>
    <font>
      <sz val="10.0"/>
      <color rgb="FF000000"/>
      <name val="Arial"/>
    </font>
    <font>
      <sz val="11.0"/>
      <color rgb="FF000000"/>
      <name val="System-ui"/>
    </font>
    <font>
      <sz val="11.0"/>
      <color rgb="FF000000"/>
      <name val="Arial"/>
    </font>
    <font>
      <b/>
      <color theme="1"/>
      <name val="Arial"/>
      <scheme val="minor"/>
    </font>
    <font>
      <color theme="1"/>
      <name val="Arial"/>
    </font>
    <font>
      <u/>
      <color rgb="FF0000FF"/>
    </font>
  </fonts>
  <fills count="14">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CCCCCC"/>
        <bgColor rgb="FFCCCCCC"/>
      </patternFill>
    </fill>
    <fill>
      <patternFill patternType="solid">
        <fgColor rgb="FFC9DAF8"/>
        <bgColor rgb="FFC9DAF8"/>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theme="0"/>
        <bgColor theme="0"/>
      </patternFill>
    </fill>
    <fill>
      <patternFill patternType="solid">
        <fgColor rgb="FFEFEFEF"/>
        <bgColor rgb="FFEFEFEF"/>
      </patternFill>
    </fill>
    <fill>
      <patternFill patternType="solid">
        <fgColor rgb="FFB7B7B7"/>
        <bgColor rgb="FFB7B7B7"/>
      </patternFill>
    </fill>
    <fill>
      <patternFill patternType="solid">
        <fgColor rgb="FF999999"/>
        <bgColor rgb="FF99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horizontal="left" readingOrder="0" vertical="center"/>
    </xf>
    <xf borderId="0" fillId="3" fontId="1" numFmtId="0" xfId="0" applyAlignment="1" applyFill="1" applyFont="1">
      <alignment readingOrder="0" vertical="center"/>
    </xf>
    <xf borderId="0" fillId="3" fontId="2" numFmtId="0" xfId="0" applyAlignment="1" applyFont="1">
      <alignment horizontal="left" readingOrder="0" vertical="center"/>
    </xf>
    <xf borderId="0" fillId="3" fontId="1" numFmtId="0" xfId="0" applyAlignment="1" applyFont="1">
      <alignment horizontal="left" readingOrder="0" vertical="center"/>
    </xf>
    <xf borderId="0" fillId="4" fontId="1" numFmtId="0" xfId="0" applyAlignment="1" applyFill="1" applyFont="1">
      <alignment horizontal="left" readingOrder="0" vertical="center"/>
    </xf>
    <xf borderId="0" fillId="0" fontId="1" numFmtId="0" xfId="0" applyAlignment="1" applyFont="1">
      <alignment readingOrder="0" vertical="center"/>
    </xf>
    <xf borderId="0" fillId="0" fontId="1"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5" fontId="1" numFmtId="0" xfId="0" applyAlignment="1" applyFill="1" applyFont="1">
      <alignment readingOrder="0"/>
    </xf>
    <xf borderId="0" fillId="0" fontId="1" numFmtId="0" xfId="0" applyAlignment="1" applyFont="1">
      <alignment horizontal="left" readingOrder="0" shrinkToFit="0" wrapText="0"/>
    </xf>
    <xf borderId="0" fillId="5" fontId="1" numFmtId="0" xfId="0" applyAlignment="1" applyFont="1">
      <alignment horizontal="left" readingOrder="0"/>
    </xf>
    <xf borderId="0" fillId="0" fontId="1" numFmtId="3" xfId="0" applyAlignment="1" applyFont="1" applyNumberFormat="1">
      <alignment readingOrder="0"/>
    </xf>
    <xf borderId="0" fillId="0" fontId="1" numFmtId="3" xfId="0" applyAlignment="1" applyFont="1" applyNumberFormat="1">
      <alignment horizontal="left" readingOrder="0"/>
    </xf>
    <xf borderId="0" fillId="0" fontId="1" numFmtId="3" xfId="0" applyFont="1" applyNumberFormat="1"/>
    <xf borderId="0" fillId="0" fontId="1" numFmtId="3" xfId="0" applyAlignment="1" applyFont="1" applyNumberFormat="1">
      <alignment horizontal="left" readingOrder="0" shrinkToFit="0" wrapText="0"/>
    </xf>
    <xf borderId="0" fillId="0" fontId="1" numFmtId="0" xfId="0" applyAlignment="1" applyFont="1">
      <alignment horizontal="left"/>
    </xf>
    <xf borderId="0" fillId="0" fontId="1" numFmtId="0" xfId="0" applyFont="1"/>
    <xf borderId="0" fillId="6" fontId="1" numFmtId="0" xfId="0" applyAlignment="1" applyFill="1" applyFont="1">
      <alignment readingOrder="0"/>
    </xf>
    <xf borderId="0" fillId="7" fontId="1" numFmtId="0" xfId="0" applyAlignment="1" applyFill="1" applyFont="1">
      <alignment readingOrder="0"/>
    </xf>
    <xf borderId="0" fillId="5" fontId="1" numFmtId="3" xfId="0" applyAlignment="1" applyFont="1" applyNumberFormat="1">
      <alignment horizontal="left" readingOrder="0"/>
    </xf>
    <xf borderId="0" fillId="8" fontId="3" numFmtId="0" xfId="0" applyAlignment="1" applyFill="1" applyFont="1">
      <alignment readingOrder="0"/>
    </xf>
    <xf borderId="0" fillId="8" fontId="4" numFmtId="164" xfId="0" applyAlignment="1" applyFont="1" applyNumberFormat="1">
      <alignment horizontal="left" readingOrder="0"/>
    </xf>
    <xf borderId="0" fillId="8" fontId="4" numFmtId="0" xfId="0" applyAlignment="1" applyFont="1">
      <alignment readingOrder="0"/>
    </xf>
    <xf borderId="0" fillId="0" fontId="5" numFmtId="0" xfId="0" applyAlignment="1" applyFont="1">
      <alignment readingOrder="0"/>
    </xf>
    <xf borderId="0" fillId="0" fontId="5" numFmtId="3" xfId="0" applyAlignment="1" applyFont="1" applyNumberFormat="1">
      <alignment horizontal="left" readingOrder="0"/>
    </xf>
    <xf borderId="0" fillId="8" fontId="4" numFmtId="0" xfId="0" applyAlignment="1" applyFont="1">
      <alignment horizontal="left" readingOrder="0"/>
    </xf>
    <xf borderId="0" fillId="0" fontId="5" numFmtId="164" xfId="0" applyAlignment="1" applyFont="1" applyNumberFormat="1">
      <alignment horizontal="left" readingOrder="0"/>
    </xf>
    <xf borderId="0" fillId="0" fontId="5" numFmtId="0" xfId="0" applyAlignment="1" applyFont="1">
      <alignment horizontal="left" readingOrder="0"/>
    </xf>
    <xf borderId="0" fillId="0" fontId="5" numFmtId="9" xfId="0" applyAlignment="1" applyFont="1" applyNumberFormat="1">
      <alignment horizontal="left" readingOrder="0"/>
    </xf>
    <xf borderId="0" fillId="0" fontId="5" numFmtId="0" xfId="0" applyAlignment="1" applyFont="1">
      <alignment horizontal="left"/>
    </xf>
    <xf borderId="0" fillId="0" fontId="4" numFmtId="0" xfId="0" applyAlignment="1" applyFont="1">
      <alignment readingOrder="0"/>
    </xf>
    <xf borderId="0" fillId="8" fontId="3" numFmtId="0" xfId="0" applyAlignment="1" applyFont="1">
      <alignment horizontal="left" readingOrder="0"/>
    </xf>
    <xf borderId="0" fillId="9" fontId="5" numFmtId="0" xfId="0" applyAlignment="1" applyFill="1" applyFont="1">
      <alignment readingOrder="0"/>
    </xf>
    <xf borderId="0" fillId="0" fontId="5" numFmtId="0" xfId="0" applyFont="1"/>
    <xf borderId="0" fillId="8" fontId="6" numFmtId="0" xfId="0" applyAlignment="1" applyFont="1">
      <alignment readingOrder="0"/>
    </xf>
    <xf borderId="0" fillId="8" fontId="7" numFmtId="0" xfId="0" applyAlignment="1" applyFont="1">
      <alignment readingOrder="0"/>
    </xf>
    <xf borderId="0" fillId="8" fontId="7" numFmtId="0" xfId="0" applyAlignment="1" applyFont="1">
      <alignment horizontal="left" readingOrder="0"/>
    </xf>
    <xf borderId="0" fillId="8" fontId="8" numFmtId="0" xfId="0" applyAlignment="1" applyFont="1">
      <alignment readingOrder="0"/>
    </xf>
    <xf borderId="0" fillId="8" fontId="9" numFmtId="0" xfId="0" applyAlignment="1" applyFont="1">
      <alignment readingOrder="0"/>
    </xf>
    <xf borderId="0" fillId="8" fontId="9" numFmtId="0" xfId="0" applyAlignment="1" applyFont="1">
      <alignment horizontal="left" readingOrder="0"/>
    </xf>
    <xf borderId="0" fillId="9" fontId="1" numFmtId="0" xfId="0" applyAlignment="1" applyFont="1">
      <alignment readingOrder="0"/>
    </xf>
    <xf borderId="0" fillId="0" fontId="4" numFmtId="164" xfId="0" applyAlignment="1" applyFont="1" applyNumberFormat="1">
      <alignment horizontal="left" readingOrder="0"/>
    </xf>
    <xf borderId="0" fillId="0" fontId="3" numFmtId="0" xfId="0" applyAlignment="1" applyFont="1">
      <alignment readingOrder="0"/>
    </xf>
    <xf borderId="0" fillId="7" fontId="1" numFmtId="3" xfId="0" applyAlignment="1" applyFont="1" applyNumberFormat="1">
      <alignment readingOrder="0"/>
    </xf>
    <xf borderId="0" fillId="7" fontId="1" numFmtId="3" xfId="0" applyAlignment="1" applyFont="1" applyNumberFormat="1">
      <alignment horizontal="right" readingOrder="0"/>
    </xf>
    <xf borderId="0" fillId="0" fontId="1" numFmtId="164" xfId="0" applyAlignment="1" applyFont="1" applyNumberFormat="1">
      <alignment readingOrder="0"/>
    </xf>
    <xf borderId="0" fillId="0" fontId="1" numFmtId="9" xfId="0" applyAlignment="1" applyFont="1" applyNumberFormat="1">
      <alignment readingOrder="0"/>
    </xf>
    <xf borderId="0" fillId="0" fontId="10" numFmtId="0" xfId="0" applyAlignment="1" applyFont="1">
      <alignment readingOrder="0"/>
    </xf>
    <xf borderId="0" fillId="0" fontId="11" numFmtId="0" xfId="0" applyAlignment="1" applyFont="1">
      <alignment vertical="bottom"/>
    </xf>
    <xf borderId="0" fillId="0" fontId="1" numFmtId="0" xfId="0" applyAlignment="1" applyFont="1">
      <alignment vertical="center"/>
    </xf>
    <xf borderId="0" fillId="10" fontId="1" numFmtId="3" xfId="0" applyAlignment="1" applyFill="1" applyFont="1" applyNumberFormat="1">
      <alignment readingOrder="0"/>
    </xf>
    <xf borderId="0" fillId="11" fontId="1" numFmtId="0" xfId="0" applyAlignment="1" applyFill="1" applyFont="1">
      <alignment readingOrder="0"/>
    </xf>
    <xf borderId="0" fillId="11" fontId="1" numFmtId="0" xfId="0" applyFont="1"/>
    <xf borderId="0" fillId="12" fontId="1" numFmtId="0" xfId="0" applyAlignment="1" applyFill="1" applyFont="1">
      <alignment readingOrder="0"/>
    </xf>
    <xf borderId="0" fillId="12" fontId="1" numFmtId="0" xfId="0" applyFont="1"/>
    <xf borderId="0" fillId="13" fontId="1" numFmtId="0" xfId="0" applyAlignment="1" applyFill="1" applyFont="1">
      <alignment readingOrder="0"/>
    </xf>
    <xf borderId="0" fillId="13" fontId="1" numFmtId="0" xfId="0" applyFont="1"/>
    <xf borderId="1" fillId="2" fontId="1" numFmtId="0" xfId="0" applyAlignment="1" applyBorder="1" applyFont="1">
      <alignment readingOrder="0"/>
    </xf>
    <xf borderId="1" fillId="2" fontId="1" numFmtId="0" xfId="0" applyAlignment="1" applyBorder="1" applyFont="1">
      <alignment readingOrder="0" shrinkToFit="0" wrapText="1"/>
    </xf>
    <xf borderId="1" fillId="2" fontId="1" numFmtId="0" xfId="0" applyAlignment="1" applyBorder="1" applyFont="1">
      <alignment readingOrder="0" shrinkToFit="0" vertical="center"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readingOrder="0" shrinkToFit="0" vertical="center" wrapText="1"/>
    </xf>
    <xf borderId="1" fillId="0" fontId="12" numFmtId="0" xfId="0" applyAlignment="1" applyBorder="1" applyFont="1">
      <alignment readingOrder="0" shrinkToFit="0" wrapText="1"/>
    </xf>
    <xf borderId="1" fillId="0" fontId="1" numFmtId="0" xfId="0" applyAlignment="1" applyBorder="1" applyFont="1">
      <alignment shrinkToFit="0" wrapText="1"/>
    </xf>
    <xf borderId="0" fillId="2"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5.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image" Target="../media/Chart11.png"/><Relationship Id="rId10" Type="http://schemas.openxmlformats.org/officeDocument/2006/relationships/image" Target="../media/Chart10.png"/><Relationship Id="rId12" Type="http://schemas.openxmlformats.org/officeDocument/2006/relationships/image" Target="../media/Chart12.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36</xdr:row>
      <xdr:rowOff>190500</xdr:rowOff>
    </xdr:from>
    <xdr:ext cx="5715000" cy="3533775"/>
    <xdr:pic>
      <xdr:nvPicPr>
        <xdr:cNvPr id="2100574700" name="Chart1" title="圖表">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704850</xdr:colOff>
      <xdr:row>36</xdr:row>
      <xdr:rowOff>190500</xdr:rowOff>
    </xdr:from>
    <xdr:ext cx="5715000" cy="3533775"/>
    <xdr:pic>
      <xdr:nvPicPr>
        <xdr:cNvPr id="1890741774" name="Chart2" title="圖表">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66675</xdr:colOff>
      <xdr:row>36</xdr:row>
      <xdr:rowOff>190500</xdr:rowOff>
    </xdr:from>
    <xdr:ext cx="5715000" cy="3533775"/>
    <xdr:pic>
      <xdr:nvPicPr>
        <xdr:cNvPr id="1088672522" name="Chart3" title="圖表">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381000</xdr:colOff>
      <xdr:row>55</xdr:row>
      <xdr:rowOff>85725</xdr:rowOff>
    </xdr:from>
    <xdr:ext cx="5715000" cy="3533775"/>
    <xdr:pic>
      <xdr:nvPicPr>
        <xdr:cNvPr id="337065358" name="Chart4" title="圖表">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704850</xdr:colOff>
      <xdr:row>55</xdr:row>
      <xdr:rowOff>85725</xdr:rowOff>
    </xdr:from>
    <xdr:ext cx="5715000" cy="3533775"/>
    <xdr:pic>
      <xdr:nvPicPr>
        <xdr:cNvPr id="1653406818" name="Chart5" title="圖表">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66675</xdr:colOff>
      <xdr:row>55</xdr:row>
      <xdr:rowOff>85725</xdr:rowOff>
    </xdr:from>
    <xdr:ext cx="5715000" cy="3533775"/>
    <xdr:pic>
      <xdr:nvPicPr>
        <xdr:cNvPr id="1514399916" name="Chart6" title="圖表">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381000</xdr:colOff>
      <xdr:row>74</xdr:row>
      <xdr:rowOff>85725</xdr:rowOff>
    </xdr:from>
    <xdr:ext cx="5715000" cy="3533775"/>
    <xdr:pic>
      <xdr:nvPicPr>
        <xdr:cNvPr id="2018776539" name="Chart7" title="圖表">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742950</xdr:colOff>
      <xdr:row>74</xdr:row>
      <xdr:rowOff>85725</xdr:rowOff>
    </xdr:from>
    <xdr:ext cx="5715000" cy="3533775"/>
    <xdr:pic>
      <xdr:nvPicPr>
        <xdr:cNvPr id="763978020" name="Chart8" title="圖表">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95250</xdr:colOff>
      <xdr:row>74</xdr:row>
      <xdr:rowOff>133350</xdr:rowOff>
    </xdr:from>
    <xdr:ext cx="5715000" cy="3533775"/>
    <xdr:pic>
      <xdr:nvPicPr>
        <xdr:cNvPr id="821118571" name="Chart9" title="圖表">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95250</xdr:colOff>
      <xdr:row>92</xdr:row>
      <xdr:rowOff>123825</xdr:rowOff>
    </xdr:from>
    <xdr:ext cx="5715000" cy="3533775"/>
    <xdr:pic>
      <xdr:nvPicPr>
        <xdr:cNvPr id="2056329451" name="Chart10" title="圖表">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704850</xdr:colOff>
      <xdr:row>92</xdr:row>
      <xdr:rowOff>123825</xdr:rowOff>
    </xdr:from>
    <xdr:ext cx="5715000" cy="3533775"/>
    <xdr:pic>
      <xdr:nvPicPr>
        <xdr:cNvPr id="1842053030" name="Chart11" title="圖表">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381000</xdr:colOff>
      <xdr:row>92</xdr:row>
      <xdr:rowOff>123825</xdr:rowOff>
    </xdr:from>
    <xdr:ext cx="5715000" cy="3533775"/>
    <xdr:pic>
      <xdr:nvPicPr>
        <xdr:cNvPr id="1361893042" name="Chart12" title="圖表">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陳薇宇" id="{7ad7da2d-f795-4c7d-a52b-aecfe393b8c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J77" dT="2025-09-14T05:47:04.00" personId="{7ad7da2d-f795-4c7d-a52b-aecfe393b8c7}" id="{3d7cccf1-d940-466f-afcc-ddd2a185536e}" done="1">
    <x18tc:text xml:space="preserve">確定是否將45,000(增生療法)納入醫療費</x18tc:text>
  </x18tc:threadedComment>
  <x18tc:threadedComment ref="AE5" dT="2025-08-18T16:22:24.00" personId="{7ad7da2d-f795-4c7d-a52b-aecfe393b8c7}" id="{085dde50-1dcb-4582-b520-71f4a770c5ea}" done="1">
    <x18tc:text xml:space="preserve">大前提有提但涵攝未寫怎麼算？</x18tc:text>
  </x18tc:threadedComment>
  <x18tc:threadedComment ref="AC1" dT="2025-08-15T04:58:32.00" personId="{7ad7da2d-f795-4c7d-a52b-aecfe393b8c7}" id="{daa0dfa8-017c-4bd0-ac20-c35af1ec86f2}" done="1">
    <x18tc:text xml:space="preserve">變成有無考量</x18tc:text>
  </x18tc:threadedComment>
  <x18tc:threadedComment ref="K1" dT="2025-08-15T05:04:44.00" personId="{7ad7da2d-f795-4c7d-a52b-aecfe393b8c7}" id="{47947e2f-b3db-41bc-bd1c-2cfdfbfa5464}" done="1">
    <x18tc:text xml:space="preserve">說明定義</x18tc:text>
  </x18tc:threadedComment>
  <x18tc:threadedComment ref="M41" dT="2025-08-15T04:37:10.00" personId="{7ad7da2d-f795-4c7d-a52b-aecfe393b8c7}" id="{aaf64b72-d791-4579-9b6d-1a21fdc6aa69}" done="1">
    <x18tc:text xml:space="preserve">換成年齡</x18tc:text>
  </x18tc:threadedComment>
  <x18tc:threadedComment ref="Q17" dT="2025-09-04T05:11:20.00" personId="{7ad7da2d-f795-4c7d-a52b-aecfe393b8c7}" id="{88795768-f341-4f05-8191-f7a8d6d97b9c}" done="0">
    <x18tc:text xml:space="preserve">寄信給便民信箱(說不屬於隱蔽案件)</x18tc:text>
  </x18tc:threadedComment>
  <x18tc:threadedComment ref="AA1" dT="2025-08-15T04:49:59.00" personId="{7ad7da2d-f795-4c7d-a52b-aecfe393b8c7}" id="{6d7b860a-d290-4aeb-bc1e-96df249e4c99}" done="1">
    <x18tc:text xml:space="preserve">高中職放同一類</x18tc:text>
  </x18tc:threadedComment>
  <x18tc:threadedComment ref="A119" dT="2025-08-01T05:28:37.00" personId="{7ad7da2d-f795-4c7d-a52b-aecfe393b8c7}" id="{d7fe313c-d0ed-437f-ad8c-ff3fd8b98009}" done="1">
    <x18tc:text xml:space="preserve">這個判決當中法官所引用刑事的被告名字不一樣？？</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mh.org.tw/?aid=126"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mh.org.tw/?aid=126"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mh.org.tw/?aid=126"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mh.org.tw/?aid=126"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8.25"/>
    <col customWidth="1" min="3" max="3" width="12.63"/>
    <col customWidth="1" min="4" max="4" width="8.63"/>
    <col customWidth="1" min="5" max="5" width="122.63"/>
    <col customWidth="1" min="6" max="6" width="31.63"/>
    <col customWidth="1" min="7" max="7" width="36.88"/>
    <col customWidth="1" min="8" max="8" width="19.75"/>
    <col customWidth="1" min="9" max="9" width="14.75"/>
    <col customWidth="1" min="11" max="11" width="12.25"/>
    <col customWidth="1" min="12" max="12" width="15.0"/>
    <col customWidth="1" min="13" max="13" width="8.13"/>
    <col customWidth="1" min="14" max="14" width="8.88"/>
    <col customWidth="1" min="15" max="15" width="8.13"/>
    <col customWidth="1" min="16" max="16" width="13.38"/>
    <col customWidth="1" min="17" max="17" width="43.5"/>
    <col customWidth="1" min="18" max="18" width="24.63"/>
    <col customWidth="1" min="19" max="19" width="7.75"/>
    <col customWidth="1" min="20" max="20" width="12.13"/>
    <col customWidth="1" min="21" max="21" width="14.63"/>
    <col customWidth="1" min="24" max="24" width="20.38"/>
    <col customWidth="1" min="25" max="25" width="9.13"/>
    <col customWidth="1" min="26" max="26" width="11.75"/>
    <col customWidth="1" min="27" max="27" width="8.13"/>
    <col customWidth="1" min="28" max="28" width="8.25"/>
    <col customWidth="1" min="29" max="29" width="12.25"/>
    <col customWidth="1" min="30" max="30" width="12.13"/>
    <col customWidth="1" min="31" max="31" width="12.25"/>
    <col customWidth="1" min="32" max="32" width="12.0"/>
    <col customWidth="1" min="33" max="33" width="12.13"/>
    <col customWidth="1" min="34" max="34" width="14.0"/>
    <col customWidth="1" min="35" max="35" width="14.75"/>
    <col customWidth="1" min="36" max="36" width="9.25"/>
    <col customWidth="1" min="38" max="38" width="14.25"/>
    <col customWidth="1" min="39" max="39" width="11.13"/>
    <col customWidth="1" min="41" max="41" width="22.25"/>
    <col customWidth="1" min="43" max="43" width="12.25"/>
  </cols>
  <sheetData>
    <row r="1">
      <c r="A1" s="1" t="s">
        <v>0</v>
      </c>
      <c r="B1" s="2" t="s">
        <v>1</v>
      </c>
      <c r="C1" s="2" t="s">
        <v>2</v>
      </c>
      <c r="D1" s="1" t="s">
        <v>3</v>
      </c>
      <c r="E1" s="1" t="s">
        <v>4</v>
      </c>
      <c r="F1" s="3" t="s">
        <v>5</v>
      </c>
      <c r="G1" s="4" t="s">
        <v>6</v>
      </c>
      <c r="H1" s="1" t="s">
        <v>7</v>
      </c>
      <c r="I1" s="1" t="s">
        <v>8</v>
      </c>
      <c r="J1" s="1" t="s">
        <v>9</v>
      </c>
      <c r="K1" s="5" t="s">
        <v>10</v>
      </c>
      <c r="L1" s="5" t="s">
        <v>11</v>
      </c>
      <c r="M1" s="2" t="s">
        <v>12</v>
      </c>
      <c r="N1" s="3" t="s">
        <v>13</v>
      </c>
      <c r="O1" s="3" t="s">
        <v>14</v>
      </c>
      <c r="P1" s="3" t="s">
        <v>15</v>
      </c>
      <c r="Q1" s="1" t="s">
        <v>16</v>
      </c>
      <c r="R1" s="1" t="s">
        <v>17</v>
      </c>
      <c r="S1" s="3" t="s">
        <v>18</v>
      </c>
      <c r="T1" s="1" t="s">
        <v>19</v>
      </c>
      <c r="U1" s="1" t="s">
        <v>20</v>
      </c>
      <c r="V1" s="1" t="s">
        <v>21</v>
      </c>
      <c r="W1" s="1" t="s">
        <v>22</v>
      </c>
      <c r="X1" s="1" t="s">
        <v>23</v>
      </c>
      <c r="Y1" s="3" t="s">
        <v>24</v>
      </c>
      <c r="Z1" s="3" t="s">
        <v>25</v>
      </c>
      <c r="AA1" s="1" t="s">
        <v>26</v>
      </c>
      <c r="AB1" s="1" t="s">
        <v>27</v>
      </c>
      <c r="AC1" s="3" t="s">
        <v>28</v>
      </c>
      <c r="AD1" s="3" t="s">
        <v>29</v>
      </c>
      <c r="AE1" s="3" t="s">
        <v>30</v>
      </c>
      <c r="AF1" s="3" t="s">
        <v>31</v>
      </c>
      <c r="AG1" s="5" t="s">
        <v>32</v>
      </c>
      <c r="AH1" s="5" t="s">
        <v>33</v>
      </c>
      <c r="AI1" s="5" t="s">
        <v>34</v>
      </c>
      <c r="AJ1" s="5" t="s">
        <v>35</v>
      </c>
      <c r="AK1" s="1" t="s">
        <v>36</v>
      </c>
      <c r="AL1" s="6" t="s">
        <v>37</v>
      </c>
      <c r="AM1" s="6" t="s">
        <v>38</v>
      </c>
      <c r="AN1" s="6" t="s">
        <v>39</v>
      </c>
      <c r="AO1" s="6" t="s">
        <v>40</v>
      </c>
      <c r="AP1" s="7" t="s">
        <v>41</v>
      </c>
      <c r="AQ1" s="5" t="s">
        <v>42</v>
      </c>
      <c r="AR1" s="5" t="s">
        <v>43</v>
      </c>
    </row>
    <row r="2">
      <c r="A2" s="8" t="s">
        <v>44</v>
      </c>
      <c r="B2" s="9">
        <v>112.0</v>
      </c>
      <c r="C2" s="10">
        <v>45808.0</v>
      </c>
      <c r="D2" s="8" t="str">
        <f t="shared" ref="D2:D150" si="1">MID(A2,3,2)</f>
        <v>屏東</v>
      </c>
      <c r="E2" s="8" t="s">
        <v>45</v>
      </c>
      <c r="F2" s="8" t="s">
        <v>46</v>
      </c>
      <c r="G2" s="9">
        <v>5.0</v>
      </c>
      <c r="H2" s="11" t="s">
        <v>47</v>
      </c>
      <c r="I2" s="11" t="s">
        <v>47</v>
      </c>
      <c r="J2" s="11" t="s">
        <v>47</v>
      </c>
      <c r="K2" s="12">
        <v>0.0</v>
      </c>
      <c r="L2" s="12">
        <v>0.0</v>
      </c>
      <c r="M2" s="13" t="s">
        <v>47</v>
      </c>
      <c r="N2" s="8" t="s">
        <v>48</v>
      </c>
      <c r="O2" s="8" t="s">
        <v>48</v>
      </c>
      <c r="P2" s="8" t="s">
        <v>49</v>
      </c>
      <c r="Q2" s="8" t="s">
        <v>50</v>
      </c>
      <c r="R2" s="8" t="s">
        <v>51</v>
      </c>
      <c r="S2" s="14">
        <f>T:T/1000</f>
        <v>30</v>
      </c>
      <c r="T2" s="14">
        <v>30000.0</v>
      </c>
      <c r="U2" s="11" t="s">
        <v>47</v>
      </c>
      <c r="V2" s="11" t="s">
        <v>47</v>
      </c>
      <c r="W2" s="11" t="s">
        <v>47</v>
      </c>
      <c r="X2" s="8" t="s">
        <v>52</v>
      </c>
      <c r="Y2" s="8" t="s">
        <v>53</v>
      </c>
      <c r="Z2" s="8" t="s">
        <v>54</v>
      </c>
      <c r="AA2" s="8" t="s">
        <v>55</v>
      </c>
      <c r="AB2" s="8" t="s">
        <v>56</v>
      </c>
      <c r="AC2" s="8" t="s">
        <v>54</v>
      </c>
      <c r="AD2" s="8" t="s">
        <v>54</v>
      </c>
      <c r="AE2" s="8" t="s">
        <v>54</v>
      </c>
      <c r="AF2" s="8" t="s">
        <v>54</v>
      </c>
      <c r="AG2" s="15">
        <v>106000.0</v>
      </c>
      <c r="AH2" s="15">
        <v>106000.0</v>
      </c>
      <c r="AI2" s="9">
        <v>600.0</v>
      </c>
      <c r="AJ2" s="15">
        <v>6000.0</v>
      </c>
      <c r="AK2" s="11" t="s">
        <v>47</v>
      </c>
      <c r="AL2" s="15">
        <v>67500.0</v>
      </c>
      <c r="AM2" s="15">
        <v>20000.0</v>
      </c>
      <c r="AN2" s="15">
        <v>347100.0</v>
      </c>
      <c r="AO2" s="15">
        <v>347100.0</v>
      </c>
      <c r="AP2" s="16">
        <f t="shared" ref="AP2:AP150" si="2">AN2-AO2</f>
        <v>0</v>
      </c>
      <c r="AQ2" s="15" t="s">
        <v>47</v>
      </c>
      <c r="AR2" s="15" t="s">
        <v>47</v>
      </c>
    </row>
    <row r="3" hidden="1">
      <c r="A3" s="8" t="s">
        <v>57</v>
      </c>
      <c r="B3" s="9"/>
      <c r="C3" s="9"/>
      <c r="D3" s="8" t="str">
        <f t="shared" si="1"/>
        <v>屏東</v>
      </c>
      <c r="E3" s="8" t="s">
        <v>58</v>
      </c>
      <c r="F3" s="8"/>
      <c r="G3" s="9" t="s">
        <v>59</v>
      </c>
      <c r="H3" s="11" t="s">
        <v>47</v>
      </c>
      <c r="I3" s="11" t="s">
        <v>47</v>
      </c>
      <c r="J3" s="11" t="s">
        <v>47</v>
      </c>
      <c r="K3" s="17">
        <v>85397.0</v>
      </c>
      <c r="L3" s="17"/>
      <c r="M3" s="13" t="s">
        <v>47</v>
      </c>
      <c r="N3" s="8" t="s">
        <v>60</v>
      </c>
      <c r="O3" s="8" t="s">
        <v>48</v>
      </c>
      <c r="P3" s="8" t="s">
        <v>61</v>
      </c>
      <c r="Q3" s="8"/>
      <c r="R3" s="8"/>
      <c r="S3" s="8"/>
      <c r="T3" s="8"/>
      <c r="U3" s="11" t="s">
        <v>47</v>
      </c>
      <c r="V3" s="11" t="s">
        <v>47</v>
      </c>
      <c r="W3" s="11" t="s">
        <v>47</v>
      </c>
      <c r="X3" s="8" t="s">
        <v>62</v>
      </c>
      <c r="Y3" s="8"/>
      <c r="Z3" s="8"/>
      <c r="AA3" s="8" t="s">
        <v>63</v>
      </c>
      <c r="AB3" s="8" t="s">
        <v>63</v>
      </c>
      <c r="AC3" s="8" t="s">
        <v>64</v>
      </c>
      <c r="AD3" s="8" t="s">
        <v>65</v>
      </c>
      <c r="AE3" s="8" t="s">
        <v>66</v>
      </c>
      <c r="AF3" s="8" t="s">
        <v>67</v>
      </c>
      <c r="AG3" s="9"/>
      <c r="AH3" s="9"/>
      <c r="AI3" s="9"/>
      <c r="AJ3" s="9"/>
      <c r="AK3" s="11" t="s">
        <v>47</v>
      </c>
      <c r="AL3" s="18"/>
      <c r="AM3" s="15">
        <v>100000.0</v>
      </c>
      <c r="AN3" s="18"/>
      <c r="AO3" s="18"/>
      <c r="AP3" s="19">
        <f t="shared" si="2"/>
        <v>0</v>
      </c>
      <c r="AQ3" s="15" t="s">
        <v>47</v>
      </c>
      <c r="AR3" s="15" t="s">
        <v>47</v>
      </c>
    </row>
    <row r="4">
      <c r="A4" s="8" t="s">
        <v>68</v>
      </c>
      <c r="B4" s="9">
        <v>112.0</v>
      </c>
      <c r="C4" s="10">
        <v>45842.0</v>
      </c>
      <c r="D4" s="8" t="str">
        <f t="shared" si="1"/>
        <v>桃園</v>
      </c>
      <c r="E4" s="8" t="s">
        <v>69</v>
      </c>
      <c r="F4" s="8" t="s">
        <v>70</v>
      </c>
      <c r="G4" s="9">
        <v>5.0</v>
      </c>
      <c r="H4" s="11" t="s">
        <v>47</v>
      </c>
      <c r="I4" s="8" t="s">
        <v>61</v>
      </c>
      <c r="J4" s="11" t="s">
        <v>47</v>
      </c>
      <c r="K4" s="12">
        <v>350.0</v>
      </c>
      <c r="L4" s="12">
        <v>350.0</v>
      </c>
      <c r="M4" s="13" t="s">
        <v>47</v>
      </c>
      <c r="N4" s="8" t="s">
        <v>48</v>
      </c>
      <c r="O4" s="8" t="s">
        <v>48</v>
      </c>
      <c r="P4" s="8" t="s">
        <v>49</v>
      </c>
      <c r="Q4" s="8" t="s">
        <v>71</v>
      </c>
      <c r="R4" s="8" t="s">
        <v>51</v>
      </c>
      <c r="S4" s="14">
        <f t="shared" ref="S4:S5" si="3">T:T/1000</f>
        <v>40</v>
      </c>
      <c r="T4" s="14">
        <v>40000.0</v>
      </c>
      <c r="U4" s="11" t="s">
        <v>47</v>
      </c>
      <c r="V4" s="11" t="s">
        <v>47</v>
      </c>
      <c r="W4" s="11" t="s">
        <v>47</v>
      </c>
      <c r="X4" s="8" t="s">
        <v>72</v>
      </c>
      <c r="Y4" s="8" t="s">
        <v>73</v>
      </c>
      <c r="Z4" s="8" t="s">
        <v>54</v>
      </c>
      <c r="AA4" s="8" t="s">
        <v>55</v>
      </c>
      <c r="AB4" s="20" t="s">
        <v>74</v>
      </c>
      <c r="AC4" s="8" t="s">
        <v>54</v>
      </c>
      <c r="AD4" s="8" t="s">
        <v>54</v>
      </c>
      <c r="AE4" s="8" t="s">
        <v>54</v>
      </c>
      <c r="AF4" s="8" t="s">
        <v>54</v>
      </c>
      <c r="AG4" s="15">
        <v>2585.0</v>
      </c>
      <c r="AH4" s="15">
        <v>25850.0</v>
      </c>
      <c r="AI4" s="9">
        <v>0.0</v>
      </c>
      <c r="AJ4" s="9">
        <v>0.0</v>
      </c>
      <c r="AK4" s="11" t="s">
        <v>47</v>
      </c>
      <c r="AL4" s="15">
        <v>54340.0</v>
      </c>
      <c r="AM4" s="15">
        <v>4000.0</v>
      </c>
      <c r="AN4" s="9">
        <v>6935.0</v>
      </c>
      <c r="AO4" s="9">
        <v>6935.0</v>
      </c>
      <c r="AP4" s="19">
        <f t="shared" si="2"/>
        <v>0</v>
      </c>
      <c r="AQ4" s="15" t="s">
        <v>47</v>
      </c>
      <c r="AR4" s="15" t="s">
        <v>47</v>
      </c>
    </row>
    <row r="5">
      <c r="A5" s="8" t="s">
        <v>75</v>
      </c>
      <c r="B5" s="9">
        <v>112.0</v>
      </c>
      <c r="C5" s="10">
        <v>45726.0</v>
      </c>
      <c r="D5" s="8" t="str">
        <f t="shared" si="1"/>
        <v>桃園</v>
      </c>
      <c r="E5" s="8" t="s">
        <v>76</v>
      </c>
      <c r="F5" s="8" t="s">
        <v>73</v>
      </c>
      <c r="G5" s="9">
        <v>5.0</v>
      </c>
      <c r="H5" s="11" t="s">
        <v>47</v>
      </c>
      <c r="I5" s="11" t="s">
        <v>47</v>
      </c>
      <c r="J5" s="11" t="s">
        <v>47</v>
      </c>
      <c r="K5" s="12">
        <v>2500.0</v>
      </c>
      <c r="L5" s="17">
        <v>4740.0</v>
      </c>
      <c r="M5" s="13" t="s">
        <v>47</v>
      </c>
      <c r="N5" s="8" t="s">
        <v>48</v>
      </c>
      <c r="O5" s="8" t="s">
        <v>48</v>
      </c>
      <c r="P5" s="8" t="s">
        <v>49</v>
      </c>
      <c r="Q5" s="8" t="s">
        <v>77</v>
      </c>
      <c r="R5" s="8" t="s">
        <v>51</v>
      </c>
      <c r="S5" s="14">
        <f t="shared" si="3"/>
        <v>60</v>
      </c>
      <c r="T5" s="14">
        <v>60000.0</v>
      </c>
      <c r="U5" s="11" t="s">
        <v>47</v>
      </c>
      <c r="V5" s="11" t="s">
        <v>47</v>
      </c>
      <c r="W5" s="11" t="s">
        <v>47</v>
      </c>
      <c r="X5" s="8" t="s">
        <v>78</v>
      </c>
      <c r="Y5" s="8" t="s">
        <v>53</v>
      </c>
      <c r="Z5" s="11" t="s">
        <v>47</v>
      </c>
      <c r="AA5" s="11" t="s">
        <v>47</v>
      </c>
      <c r="AB5" s="11" t="s">
        <v>47</v>
      </c>
      <c r="AC5" s="8" t="s">
        <v>54</v>
      </c>
      <c r="AD5" s="11" t="s">
        <v>47</v>
      </c>
      <c r="AE5" s="8" t="s">
        <v>54</v>
      </c>
      <c r="AF5" s="11" t="s">
        <v>47</v>
      </c>
      <c r="AG5" s="15">
        <v>26665.0</v>
      </c>
      <c r="AH5" s="15">
        <v>57580.0</v>
      </c>
      <c r="AI5" s="15">
        <v>2700.0</v>
      </c>
      <c r="AJ5" s="15">
        <v>16500.0</v>
      </c>
      <c r="AK5" s="11" t="s">
        <v>47</v>
      </c>
      <c r="AL5" s="15">
        <v>600000.0</v>
      </c>
      <c r="AM5" s="15">
        <v>50000.0</v>
      </c>
      <c r="AN5" s="15">
        <v>101715.0</v>
      </c>
      <c r="AO5" s="15">
        <v>101715.0</v>
      </c>
      <c r="AP5" s="16">
        <f t="shared" si="2"/>
        <v>0</v>
      </c>
      <c r="AQ5" s="15" t="s">
        <v>47</v>
      </c>
      <c r="AR5" s="15" t="s">
        <v>47</v>
      </c>
    </row>
    <row r="6" ht="18.75" customHeight="1">
      <c r="A6" s="8" t="s">
        <v>79</v>
      </c>
      <c r="B6" s="9">
        <v>112.0</v>
      </c>
      <c r="C6" s="10">
        <v>45824.0</v>
      </c>
      <c r="D6" s="8" t="str">
        <f t="shared" si="1"/>
        <v>屏東</v>
      </c>
      <c r="E6" s="8" t="s">
        <v>80</v>
      </c>
      <c r="F6" s="8" t="s">
        <v>56</v>
      </c>
      <c r="G6" s="9">
        <v>5.0</v>
      </c>
      <c r="H6" s="11" t="s">
        <v>47</v>
      </c>
      <c r="I6" s="11" t="s">
        <v>47</v>
      </c>
      <c r="J6" s="11" t="s">
        <v>47</v>
      </c>
      <c r="K6" s="12">
        <v>600.0</v>
      </c>
      <c r="L6" s="12">
        <v>600.0</v>
      </c>
      <c r="M6" s="13" t="s">
        <v>47</v>
      </c>
      <c r="N6" s="8" t="s">
        <v>48</v>
      </c>
      <c r="O6" s="8" t="s">
        <v>48</v>
      </c>
      <c r="P6" s="8" t="s">
        <v>49</v>
      </c>
      <c r="Q6" s="8" t="s">
        <v>81</v>
      </c>
      <c r="R6" s="8" t="s">
        <v>51</v>
      </c>
      <c r="S6" s="14">
        <v>30.0</v>
      </c>
      <c r="T6" s="14">
        <v>30000.0</v>
      </c>
      <c r="U6" s="11" t="s">
        <v>47</v>
      </c>
      <c r="V6" s="11" t="s">
        <v>47</v>
      </c>
      <c r="W6" s="11" t="s">
        <v>47</v>
      </c>
      <c r="X6" s="8" t="s">
        <v>82</v>
      </c>
      <c r="Y6" s="8" t="s">
        <v>53</v>
      </c>
      <c r="Z6" s="8" t="s">
        <v>54</v>
      </c>
      <c r="AA6" s="8" t="s">
        <v>55</v>
      </c>
      <c r="AB6" s="8" t="s">
        <v>63</v>
      </c>
      <c r="AC6" s="8" t="s">
        <v>54</v>
      </c>
      <c r="AD6" s="8" t="s">
        <v>54</v>
      </c>
      <c r="AE6" s="8" t="s">
        <v>54</v>
      </c>
      <c r="AF6" s="8" t="s">
        <v>54</v>
      </c>
      <c r="AG6" s="15">
        <v>33417.0</v>
      </c>
      <c r="AH6" s="15">
        <v>200500.0</v>
      </c>
      <c r="AI6" s="9" t="s">
        <v>83</v>
      </c>
      <c r="AJ6" s="9"/>
      <c r="AK6" s="11" t="s">
        <v>47</v>
      </c>
      <c r="AL6" s="15">
        <v>240000.0</v>
      </c>
      <c r="AM6" s="15">
        <v>40000.0</v>
      </c>
      <c r="AN6" s="18"/>
      <c r="AO6" s="15">
        <v>74017.0</v>
      </c>
      <c r="AP6" s="16">
        <f t="shared" si="2"/>
        <v>-74017</v>
      </c>
      <c r="AQ6" s="15" t="s">
        <v>47</v>
      </c>
      <c r="AR6" s="15" t="s">
        <v>47</v>
      </c>
    </row>
    <row r="7">
      <c r="A7" s="8" t="s">
        <v>84</v>
      </c>
      <c r="B7" s="9">
        <v>112.0</v>
      </c>
      <c r="C7" s="10">
        <v>45821.0</v>
      </c>
      <c r="D7" s="8" t="str">
        <f t="shared" si="1"/>
        <v>桃園</v>
      </c>
      <c r="E7" s="8" t="s">
        <v>85</v>
      </c>
      <c r="F7" s="8" t="s">
        <v>56</v>
      </c>
      <c r="G7" s="9">
        <v>3.0</v>
      </c>
      <c r="H7" s="8" t="s">
        <v>86</v>
      </c>
      <c r="I7" s="11" t="s">
        <v>47</v>
      </c>
      <c r="J7" s="11" t="s">
        <v>47</v>
      </c>
      <c r="K7" s="17">
        <v>251930.0</v>
      </c>
      <c r="L7" s="17">
        <v>251930.0</v>
      </c>
      <c r="M7" s="9" t="s">
        <v>87</v>
      </c>
      <c r="N7" s="8" t="s">
        <v>88</v>
      </c>
      <c r="O7" s="8" t="s">
        <v>89</v>
      </c>
      <c r="P7" s="8" t="s">
        <v>61</v>
      </c>
      <c r="Q7" s="8"/>
      <c r="R7" s="8"/>
      <c r="S7" s="14">
        <f t="shared" ref="S7:S16" si="4">T:T/1000</f>
        <v>0</v>
      </c>
      <c r="T7" s="8"/>
      <c r="U7" s="11" t="s">
        <v>47</v>
      </c>
      <c r="V7" s="8" t="s">
        <v>90</v>
      </c>
      <c r="W7" s="11" t="s">
        <v>47</v>
      </c>
      <c r="X7" s="8" t="s">
        <v>91</v>
      </c>
      <c r="Y7" s="8" t="s">
        <v>92</v>
      </c>
      <c r="Z7" s="8" t="s">
        <v>54</v>
      </c>
      <c r="AA7" s="20" t="s">
        <v>74</v>
      </c>
      <c r="AB7" s="20" t="s">
        <v>74</v>
      </c>
      <c r="AC7" s="11" t="s">
        <v>47</v>
      </c>
      <c r="AD7" s="11" t="s">
        <v>47</v>
      </c>
      <c r="AE7" s="11" t="s">
        <v>47</v>
      </c>
      <c r="AF7" s="11" t="s">
        <v>47</v>
      </c>
      <c r="AG7" s="9">
        <v>0.0</v>
      </c>
      <c r="AH7" s="9">
        <v>0.0</v>
      </c>
      <c r="AI7" s="9">
        <f>3900+270000</f>
        <v>273900</v>
      </c>
      <c r="AJ7" s="15">
        <v>113625.0</v>
      </c>
      <c r="AK7" s="11" t="s">
        <v>47</v>
      </c>
      <c r="AL7" s="15">
        <v>300000.0</v>
      </c>
      <c r="AM7" s="15">
        <v>200000.0</v>
      </c>
      <c r="AN7" s="15">
        <v>839455.0</v>
      </c>
      <c r="AO7" s="15">
        <v>839455.0</v>
      </c>
      <c r="AP7" s="16">
        <f t="shared" si="2"/>
        <v>0</v>
      </c>
      <c r="AQ7" s="15" t="s">
        <v>47</v>
      </c>
      <c r="AR7" s="15" t="s">
        <v>47</v>
      </c>
    </row>
    <row r="8">
      <c r="A8" s="8" t="s">
        <v>93</v>
      </c>
      <c r="B8" s="9">
        <v>112.0</v>
      </c>
      <c r="C8" s="10">
        <v>45828.0</v>
      </c>
      <c r="D8" s="8" t="str">
        <f t="shared" si="1"/>
        <v>嘉義</v>
      </c>
      <c r="E8" s="8" t="s">
        <v>94</v>
      </c>
      <c r="F8" s="8" t="s">
        <v>70</v>
      </c>
      <c r="G8" s="9">
        <v>5.0</v>
      </c>
      <c r="H8" s="11" t="s">
        <v>47</v>
      </c>
      <c r="I8" s="11" t="s">
        <v>47</v>
      </c>
      <c r="J8" s="11" t="s">
        <v>47</v>
      </c>
      <c r="K8" s="15">
        <v>460.0</v>
      </c>
      <c r="L8" s="15">
        <v>2420.0</v>
      </c>
      <c r="M8" s="13" t="s">
        <v>47</v>
      </c>
      <c r="N8" s="8" t="s">
        <v>88</v>
      </c>
      <c r="O8" s="8" t="s">
        <v>48</v>
      </c>
      <c r="P8" s="8" t="s">
        <v>61</v>
      </c>
      <c r="Q8" s="8"/>
      <c r="R8" s="8"/>
      <c r="S8" s="14">
        <f t="shared" si="4"/>
        <v>0</v>
      </c>
      <c r="T8" s="8"/>
      <c r="U8" s="11" t="s">
        <v>47</v>
      </c>
      <c r="V8" s="11" t="s">
        <v>47</v>
      </c>
      <c r="W8" s="11" t="s">
        <v>47</v>
      </c>
      <c r="X8" s="8" t="s">
        <v>95</v>
      </c>
      <c r="Y8" s="8" t="s">
        <v>53</v>
      </c>
      <c r="Z8" s="8" t="s">
        <v>54</v>
      </c>
      <c r="AA8" s="8" t="s">
        <v>70</v>
      </c>
      <c r="AB8" s="20" t="s">
        <v>74</v>
      </c>
      <c r="AC8" s="8" t="s">
        <v>54</v>
      </c>
      <c r="AD8" s="8" t="s">
        <v>54</v>
      </c>
      <c r="AE8" s="8" t="s">
        <v>54</v>
      </c>
      <c r="AF8" s="8" t="s">
        <v>54</v>
      </c>
      <c r="AG8" s="15">
        <v>1500.0</v>
      </c>
      <c r="AH8" s="15">
        <v>1500.0</v>
      </c>
      <c r="AI8" s="15">
        <v>0.0</v>
      </c>
      <c r="AJ8" s="15">
        <v>0.0</v>
      </c>
      <c r="AK8" s="11" t="s">
        <v>47</v>
      </c>
      <c r="AL8" s="15">
        <v>22240.0</v>
      </c>
      <c r="AM8" s="15">
        <v>2000.0</v>
      </c>
      <c r="AN8" s="15">
        <v>3960.0</v>
      </c>
      <c r="AO8" s="15">
        <v>3960.0</v>
      </c>
      <c r="AP8" s="16">
        <f t="shared" si="2"/>
        <v>0</v>
      </c>
      <c r="AQ8" s="15" t="s">
        <v>47</v>
      </c>
      <c r="AR8" s="15" t="s">
        <v>47</v>
      </c>
    </row>
    <row r="9">
      <c r="A9" s="8" t="s">
        <v>96</v>
      </c>
      <c r="B9" s="9">
        <v>112.0</v>
      </c>
      <c r="C9" s="10">
        <v>45705.0</v>
      </c>
      <c r="D9" s="8" t="str">
        <f t="shared" si="1"/>
        <v>嘉義</v>
      </c>
      <c r="E9" s="8" t="s">
        <v>97</v>
      </c>
      <c r="F9" s="8" t="s">
        <v>73</v>
      </c>
      <c r="G9" s="9">
        <v>2.0</v>
      </c>
      <c r="H9" s="11" t="s">
        <v>47</v>
      </c>
      <c r="I9" s="11" t="s">
        <v>47</v>
      </c>
      <c r="J9" s="11" t="s">
        <v>47</v>
      </c>
      <c r="K9" s="15">
        <v>130795.0</v>
      </c>
      <c r="L9" s="15">
        <v>130795.0</v>
      </c>
      <c r="M9" s="9" t="s">
        <v>98</v>
      </c>
      <c r="N9" s="8" t="s">
        <v>88</v>
      </c>
      <c r="O9" s="8" t="s">
        <v>48</v>
      </c>
      <c r="P9" s="8" t="s">
        <v>49</v>
      </c>
      <c r="Q9" s="8" t="s">
        <v>99</v>
      </c>
      <c r="R9" s="8" t="s">
        <v>51</v>
      </c>
      <c r="S9" s="14">
        <f t="shared" si="4"/>
        <v>150</v>
      </c>
      <c r="T9" s="14">
        <v>150000.0</v>
      </c>
      <c r="U9" s="11" t="s">
        <v>47</v>
      </c>
      <c r="V9" s="11" t="s">
        <v>47</v>
      </c>
      <c r="W9" s="11" t="s">
        <v>47</v>
      </c>
      <c r="X9" s="8" t="s">
        <v>100</v>
      </c>
      <c r="Y9" s="8" t="s">
        <v>56</v>
      </c>
      <c r="Z9" s="8" t="s">
        <v>54</v>
      </c>
      <c r="AA9" s="8" t="s">
        <v>73</v>
      </c>
      <c r="AB9" s="8" t="s">
        <v>73</v>
      </c>
      <c r="AC9" s="8" t="s">
        <v>54</v>
      </c>
      <c r="AD9" s="8" t="s">
        <v>54</v>
      </c>
      <c r="AE9" s="8" t="s">
        <v>54</v>
      </c>
      <c r="AF9" s="8" t="s">
        <v>54</v>
      </c>
      <c r="AG9" s="9">
        <v>0.0</v>
      </c>
      <c r="AH9" s="9">
        <v>0.0</v>
      </c>
      <c r="AI9" s="9">
        <f>400496+58053</f>
        <v>458549</v>
      </c>
      <c r="AJ9" s="15">
        <v>2052388.0</v>
      </c>
      <c r="AK9" s="11" t="s">
        <v>47</v>
      </c>
      <c r="AL9" s="15">
        <v>800000.0</v>
      </c>
      <c r="AM9" s="15">
        <v>800000.0</v>
      </c>
      <c r="AN9" s="15">
        <v>1707822.0</v>
      </c>
      <c r="AO9" s="15">
        <v>1707822.0</v>
      </c>
      <c r="AP9" s="16">
        <f t="shared" si="2"/>
        <v>0</v>
      </c>
      <c r="AQ9" s="15" t="s">
        <v>47</v>
      </c>
      <c r="AR9" s="15" t="s">
        <v>47</v>
      </c>
    </row>
    <row r="10">
      <c r="A10" s="8" t="s">
        <v>101</v>
      </c>
      <c r="B10" s="9">
        <v>112.0</v>
      </c>
      <c r="C10" s="10">
        <v>45754.0</v>
      </c>
      <c r="D10" s="8" t="str">
        <f t="shared" si="1"/>
        <v>嘉義</v>
      </c>
      <c r="E10" s="8" t="s">
        <v>102</v>
      </c>
      <c r="F10" s="8" t="s">
        <v>70</v>
      </c>
      <c r="G10" s="9">
        <v>3.0</v>
      </c>
      <c r="H10" s="8" t="s">
        <v>103</v>
      </c>
      <c r="I10" s="11" t="s">
        <v>47</v>
      </c>
      <c r="J10" s="11" t="s">
        <v>47</v>
      </c>
      <c r="K10" s="17">
        <v>84387.0</v>
      </c>
      <c r="L10" s="17">
        <v>84387.0</v>
      </c>
      <c r="M10" s="13" t="s">
        <v>47</v>
      </c>
      <c r="N10" s="8" t="s">
        <v>48</v>
      </c>
      <c r="O10" s="8" t="s">
        <v>48</v>
      </c>
      <c r="P10" s="8" t="s">
        <v>49</v>
      </c>
      <c r="Q10" s="8" t="s">
        <v>104</v>
      </c>
      <c r="R10" s="8" t="s">
        <v>51</v>
      </c>
      <c r="S10" s="14">
        <f t="shared" si="4"/>
        <v>150</v>
      </c>
      <c r="T10" s="14">
        <v>150000.0</v>
      </c>
      <c r="U10" s="11" t="s">
        <v>47</v>
      </c>
      <c r="V10" s="11" t="s">
        <v>47</v>
      </c>
      <c r="W10" s="11" t="s">
        <v>47</v>
      </c>
      <c r="X10" s="8" t="s">
        <v>105</v>
      </c>
      <c r="Y10" s="8" t="s">
        <v>73</v>
      </c>
      <c r="Z10" s="8" t="s">
        <v>54</v>
      </c>
      <c r="AA10" s="20" t="s">
        <v>74</v>
      </c>
      <c r="AB10" s="20" t="s">
        <v>74</v>
      </c>
      <c r="AC10" s="8" t="s">
        <v>54</v>
      </c>
      <c r="AD10" s="8" t="s">
        <v>54</v>
      </c>
      <c r="AE10" s="8" t="s">
        <v>54</v>
      </c>
      <c r="AF10" s="8" t="s">
        <v>54</v>
      </c>
      <c r="AG10" s="15">
        <v>0.0</v>
      </c>
      <c r="AH10" s="15">
        <v>0.0</v>
      </c>
      <c r="AI10" s="15">
        <v>90000.0</v>
      </c>
      <c r="AJ10" s="15">
        <v>0.0</v>
      </c>
      <c r="AK10" s="11" t="s">
        <v>47</v>
      </c>
      <c r="AL10" s="15">
        <v>200000.0</v>
      </c>
      <c r="AM10" s="15">
        <v>200000.0</v>
      </c>
      <c r="AN10" s="15">
        <v>374387.0</v>
      </c>
      <c r="AO10" s="15">
        <v>374387.0</v>
      </c>
      <c r="AP10" s="16">
        <f t="shared" si="2"/>
        <v>0</v>
      </c>
      <c r="AQ10" s="15" t="s">
        <v>47</v>
      </c>
      <c r="AR10" s="15" t="s">
        <v>47</v>
      </c>
    </row>
    <row r="11">
      <c r="A11" s="8" t="s">
        <v>106</v>
      </c>
      <c r="B11" s="9">
        <v>112.0</v>
      </c>
      <c r="C11" s="10">
        <v>45842.0</v>
      </c>
      <c r="D11" s="8" t="str">
        <f t="shared" si="1"/>
        <v>嘉義</v>
      </c>
      <c r="E11" s="8" t="s">
        <v>107</v>
      </c>
      <c r="F11" s="8" t="s">
        <v>70</v>
      </c>
      <c r="G11" s="9">
        <v>5.0</v>
      </c>
      <c r="H11" s="11" t="s">
        <v>47</v>
      </c>
      <c r="I11" s="11" t="s">
        <v>47</v>
      </c>
      <c r="J11" s="11" t="s">
        <v>47</v>
      </c>
      <c r="K11" s="12">
        <v>0.0</v>
      </c>
      <c r="L11" s="12">
        <v>0.0</v>
      </c>
      <c r="M11" s="13" t="s">
        <v>47</v>
      </c>
      <c r="N11" s="8" t="s">
        <v>48</v>
      </c>
      <c r="O11" s="8" t="s">
        <v>48</v>
      </c>
      <c r="P11" s="8" t="s">
        <v>49</v>
      </c>
      <c r="Q11" s="8" t="s">
        <v>108</v>
      </c>
      <c r="R11" s="8" t="s">
        <v>51</v>
      </c>
      <c r="S11" s="14">
        <f t="shared" si="4"/>
        <v>120</v>
      </c>
      <c r="T11" s="14">
        <v>120000.0</v>
      </c>
      <c r="U11" s="11" t="s">
        <v>47</v>
      </c>
      <c r="V11" s="11" t="s">
        <v>47</v>
      </c>
      <c r="W11" s="11" t="s">
        <v>47</v>
      </c>
      <c r="X11" s="8" t="s">
        <v>109</v>
      </c>
      <c r="Y11" s="8" t="s">
        <v>53</v>
      </c>
      <c r="Z11" s="8" t="s">
        <v>54</v>
      </c>
      <c r="AA11" s="20" t="s">
        <v>74</v>
      </c>
      <c r="AB11" s="20" t="s">
        <v>74</v>
      </c>
      <c r="AC11" s="8" t="s">
        <v>54</v>
      </c>
      <c r="AD11" s="8" t="s">
        <v>54</v>
      </c>
      <c r="AE11" s="8" t="s">
        <v>54</v>
      </c>
      <c r="AF11" s="8" t="s">
        <v>54</v>
      </c>
      <c r="AG11" s="15">
        <v>0.0</v>
      </c>
      <c r="AH11" s="15">
        <v>40000.0</v>
      </c>
      <c r="AI11" s="15">
        <v>0.0</v>
      </c>
      <c r="AJ11" s="15">
        <v>0.0</v>
      </c>
      <c r="AK11" s="11" t="s">
        <v>47</v>
      </c>
      <c r="AL11" s="15">
        <v>700000.0</v>
      </c>
      <c r="AM11" s="15">
        <v>20000.0</v>
      </c>
      <c r="AN11" s="15">
        <v>96845.0</v>
      </c>
      <c r="AO11" s="15">
        <v>96845.0</v>
      </c>
      <c r="AP11" s="16">
        <f t="shared" si="2"/>
        <v>0</v>
      </c>
      <c r="AQ11" s="15" t="s">
        <v>47</v>
      </c>
      <c r="AR11" s="15" t="s">
        <v>47</v>
      </c>
    </row>
    <row r="12">
      <c r="A12" s="8" t="s">
        <v>110</v>
      </c>
      <c r="B12" s="9">
        <v>112.0</v>
      </c>
      <c r="C12" s="10">
        <v>45872.0</v>
      </c>
      <c r="D12" s="8" t="str">
        <f t="shared" si="1"/>
        <v>嘉義</v>
      </c>
      <c r="E12" s="8" t="s">
        <v>111</v>
      </c>
      <c r="F12" s="8" t="s">
        <v>70</v>
      </c>
      <c r="G12" s="9">
        <v>3.0</v>
      </c>
      <c r="H12" s="11" t="s">
        <v>47</v>
      </c>
      <c r="I12" s="11" t="s">
        <v>47</v>
      </c>
      <c r="J12" s="11" t="s">
        <v>47</v>
      </c>
      <c r="K12" s="17">
        <v>4249.0</v>
      </c>
      <c r="L12" s="17">
        <v>4249.0</v>
      </c>
      <c r="M12" s="13" t="s">
        <v>47</v>
      </c>
      <c r="N12" s="8" t="s">
        <v>48</v>
      </c>
      <c r="O12" s="8" t="s">
        <v>48</v>
      </c>
      <c r="P12" s="8" t="s">
        <v>49</v>
      </c>
      <c r="Q12" s="8" t="s">
        <v>112</v>
      </c>
      <c r="R12" s="8" t="s">
        <v>51</v>
      </c>
      <c r="S12" s="14">
        <f t="shared" si="4"/>
        <v>150</v>
      </c>
      <c r="T12" s="14">
        <v>150000.0</v>
      </c>
      <c r="U12" s="11" t="s">
        <v>47</v>
      </c>
      <c r="V12" s="11" t="s">
        <v>47</v>
      </c>
      <c r="W12" s="11" t="s">
        <v>47</v>
      </c>
      <c r="X12" s="8" t="s">
        <v>113</v>
      </c>
      <c r="Y12" s="8" t="s">
        <v>53</v>
      </c>
      <c r="Z12" s="8" t="s">
        <v>54</v>
      </c>
      <c r="AA12" s="20" t="s">
        <v>74</v>
      </c>
      <c r="AB12" s="8" t="s">
        <v>56</v>
      </c>
      <c r="AC12" s="8" t="s">
        <v>54</v>
      </c>
      <c r="AD12" s="8" t="s">
        <v>54</v>
      </c>
      <c r="AE12" s="8" t="s">
        <v>54</v>
      </c>
      <c r="AF12" s="8" t="s">
        <v>54</v>
      </c>
      <c r="AG12" s="15">
        <v>12149.0</v>
      </c>
      <c r="AH12" s="15">
        <v>12149.0</v>
      </c>
      <c r="AI12" s="15">
        <v>39200.0</v>
      </c>
      <c r="AJ12" s="15">
        <f>35350+1500+3000</f>
        <v>39850</v>
      </c>
      <c r="AK12" s="11" t="s">
        <v>47</v>
      </c>
      <c r="AL12" s="15">
        <v>200000.0</v>
      </c>
      <c r="AM12" s="15">
        <v>30000.0</v>
      </c>
      <c r="AN12" s="15">
        <v>125448.0</v>
      </c>
      <c r="AO12" s="15">
        <v>125448.0</v>
      </c>
      <c r="AP12" s="16">
        <f t="shared" si="2"/>
        <v>0</v>
      </c>
      <c r="AQ12" s="15" t="s">
        <v>47</v>
      </c>
      <c r="AR12" s="15" t="s">
        <v>47</v>
      </c>
    </row>
    <row r="13">
      <c r="A13" s="8" t="s">
        <v>114</v>
      </c>
      <c r="B13" s="9">
        <v>112.0</v>
      </c>
      <c r="C13" s="10">
        <v>45863.0</v>
      </c>
      <c r="D13" s="8" t="str">
        <f t="shared" si="1"/>
        <v>嘉義</v>
      </c>
      <c r="E13" s="8" t="s">
        <v>115</v>
      </c>
      <c r="F13" s="8" t="s">
        <v>73</v>
      </c>
      <c r="G13" s="9">
        <v>5.0</v>
      </c>
      <c r="H13" s="11" t="s">
        <v>47</v>
      </c>
      <c r="I13" s="11" t="s">
        <v>47</v>
      </c>
      <c r="J13" s="11" t="s">
        <v>47</v>
      </c>
      <c r="K13" s="17">
        <v>1712.0</v>
      </c>
      <c r="L13" s="17">
        <v>1712.0</v>
      </c>
      <c r="M13" s="13" t="s">
        <v>47</v>
      </c>
      <c r="N13" s="8" t="s">
        <v>88</v>
      </c>
      <c r="O13" s="8" t="s">
        <v>88</v>
      </c>
      <c r="P13" s="8" t="s">
        <v>49</v>
      </c>
      <c r="Q13" s="8" t="s">
        <v>116</v>
      </c>
      <c r="R13" s="8" t="s">
        <v>51</v>
      </c>
      <c r="S13" s="14">
        <f t="shared" si="4"/>
        <v>60</v>
      </c>
      <c r="T13" s="14">
        <v>60000.0</v>
      </c>
      <c r="U13" s="11" t="s">
        <v>47</v>
      </c>
      <c r="V13" s="11" t="s">
        <v>47</v>
      </c>
      <c r="W13" s="11" t="s">
        <v>47</v>
      </c>
      <c r="X13" s="8" t="s">
        <v>117</v>
      </c>
      <c r="Y13" s="8" t="s">
        <v>56</v>
      </c>
      <c r="Z13" s="8" t="s">
        <v>54</v>
      </c>
      <c r="AA13" s="8" t="s">
        <v>56</v>
      </c>
      <c r="AB13" s="8" t="s">
        <v>70</v>
      </c>
      <c r="AC13" s="8" t="s">
        <v>54</v>
      </c>
      <c r="AD13" s="8" t="s">
        <v>54</v>
      </c>
      <c r="AE13" s="8" t="s">
        <v>54</v>
      </c>
      <c r="AF13" s="8" t="s">
        <v>54</v>
      </c>
      <c r="AG13" s="15">
        <v>51350.0</v>
      </c>
      <c r="AH13" s="15">
        <v>100000.0</v>
      </c>
      <c r="AI13" s="15">
        <v>0.0</v>
      </c>
      <c r="AJ13" s="15">
        <f>38160+5000</f>
        <v>43160</v>
      </c>
      <c r="AK13" s="11" t="s">
        <v>47</v>
      </c>
      <c r="AL13" s="15">
        <v>40000.0</v>
      </c>
      <c r="AM13" s="15">
        <v>20000.0</v>
      </c>
      <c r="AN13" s="15">
        <v>133502.0</v>
      </c>
      <c r="AO13" s="15">
        <v>133502.0</v>
      </c>
      <c r="AP13" s="16">
        <f t="shared" si="2"/>
        <v>0</v>
      </c>
      <c r="AQ13" s="15" t="s">
        <v>47</v>
      </c>
      <c r="AR13" s="15" t="s">
        <v>47</v>
      </c>
    </row>
    <row r="14" hidden="1">
      <c r="A14" s="8" t="s">
        <v>118</v>
      </c>
      <c r="B14" s="9"/>
      <c r="C14" s="9"/>
      <c r="D14" s="8" t="str">
        <f t="shared" si="1"/>
        <v>桃園</v>
      </c>
      <c r="E14" s="8" t="s">
        <v>119</v>
      </c>
      <c r="F14" s="8"/>
      <c r="G14" s="18"/>
      <c r="H14" s="11" t="s">
        <v>47</v>
      </c>
      <c r="I14" s="11" t="s">
        <v>47</v>
      </c>
      <c r="J14" s="11" t="s">
        <v>47</v>
      </c>
      <c r="K14" s="12"/>
      <c r="L14" s="12"/>
      <c r="M14" s="13" t="s">
        <v>47</v>
      </c>
      <c r="N14" s="8" t="s">
        <v>120</v>
      </c>
      <c r="O14" s="8" t="s">
        <v>120</v>
      </c>
      <c r="P14" s="8" t="s">
        <v>49</v>
      </c>
      <c r="Q14" s="8"/>
      <c r="R14" s="8" t="s">
        <v>51</v>
      </c>
      <c r="S14" s="14">
        <f t="shared" si="4"/>
        <v>0</v>
      </c>
      <c r="T14" s="8"/>
      <c r="U14" s="11" t="s">
        <v>47</v>
      </c>
      <c r="V14" s="11" t="s">
        <v>47</v>
      </c>
      <c r="W14" s="11" t="s">
        <v>47</v>
      </c>
      <c r="X14" s="8" t="s">
        <v>121</v>
      </c>
      <c r="Y14" s="8"/>
      <c r="Z14" s="11"/>
      <c r="AA14" s="11" t="s">
        <v>47</v>
      </c>
      <c r="AB14" s="11" t="s">
        <v>47</v>
      </c>
      <c r="AC14" s="8" t="s">
        <v>54</v>
      </c>
      <c r="AD14" s="11" t="s">
        <v>47</v>
      </c>
      <c r="AE14" s="8" t="s">
        <v>54</v>
      </c>
      <c r="AF14" s="11" t="s">
        <v>47</v>
      </c>
      <c r="AG14" s="18"/>
      <c r="AH14" s="18"/>
      <c r="AI14" s="18"/>
      <c r="AJ14" s="18"/>
      <c r="AK14" s="11" t="s">
        <v>47</v>
      </c>
      <c r="AL14" s="18"/>
      <c r="AM14" s="15">
        <v>60000.0</v>
      </c>
      <c r="AN14" s="18"/>
      <c r="AO14" s="18"/>
      <c r="AP14" s="19">
        <f t="shared" si="2"/>
        <v>0</v>
      </c>
      <c r="AQ14" s="15" t="s">
        <v>47</v>
      </c>
      <c r="AR14" s="15" t="s">
        <v>47</v>
      </c>
    </row>
    <row r="15" hidden="1">
      <c r="A15" s="8" t="s">
        <v>122</v>
      </c>
      <c r="B15" s="9">
        <v>112.0</v>
      </c>
      <c r="C15" s="10">
        <v>45873.0</v>
      </c>
      <c r="D15" s="8" t="str">
        <f t="shared" si="1"/>
        <v>嘉義</v>
      </c>
      <c r="E15" s="8" t="s">
        <v>123</v>
      </c>
      <c r="F15" s="8" t="s">
        <v>124</v>
      </c>
      <c r="G15" s="9">
        <v>2.0</v>
      </c>
      <c r="H15" s="8" t="s">
        <v>125</v>
      </c>
      <c r="I15" s="11" t="s">
        <v>47</v>
      </c>
      <c r="J15" s="11" t="s">
        <v>47</v>
      </c>
      <c r="K15" s="17">
        <v>316300.0</v>
      </c>
      <c r="L15" s="17"/>
      <c r="M15" s="9" t="s">
        <v>126</v>
      </c>
      <c r="N15" s="8" t="s">
        <v>48</v>
      </c>
      <c r="O15" s="8" t="s">
        <v>48</v>
      </c>
      <c r="P15" s="8" t="s">
        <v>49</v>
      </c>
      <c r="Q15" s="8" t="s">
        <v>127</v>
      </c>
      <c r="R15" s="8"/>
      <c r="S15" s="14">
        <f t="shared" si="4"/>
        <v>180</v>
      </c>
      <c r="T15" s="14">
        <v>180000.0</v>
      </c>
      <c r="U15" s="11" t="s">
        <v>47</v>
      </c>
      <c r="V15" s="8" t="s">
        <v>90</v>
      </c>
      <c r="W15" s="11" t="s">
        <v>47</v>
      </c>
      <c r="X15" s="8" t="s">
        <v>128</v>
      </c>
      <c r="Y15" s="8" t="s">
        <v>73</v>
      </c>
      <c r="Z15" s="8"/>
      <c r="AA15" s="8" t="s">
        <v>129</v>
      </c>
      <c r="AB15" s="8" t="s">
        <v>130</v>
      </c>
      <c r="AC15" s="8" t="s">
        <v>54</v>
      </c>
      <c r="AD15" s="20" t="s">
        <v>74</v>
      </c>
      <c r="AE15" s="8" t="s">
        <v>54</v>
      </c>
      <c r="AF15" s="20" t="s">
        <v>74</v>
      </c>
      <c r="AG15" s="15"/>
      <c r="AH15" s="15"/>
      <c r="AI15" s="15"/>
      <c r="AJ15" s="15"/>
      <c r="AK15" s="11" t="s">
        <v>47</v>
      </c>
      <c r="AL15" s="18"/>
      <c r="AM15" s="15">
        <v>800000.0</v>
      </c>
      <c r="AN15" s="18"/>
      <c r="AO15" s="18"/>
      <c r="AP15" s="19">
        <f t="shared" si="2"/>
        <v>0</v>
      </c>
      <c r="AQ15" s="15" t="s">
        <v>47</v>
      </c>
      <c r="AR15" s="15" t="s">
        <v>47</v>
      </c>
    </row>
    <row r="16">
      <c r="A16" s="8" t="s">
        <v>131</v>
      </c>
      <c r="B16" s="9">
        <v>112.0</v>
      </c>
      <c r="C16" s="10">
        <v>45835.0</v>
      </c>
      <c r="D16" s="8" t="str">
        <f t="shared" si="1"/>
        <v>高雄</v>
      </c>
      <c r="E16" s="8" t="s">
        <v>132</v>
      </c>
      <c r="F16" s="8" t="s">
        <v>133</v>
      </c>
      <c r="G16" s="9">
        <v>5.0</v>
      </c>
      <c r="H16" s="11" t="s">
        <v>47</v>
      </c>
      <c r="I16" s="11" t="s">
        <v>47</v>
      </c>
      <c r="J16" s="11" t="s">
        <v>47</v>
      </c>
      <c r="K16" s="17">
        <v>1135.0</v>
      </c>
      <c r="L16" s="17">
        <v>1135.0</v>
      </c>
      <c r="M16" s="13" t="s">
        <v>47</v>
      </c>
      <c r="N16" s="8" t="s">
        <v>48</v>
      </c>
      <c r="O16" s="8" t="s">
        <v>48</v>
      </c>
      <c r="P16" s="8" t="s">
        <v>49</v>
      </c>
      <c r="Q16" s="8" t="s">
        <v>134</v>
      </c>
      <c r="R16" s="8" t="s">
        <v>51</v>
      </c>
      <c r="S16" s="14">
        <f t="shared" si="4"/>
        <v>90</v>
      </c>
      <c r="T16" s="14">
        <v>90000.0</v>
      </c>
      <c r="U16" s="11" t="s">
        <v>47</v>
      </c>
      <c r="V16" s="11" t="s">
        <v>47</v>
      </c>
      <c r="W16" s="11" t="s">
        <v>47</v>
      </c>
      <c r="X16" s="8" t="s">
        <v>135</v>
      </c>
      <c r="Y16" s="8" t="s">
        <v>53</v>
      </c>
      <c r="Z16" s="11" t="s">
        <v>47</v>
      </c>
      <c r="AA16" s="11" t="s">
        <v>47</v>
      </c>
      <c r="AB16" s="11" t="s">
        <v>47</v>
      </c>
      <c r="AC16" s="8" t="s">
        <v>54</v>
      </c>
      <c r="AD16" s="8" t="s">
        <v>54</v>
      </c>
      <c r="AE16" s="8" t="s">
        <v>54</v>
      </c>
      <c r="AF16" s="8" t="s">
        <v>54</v>
      </c>
      <c r="AG16" s="15">
        <v>12338.0</v>
      </c>
      <c r="AH16" s="15">
        <v>25350.0</v>
      </c>
      <c r="AI16" s="15">
        <v>0.0</v>
      </c>
      <c r="AJ16" s="15">
        <v>0.0</v>
      </c>
      <c r="AK16" s="11" t="s">
        <v>47</v>
      </c>
      <c r="AL16" s="15">
        <v>300000.0</v>
      </c>
      <c r="AM16" s="15">
        <v>50000.0</v>
      </c>
      <c r="AN16" s="9">
        <v>63473.0</v>
      </c>
      <c r="AO16" s="9">
        <v>63473.0</v>
      </c>
      <c r="AP16" s="19">
        <f t="shared" si="2"/>
        <v>0</v>
      </c>
      <c r="AQ16" s="15" t="s">
        <v>47</v>
      </c>
      <c r="AR16" s="15" t="s">
        <v>47</v>
      </c>
    </row>
    <row r="17">
      <c r="A17" s="8" t="s">
        <v>136</v>
      </c>
      <c r="B17" s="9">
        <v>112.0</v>
      </c>
      <c r="C17" s="10">
        <v>45838.0</v>
      </c>
      <c r="D17" s="8" t="str">
        <f t="shared" si="1"/>
        <v>基隆</v>
      </c>
      <c r="E17" s="8" t="s">
        <v>137</v>
      </c>
      <c r="F17" s="8" t="s">
        <v>56</v>
      </c>
      <c r="G17" s="9">
        <v>5.0</v>
      </c>
      <c r="H17" s="11" t="s">
        <v>47</v>
      </c>
      <c r="I17" s="11" t="s">
        <v>47</v>
      </c>
      <c r="J17" s="11" t="s">
        <v>47</v>
      </c>
      <c r="K17" s="12">
        <v>0.0</v>
      </c>
      <c r="L17" s="12">
        <v>0.0</v>
      </c>
      <c r="M17" s="13" t="s">
        <v>47</v>
      </c>
      <c r="N17" s="8" t="s">
        <v>48</v>
      </c>
      <c r="O17" s="8" t="s">
        <v>48</v>
      </c>
      <c r="P17" s="8" t="s">
        <v>49</v>
      </c>
      <c r="Q17" s="21" t="s">
        <v>138</v>
      </c>
      <c r="R17" s="8" t="s">
        <v>63</v>
      </c>
      <c r="S17" s="14"/>
      <c r="T17" s="8"/>
      <c r="U17" s="11" t="s">
        <v>47</v>
      </c>
      <c r="V17" s="11" t="s">
        <v>47</v>
      </c>
      <c r="W17" s="11" t="s">
        <v>47</v>
      </c>
      <c r="X17" s="8" t="s">
        <v>139</v>
      </c>
      <c r="Y17" s="8" t="s">
        <v>46</v>
      </c>
      <c r="Z17" s="11" t="s">
        <v>47</v>
      </c>
      <c r="AA17" s="11" t="s">
        <v>47</v>
      </c>
      <c r="AB17" s="11" t="s">
        <v>47</v>
      </c>
      <c r="AC17" s="11" t="s">
        <v>47</v>
      </c>
      <c r="AD17" s="11" t="s">
        <v>47</v>
      </c>
      <c r="AE17" s="11" t="s">
        <v>47</v>
      </c>
      <c r="AF17" s="11" t="s">
        <v>47</v>
      </c>
      <c r="AG17" s="15">
        <v>13621.0</v>
      </c>
      <c r="AH17" s="15">
        <v>50805.0</v>
      </c>
      <c r="AI17" s="15">
        <v>0.0</v>
      </c>
      <c r="AJ17" s="15">
        <v>0.0</v>
      </c>
      <c r="AK17" s="11" t="s">
        <v>47</v>
      </c>
      <c r="AL17" s="15">
        <v>10000.0</v>
      </c>
      <c r="AM17" s="15">
        <v>10000.0</v>
      </c>
      <c r="AN17" s="15">
        <v>23621.0</v>
      </c>
      <c r="AO17" s="15">
        <v>23621.0</v>
      </c>
      <c r="AP17" s="16">
        <f t="shared" si="2"/>
        <v>0</v>
      </c>
      <c r="AQ17" s="15" t="s">
        <v>47</v>
      </c>
      <c r="AR17" s="15" t="s">
        <v>47</v>
      </c>
    </row>
    <row r="18">
      <c r="A18" s="8" t="s">
        <v>140</v>
      </c>
      <c r="B18" s="9">
        <v>112.0</v>
      </c>
      <c r="C18" s="10">
        <v>45808.0</v>
      </c>
      <c r="D18" s="8" t="str">
        <f t="shared" si="1"/>
        <v>高雄</v>
      </c>
      <c r="E18" s="8" t="s">
        <v>141</v>
      </c>
      <c r="F18" s="8" t="s">
        <v>133</v>
      </c>
      <c r="G18" s="9">
        <v>5.0</v>
      </c>
      <c r="H18" s="11" t="s">
        <v>47</v>
      </c>
      <c r="I18" s="11" t="s">
        <v>47</v>
      </c>
      <c r="J18" s="11" t="s">
        <v>47</v>
      </c>
      <c r="K18" s="17">
        <v>2120.0</v>
      </c>
      <c r="L18" s="17">
        <v>4633.0</v>
      </c>
      <c r="M18" s="13" t="s">
        <v>47</v>
      </c>
      <c r="N18" s="8" t="s">
        <v>88</v>
      </c>
      <c r="O18" s="8" t="s">
        <v>88</v>
      </c>
      <c r="P18" s="8" t="s">
        <v>61</v>
      </c>
      <c r="Q18" s="8"/>
      <c r="R18" s="8"/>
      <c r="S18" s="14"/>
      <c r="T18" s="8"/>
      <c r="U18" s="11" t="s">
        <v>47</v>
      </c>
      <c r="V18" s="11" t="s">
        <v>47</v>
      </c>
      <c r="W18" s="11" t="s">
        <v>47</v>
      </c>
      <c r="X18" s="8" t="s">
        <v>142</v>
      </c>
      <c r="Y18" s="8" t="s">
        <v>53</v>
      </c>
      <c r="Z18" s="8" t="s">
        <v>54</v>
      </c>
      <c r="AA18" s="20" t="s">
        <v>74</v>
      </c>
      <c r="AB18" s="20" t="s">
        <v>74</v>
      </c>
      <c r="AC18" s="8" t="s">
        <v>54</v>
      </c>
      <c r="AD18" s="8" t="s">
        <v>54</v>
      </c>
      <c r="AE18" s="8" t="s">
        <v>54</v>
      </c>
      <c r="AF18" s="8" t="s">
        <v>54</v>
      </c>
      <c r="AG18" s="15">
        <v>4300.0</v>
      </c>
      <c r="AH18" s="15">
        <v>9700.0</v>
      </c>
      <c r="AI18" s="15">
        <v>540.0</v>
      </c>
      <c r="AJ18" s="15">
        <v>1120.0</v>
      </c>
      <c r="AK18" s="11" t="s">
        <v>47</v>
      </c>
      <c r="AL18" s="15">
        <v>30000.0</v>
      </c>
      <c r="AM18" s="15">
        <v>10000.0</v>
      </c>
      <c r="AN18" s="15">
        <v>18080.0</v>
      </c>
      <c r="AO18" s="15">
        <v>18080.0</v>
      </c>
      <c r="AP18" s="16">
        <f t="shared" si="2"/>
        <v>0</v>
      </c>
      <c r="AQ18" s="15" t="s">
        <v>47</v>
      </c>
      <c r="AR18" s="15" t="s">
        <v>47</v>
      </c>
    </row>
    <row r="19" hidden="1">
      <c r="A19" s="8" t="s">
        <v>143</v>
      </c>
      <c r="B19" s="9"/>
      <c r="C19" s="9"/>
      <c r="D19" s="8" t="str">
        <f t="shared" si="1"/>
        <v>新竹</v>
      </c>
      <c r="E19" s="8" t="s">
        <v>144</v>
      </c>
      <c r="F19" s="8"/>
      <c r="G19" s="18"/>
      <c r="H19" s="11" t="s">
        <v>47</v>
      </c>
      <c r="I19" s="11" t="s">
        <v>47</v>
      </c>
      <c r="J19" s="11" t="s">
        <v>47</v>
      </c>
      <c r="K19" s="12"/>
      <c r="L19" s="12"/>
      <c r="M19" s="13" t="s">
        <v>47</v>
      </c>
      <c r="N19" s="8" t="s">
        <v>48</v>
      </c>
      <c r="O19" s="8" t="s">
        <v>48</v>
      </c>
      <c r="P19" s="8" t="s">
        <v>61</v>
      </c>
      <c r="Q19" s="8"/>
      <c r="R19" s="8"/>
      <c r="S19" s="14">
        <f t="shared" ref="S19:S45" si="5">T:T/1000</f>
        <v>0</v>
      </c>
      <c r="T19" s="8"/>
      <c r="U19" s="11" t="s">
        <v>47</v>
      </c>
      <c r="V19" s="11" t="s">
        <v>47</v>
      </c>
      <c r="W19" s="11" t="s">
        <v>47</v>
      </c>
      <c r="X19" s="8" t="s">
        <v>145</v>
      </c>
      <c r="Y19" s="8"/>
      <c r="Z19" s="11" t="s">
        <v>47</v>
      </c>
      <c r="AB19" s="11" t="s">
        <v>47</v>
      </c>
      <c r="AC19" s="8" t="s">
        <v>54</v>
      </c>
      <c r="AD19" s="8" t="s">
        <v>54</v>
      </c>
      <c r="AE19" s="8" t="s">
        <v>54</v>
      </c>
      <c r="AF19" s="8" t="s">
        <v>54</v>
      </c>
      <c r="AG19" s="13"/>
      <c r="AH19" s="13"/>
      <c r="AI19" s="13"/>
      <c r="AJ19" s="13"/>
      <c r="AK19" s="11" t="s">
        <v>47</v>
      </c>
      <c r="AL19" s="18"/>
      <c r="AM19" s="15">
        <v>20000.0</v>
      </c>
      <c r="AN19" s="18"/>
      <c r="AO19" s="18"/>
      <c r="AP19" s="19">
        <f t="shared" si="2"/>
        <v>0</v>
      </c>
      <c r="AQ19" s="15" t="s">
        <v>47</v>
      </c>
      <c r="AR19" s="15" t="s">
        <v>47</v>
      </c>
    </row>
    <row r="20" hidden="1">
      <c r="A20" s="8" t="s">
        <v>146</v>
      </c>
      <c r="B20" s="9"/>
      <c r="C20" s="9"/>
      <c r="D20" s="8" t="str">
        <f t="shared" si="1"/>
        <v>新竹</v>
      </c>
      <c r="E20" s="8" t="s">
        <v>147</v>
      </c>
      <c r="F20" s="8"/>
      <c r="G20" s="18"/>
      <c r="H20" s="11" t="s">
        <v>47</v>
      </c>
      <c r="I20" s="11" t="s">
        <v>47</v>
      </c>
      <c r="J20" s="11" t="s">
        <v>47</v>
      </c>
      <c r="K20" s="12"/>
      <c r="L20" s="12"/>
      <c r="M20" s="13" t="s">
        <v>47</v>
      </c>
      <c r="N20" s="8" t="s">
        <v>120</v>
      </c>
      <c r="O20" s="8" t="s">
        <v>48</v>
      </c>
      <c r="P20" s="8" t="s">
        <v>148</v>
      </c>
      <c r="Q20" s="8"/>
      <c r="R20" s="8"/>
      <c r="S20" s="14">
        <f t="shared" si="5"/>
        <v>0</v>
      </c>
      <c r="T20" s="8"/>
      <c r="U20" s="11" t="s">
        <v>47</v>
      </c>
      <c r="V20" s="11" t="s">
        <v>47</v>
      </c>
      <c r="W20" s="11" t="s">
        <v>47</v>
      </c>
      <c r="X20" s="8" t="s">
        <v>149</v>
      </c>
      <c r="Y20" s="8"/>
      <c r="Z20" s="11" t="s">
        <v>47</v>
      </c>
      <c r="AA20" s="8" t="s">
        <v>150</v>
      </c>
      <c r="AB20" s="8" t="s">
        <v>151</v>
      </c>
      <c r="AC20" s="8" t="s">
        <v>54</v>
      </c>
      <c r="AD20" s="8" t="s">
        <v>54</v>
      </c>
      <c r="AE20" s="8" t="s">
        <v>54</v>
      </c>
      <c r="AF20" s="8" t="s">
        <v>54</v>
      </c>
      <c r="AG20" s="9"/>
      <c r="AH20" s="9"/>
      <c r="AI20" s="9"/>
      <c r="AJ20" s="9"/>
      <c r="AK20" s="11" t="s">
        <v>47</v>
      </c>
      <c r="AL20" s="18"/>
      <c r="AM20" s="9" t="s">
        <v>152</v>
      </c>
      <c r="AN20" s="18"/>
      <c r="AO20" s="18"/>
      <c r="AP20" s="19">
        <f t="shared" si="2"/>
        <v>0</v>
      </c>
      <c r="AQ20" s="15" t="s">
        <v>47</v>
      </c>
      <c r="AR20" s="15" t="s">
        <v>47</v>
      </c>
    </row>
    <row r="21">
      <c r="A21" s="8" t="s">
        <v>153</v>
      </c>
      <c r="B21" s="9">
        <v>112.0</v>
      </c>
      <c r="C21" s="10">
        <v>45765.0</v>
      </c>
      <c r="D21" s="8" t="str">
        <f t="shared" si="1"/>
        <v>高雄</v>
      </c>
      <c r="E21" s="8" t="s">
        <v>154</v>
      </c>
      <c r="F21" s="8" t="s">
        <v>73</v>
      </c>
      <c r="G21" s="9">
        <v>5.0</v>
      </c>
      <c r="H21" s="11" t="s">
        <v>47</v>
      </c>
      <c r="I21" s="11" t="s">
        <v>47</v>
      </c>
      <c r="J21" s="11" t="s">
        <v>47</v>
      </c>
      <c r="K21" s="17">
        <v>1090.0</v>
      </c>
      <c r="L21" s="17">
        <v>1090.0</v>
      </c>
      <c r="M21" s="13" t="s">
        <v>47</v>
      </c>
      <c r="N21" s="8" t="s">
        <v>48</v>
      </c>
      <c r="O21" s="8" t="s">
        <v>48</v>
      </c>
      <c r="P21" s="8" t="s">
        <v>49</v>
      </c>
      <c r="Q21" s="8" t="s">
        <v>155</v>
      </c>
      <c r="R21" s="8" t="s">
        <v>51</v>
      </c>
      <c r="S21" s="14">
        <f t="shared" si="5"/>
        <v>120</v>
      </c>
      <c r="T21" s="14">
        <v>120000.0</v>
      </c>
      <c r="U21" s="11" t="s">
        <v>47</v>
      </c>
      <c r="V21" s="11" t="s">
        <v>47</v>
      </c>
      <c r="W21" s="11" t="s">
        <v>47</v>
      </c>
      <c r="X21" s="8" t="s">
        <v>156</v>
      </c>
      <c r="Y21" s="8" t="s">
        <v>53</v>
      </c>
      <c r="Z21" s="8" t="s">
        <v>54</v>
      </c>
      <c r="AA21" s="8" t="s">
        <v>55</v>
      </c>
      <c r="AB21" s="8" t="s">
        <v>70</v>
      </c>
      <c r="AC21" s="8" t="s">
        <v>54</v>
      </c>
      <c r="AD21" s="8" t="s">
        <v>54</v>
      </c>
      <c r="AE21" s="8" t="s">
        <v>54</v>
      </c>
      <c r="AF21" s="8" t="s">
        <v>54</v>
      </c>
      <c r="AG21" s="15">
        <v>0.0</v>
      </c>
      <c r="AH21" s="15">
        <v>0.0</v>
      </c>
      <c r="AI21" s="15">
        <v>0.0</v>
      </c>
      <c r="AJ21" s="15">
        <v>0.0</v>
      </c>
      <c r="AK21" s="11" t="s">
        <v>47</v>
      </c>
      <c r="AL21" s="15">
        <v>100000.0</v>
      </c>
      <c r="AM21" s="15">
        <v>20000.0</v>
      </c>
      <c r="AN21" s="15">
        <v>21090.0</v>
      </c>
      <c r="AO21" s="15">
        <v>21090.0</v>
      </c>
      <c r="AP21" s="16">
        <f t="shared" si="2"/>
        <v>0</v>
      </c>
      <c r="AQ21" s="15" t="s">
        <v>47</v>
      </c>
      <c r="AR21" s="15" t="s">
        <v>47</v>
      </c>
    </row>
    <row r="22" hidden="1">
      <c r="A22" s="8" t="s">
        <v>157</v>
      </c>
      <c r="B22" s="9"/>
      <c r="C22" s="9"/>
      <c r="D22" s="8" t="str">
        <f t="shared" si="1"/>
        <v>新竹</v>
      </c>
      <c r="E22" s="8" t="s">
        <v>144</v>
      </c>
      <c r="F22" s="8"/>
      <c r="G22" s="18"/>
      <c r="H22" s="11" t="s">
        <v>47</v>
      </c>
      <c r="I22" s="11" t="s">
        <v>47</v>
      </c>
      <c r="J22" s="11" t="s">
        <v>47</v>
      </c>
      <c r="K22" s="12"/>
      <c r="L22" s="12"/>
      <c r="M22" s="13" t="s">
        <v>47</v>
      </c>
      <c r="N22" s="8" t="s">
        <v>48</v>
      </c>
      <c r="O22" s="8" t="s">
        <v>158</v>
      </c>
      <c r="P22" s="8" t="s">
        <v>61</v>
      </c>
      <c r="Q22" s="8"/>
      <c r="R22" s="8"/>
      <c r="S22" s="14">
        <f t="shared" si="5"/>
        <v>0</v>
      </c>
      <c r="T22" s="8"/>
      <c r="U22" s="11" t="s">
        <v>47</v>
      </c>
      <c r="V22" s="11" t="s">
        <v>47</v>
      </c>
      <c r="W22" s="11" t="s">
        <v>47</v>
      </c>
      <c r="X22" s="8" t="s">
        <v>159</v>
      </c>
      <c r="Y22" s="8"/>
      <c r="Z22" s="11"/>
      <c r="AA22" s="8" t="s">
        <v>63</v>
      </c>
      <c r="AB22" s="8" t="s">
        <v>63</v>
      </c>
      <c r="AC22" s="8" t="s">
        <v>54</v>
      </c>
      <c r="AD22" s="11" t="s">
        <v>47</v>
      </c>
      <c r="AE22" s="8" t="s">
        <v>54</v>
      </c>
      <c r="AF22" s="11" t="s">
        <v>47</v>
      </c>
      <c r="AG22" s="13"/>
      <c r="AH22" s="13"/>
      <c r="AI22" s="13"/>
      <c r="AJ22" s="13"/>
      <c r="AK22" s="11" t="s">
        <v>47</v>
      </c>
      <c r="AL22" s="18"/>
      <c r="AM22" s="9">
        <v>0.0</v>
      </c>
      <c r="AN22" s="18"/>
      <c r="AO22" s="18"/>
      <c r="AP22" s="19">
        <f t="shared" si="2"/>
        <v>0</v>
      </c>
      <c r="AQ22" s="15" t="s">
        <v>47</v>
      </c>
      <c r="AR22" s="15" t="s">
        <v>47</v>
      </c>
    </row>
    <row r="23" hidden="1">
      <c r="A23" s="8" t="s">
        <v>160</v>
      </c>
      <c r="B23" s="9"/>
      <c r="C23" s="9"/>
      <c r="D23" s="8" t="str">
        <f t="shared" si="1"/>
        <v>嘉義</v>
      </c>
      <c r="E23" s="8" t="s">
        <v>144</v>
      </c>
      <c r="F23" s="8"/>
      <c r="G23" s="18"/>
      <c r="H23" s="11" t="s">
        <v>47</v>
      </c>
      <c r="I23" s="11" t="s">
        <v>47</v>
      </c>
      <c r="J23" s="11" t="s">
        <v>47</v>
      </c>
      <c r="K23" s="12"/>
      <c r="L23" s="12"/>
      <c r="M23" s="13" t="s">
        <v>47</v>
      </c>
      <c r="N23" s="8" t="s">
        <v>48</v>
      </c>
      <c r="O23" s="8" t="s">
        <v>48</v>
      </c>
      <c r="P23" s="8" t="s">
        <v>61</v>
      </c>
      <c r="Q23" s="8"/>
      <c r="R23" s="8"/>
      <c r="S23" s="14">
        <f t="shared" si="5"/>
        <v>0</v>
      </c>
      <c r="T23" s="8"/>
      <c r="U23" s="11" t="s">
        <v>47</v>
      </c>
      <c r="V23" s="11" t="s">
        <v>47</v>
      </c>
      <c r="W23" s="11" t="s">
        <v>47</v>
      </c>
      <c r="X23" s="8" t="s">
        <v>161</v>
      </c>
      <c r="Y23" s="8"/>
      <c r="Z23" s="11"/>
      <c r="AA23" s="8" t="s">
        <v>63</v>
      </c>
      <c r="AB23" s="8" t="s">
        <v>63</v>
      </c>
      <c r="AC23" s="8" t="s">
        <v>54</v>
      </c>
      <c r="AD23" s="11" t="s">
        <v>47</v>
      </c>
      <c r="AE23" s="8" t="s">
        <v>54</v>
      </c>
      <c r="AF23" s="11" t="s">
        <v>47</v>
      </c>
      <c r="AG23" s="13"/>
      <c r="AH23" s="13"/>
      <c r="AI23" s="13"/>
      <c r="AJ23" s="13"/>
      <c r="AK23" s="11" t="s">
        <v>47</v>
      </c>
      <c r="AL23" s="18"/>
      <c r="AM23" s="9">
        <v>0.0</v>
      </c>
      <c r="AN23" s="18"/>
      <c r="AO23" s="18"/>
      <c r="AP23" s="19">
        <f t="shared" si="2"/>
        <v>0</v>
      </c>
      <c r="AQ23" s="15" t="s">
        <v>47</v>
      </c>
      <c r="AR23" s="15" t="s">
        <v>47</v>
      </c>
    </row>
    <row r="24">
      <c r="A24" s="8" t="s">
        <v>162</v>
      </c>
      <c r="B24" s="9">
        <v>112.0</v>
      </c>
      <c r="C24" s="10">
        <v>45803.0</v>
      </c>
      <c r="D24" s="8" t="str">
        <f t="shared" si="1"/>
        <v>高雄</v>
      </c>
      <c r="E24" s="8" t="s">
        <v>163</v>
      </c>
      <c r="F24" s="8" t="s">
        <v>70</v>
      </c>
      <c r="G24" s="9">
        <v>5.0</v>
      </c>
      <c r="H24" s="11" t="s">
        <v>47</v>
      </c>
      <c r="I24" s="11" t="s">
        <v>47</v>
      </c>
      <c r="J24" s="11" t="s">
        <v>47</v>
      </c>
      <c r="K24" s="12">
        <v>747.0</v>
      </c>
      <c r="L24" s="12">
        <v>747.0</v>
      </c>
      <c r="M24" s="13" t="s">
        <v>47</v>
      </c>
      <c r="N24" s="8" t="s">
        <v>48</v>
      </c>
      <c r="O24" s="8" t="s">
        <v>48</v>
      </c>
      <c r="P24" s="8" t="s">
        <v>49</v>
      </c>
      <c r="Q24" s="8" t="s">
        <v>164</v>
      </c>
      <c r="R24" s="8" t="s">
        <v>51</v>
      </c>
      <c r="S24" s="14">
        <f t="shared" si="5"/>
        <v>120</v>
      </c>
      <c r="T24" s="14">
        <v>120000.0</v>
      </c>
      <c r="U24" s="11" t="s">
        <v>47</v>
      </c>
      <c r="V24" s="11" t="s">
        <v>47</v>
      </c>
      <c r="W24" s="11" t="s">
        <v>47</v>
      </c>
      <c r="X24" s="8" t="s">
        <v>105</v>
      </c>
      <c r="Y24" s="8" t="s">
        <v>73</v>
      </c>
      <c r="Z24" s="8" t="s">
        <v>54</v>
      </c>
      <c r="AA24" s="8" t="s">
        <v>55</v>
      </c>
      <c r="AB24" s="20" t="s">
        <v>74</v>
      </c>
      <c r="AC24" s="8" t="s">
        <v>54</v>
      </c>
      <c r="AD24" s="8" t="s">
        <v>54</v>
      </c>
      <c r="AE24" s="8" t="s">
        <v>54</v>
      </c>
      <c r="AF24" s="8" t="s">
        <v>54</v>
      </c>
      <c r="AG24" s="15" t="s">
        <v>165</v>
      </c>
      <c r="AH24" s="15">
        <v>20000.0</v>
      </c>
      <c r="AI24" s="15">
        <v>0.0</v>
      </c>
      <c r="AJ24" s="15">
        <v>0.0</v>
      </c>
      <c r="AK24" s="11" t="s">
        <v>47</v>
      </c>
      <c r="AL24" s="15">
        <v>80000.0</v>
      </c>
      <c r="AM24" s="15">
        <v>60000.0</v>
      </c>
      <c r="AN24" s="15">
        <v>71435.0</v>
      </c>
      <c r="AO24" s="15">
        <v>71435.0</v>
      </c>
      <c r="AP24" s="16">
        <f t="shared" si="2"/>
        <v>0</v>
      </c>
      <c r="AQ24" s="15" t="s">
        <v>47</v>
      </c>
      <c r="AR24" s="15" t="s">
        <v>47</v>
      </c>
    </row>
    <row r="25">
      <c r="A25" s="8" t="s">
        <v>166</v>
      </c>
      <c r="B25" s="9">
        <v>112.0</v>
      </c>
      <c r="C25" s="10">
        <v>45801.0</v>
      </c>
      <c r="D25" s="8" t="str">
        <f t="shared" si="1"/>
        <v>高雄</v>
      </c>
      <c r="E25" s="8" t="s">
        <v>167</v>
      </c>
      <c r="F25" s="8" t="s">
        <v>56</v>
      </c>
      <c r="G25" s="9">
        <v>3.0</v>
      </c>
      <c r="H25" s="11" t="s">
        <v>47</v>
      </c>
      <c r="I25" s="11" t="s">
        <v>47</v>
      </c>
      <c r="J25" s="11" t="s">
        <v>47</v>
      </c>
      <c r="K25" s="17">
        <v>70417.0</v>
      </c>
      <c r="L25" s="17">
        <v>70417.0</v>
      </c>
      <c r="M25" s="13" t="s">
        <v>47</v>
      </c>
      <c r="N25" s="8" t="s">
        <v>48</v>
      </c>
      <c r="O25" s="8" t="s">
        <v>48</v>
      </c>
      <c r="P25" s="8" t="s">
        <v>49</v>
      </c>
      <c r="Q25" s="8" t="s">
        <v>168</v>
      </c>
      <c r="R25" s="8" t="s">
        <v>51</v>
      </c>
      <c r="S25" s="14">
        <f t="shared" si="5"/>
        <v>120</v>
      </c>
      <c r="T25" s="14">
        <v>120000.0</v>
      </c>
      <c r="U25" s="11" t="s">
        <v>47</v>
      </c>
      <c r="V25" s="11" t="s">
        <v>47</v>
      </c>
      <c r="W25" s="11" t="s">
        <v>47</v>
      </c>
      <c r="X25" s="8" t="s">
        <v>169</v>
      </c>
      <c r="Y25" s="8" t="s">
        <v>56</v>
      </c>
      <c r="Z25" s="8" t="s">
        <v>54</v>
      </c>
      <c r="AA25" s="20" t="s">
        <v>74</v>
      </c>
      <c r="AB25" s="20" t="s">
        <v>74</v>
      </c>
      <c r="AC25" s="8" t="s">
        <v>54</v>
      </c>
      <c r="AD25" s="8" t="s">
        <v>54</v>
      </c>
      <c r="AE25" s="8" t="s">
        <v>54</v>
      </c>
      <c r="AF25" s="8" t="s">
        <v>54</v>
      </c>
      <c r="AG25" s="15">
        <v>13728.0</v>
      </c>
      <c r="AH25" s="15">
        <v>24410.0</v>
      </c>
      <c r="AI25" s="15">
        <v>0.0</v>
      </c>
      <c r="AJ25" s="15">
        <v>414000.0</v>
      </c>
      <c r="AK25" s="11" t="s">
        <v>47</v>
      </c>
      <c r="AL25" s="20" t="s">
        <v>170</v>
      </c>
      <c r="AM25" s="15">
        <v>50000.0</v>
      </c>
      <c r="AN25" s="15">
        <v>548145.0</v>
      </c>
      <c r="AO25" s="15">
        <v>548145.0</v>
      </c>
      <c r="AP25" s="16">
        <f t="shared" si="2"/>
        <v>0</v>
      </c>
      <c r="AQ25" s="15" t="s">
        <v>47</v>
      </c>
      <c r="AR25" s="15" t="s">
        <v>47</v>
      </c>
    </row>
    <row r="26">
      <c r="A26" s="8" t="s">
        <v>171</v>
      </c>
      <c r="B26" s="9">
        <v>112.0</v>
      </c>
      <c r="C26" s="10">
        <v>45898.0</v>
      </c>
      <c r="D26" s="8" t="str">
        <f t="shared" si="1"/>
        <v>高雄</v>
      </c>
      <c r="E26" s="8" t="s">
        <v>172</v>
      </c>
      <c r="F26" s="8" t="s">
        <v>46</v>
      </c>
      <c r="G26" s="9">
        <v>5.0</v>
      </c>
      <c r="H26" s="11" t="s">
        <v>47</v>
      </c>
      <c r="I26" s="11" t="s">
        <v>47</v>
      </c>
      <c r="J26" s="11" t="s">
        <v>47</v>
      </c>
      <c r="K26" s="12">
        <v>500.0</v>
      </c>
      <c r="L26" s="12">
        <v>500.0</v>
      </c>
      <c r="M26" s="13" t="s">
        <v>47</v>
      </c>
      <c r="N26" s="8" t="s">
        <v>88</v>
      </c>
      <c r="O26" s="8" t="s">
        <v>48</v>
      </c>
      <c r="P26" s="8" t="s">
        <v>49</v>
      </c>
      <c r="Q26" s="8" t="s">
        <v>173</v>
      </c>
      <c r="R26" s="8" t="s">
        <v>51</v>
      </c>
      <c r="S26" s="14">
        <f t="shared" si="5"/>
        <v>55</v>
      </c>
      <c r="T26" s="14">
        <v>55000.0</v>
      </c>
      <c r="U26" s="11" t="s">
        <v>47</v>
      </c>
      <c r="V26" s="11" t="s">
        <v>47</v>
      </c>
      <c r="W26" s="11" t="s">
        <v>47</v>
      </c>
      <c r="X26" s="8" t="s">
        <v>174</v>
      </c>
      <c r="Y26" s="8" t="s">
        <v>53</v>
      </c>
      <c r="Z26" s="8" t="s">
        <v>54</v>
      </c>
      <c r="AA26" s="8" t="s">
        <v>55</v>
      </c>
      <c r="AB26" s="20" t="s">
        <v>74</v>
      </c>
      <c r="AC26" s="8" t="s">
        <v>54</v>
      </c>
      <c r="AD26" s="8" t="s">
        <v>54</v>
      </c>
      <c r="AE26" s="11" t="s">
        <v>47</v>
      </c>
      <c r="AF26" s="11" t="s">
        <v>47</v>
      </c>
      <c r="AG26" s="15">
        <v>200000.0</v>
      </c>
      <c r="AH26" s="15">
        <v>200000.0</v>
      </c>
      <c r="AI26" s="15">
        <f>30000+6000</f>
        <v>36000</v>
      </c>
      <c r="AJ26" s="15">
        <v>4782.0</v>
      </c>
      <c r="AK26" s="11" t="s">
        <v>47</v>
      </c>
      <c r="AL26" s="15">
        <v>50000.0</v>
      </c>
      <c r="AM26" s="15">
        <v>20000.0</v>
      </c>
      <c r="AN26" s="15">
        <v>261282.0</v>
      </c>
      <c r="AO26" s="15">
        <v>261282.0</v>
      </c>
      <c r="AP26" s="16">
        <f t="shared" si="2"/>
        <v>0</v>
      </c>
      <c r="AQ26" s="15" t="s">
        <v>47</v>
      </c>
      <c r="AR26" s="15" t="s">
        <v>47</v>
      </c>
    </row>
    <row r="27">
      <c r="A27" s="8" t="s">
        <v>175</v>
      </c>
      <c r="B27" s="9">
        <v>112.0</v>
      </c>
      <c r="C27" s="10">
        <v>45789.0</v>
      </c>
      <c r="D27" s="8" t="str">
        <f t="shared" si="1"/>
        <v>苗栗</v>
      </c>
      <c r="E27" s="8" t="s">
        <v>176</v>
      </c>
      <c r="F27" s="8" t="s">
        <v>70</v>
      </c>
      <c r="G27" s="9">
        <v>3.0</v>
      </c>
      <c r="H27" s="11" t="s">
        <v>47</v>
      </c>
      <c r="I27" s="11" t="s">
        <v>47</v>
      </c>
      <c r="J27" s="11" t="s">
        <v>47</v>
      </c>
      <c r="K27" s="17">
        <v>32956.0</v>
      </c>
      <c r="L27" s="17">
        <v>32956.0</v>
      </c>
      <c r="M27" s="13" t="s">
        <v>47</v>
      </c>
      <c r="N27" s="8" t="s">
        <v>88</v>
      </c>
      <c r="O27" s="8" t="s">
        <v>48</v>
      </c>
      <c r="P27" s="8" t="s">
        <v>49</v>
      </c>
      <c r="Q27" s="8" t="s">
        <v>177</v>
      </c>
      <c r="R27" s="8" t="s">
        <v>51</v>
      </c>
      <c r="S27" s="14">
        <f t="shared" si="5"/>
        <v>55</v>
      </c>
      <c r="T27" s="14">
        <v>55000.0</v>
      </c>
      <c r="U27" s="11" t="s">
        <v>47</v>
      </c>
      <c r="V27" s="11" t="s">
        <v>47</v>
      </c>
      <c r="W27" s="11" t="s">
        <v>47</v>
      </c>
      <c r="X27" s="8" t="s">
        <v>178</v>
      </c>
      <c r="Y27" s="8" t="s">
        <v>73</v>
      </c>
      <c r="Z27" s="8" t="s">
        <v>54</v>
      </c>
      <c r="AA27" s="8" t="s">
        <v>70</v>
      </c>
      <c r="AB27" s="8" t="s">
        <v>56</v>
      </c>
      <c r="AC27" s="8" t="s">
        <v>54</v>
      </c>
      <c r="AD27" s="8" t="s">
        <v>54</v>
      </c>
      <c r="AE27" s="8" t="s">
        <v>54</v>
      </c>
      <c r="AF27" s="8" t="s">
        <v>54</v>
      </c>
      <c r="AG27" s="9">
        <v>0.0</v>
      </c>
      <c r="AH27" s="9">
        <v>0.0</v>
      </c>
      <c r="AI27" s="15">
        <v>144000.0</v>
      </c>
      <c r="AJ27" s="15">
        <v>75750.0</v>
      </c>
      <c r="AK27" s="11" t="s">
        <v>47</v>
      </c>
      <c r="AL27" s="15">
        <v>300000.0</v>
      </c>
      <c r="AM27" s="15">
        <v>70000.0</v>
      </c>
      <c r="AN27" s="15">
        <v>318956.0</v>
      </c>
      <c r="AO27" s="15">
        <v>318956.0</v>
      </c>
      <c r="AP27" s="16">
        <f t="shared" si="2"/>
        <v>0</v>
      </c>
      <c r="AQ27" s="15" t="s">
        <v>47</v>
      </c>
      <c r="AR27" s="15" t="s">
        <v>47</v>
      </c>
    </row>
    <row r="28">
      <c r="A28" s="8" t="s">
        <v>179</v>
      </c>
      <c r="B28" s="9">
        <v>112.0</v>
      </c>
      <c r="C28" s="10">
        <v>45891.0</v>
      </c>
      <c r="D28" s="8" t="str">
        <f t="shared" si="1"/>
        <v>苗栗</v>
      </c>
      <c r="E28" s="8" t="s">
        <v>180</v>
      </c>
      <c r="F28" s="8" t="s">
        <v>46</v>
      </c>
      <c r="G28" s="9">
        <v>3.0</v>
      </c>
      <c r="H28" s="8" t="s">
        <v>181</v>
      </c>
      <c r="I28" s="11" t="s">
        <v>47</v>
      </c>
      <c r="J28" s="11" t="s">
        <v>47</v>
      </c>
      <c r="K28" s="17">
        <v>62197.0</v>
      </c>
      <c r="L28" s="17">
        <v>62197.0</v>
      </c>
      <c r="M28" s="13" t="s">
        <v>47</v>
      </c>
      <c r="N28" s="8" t="s">
        <v>88</v>
      </c>
      <c r="O28" s="8" t="s">
        <v>88</v>
      </c>
      <c r="P28" s="8" t="s">
        <v>49</v>
      </c>
      <c r="Q28" s="8" t="s">
        <v>182</v>
      </c>
      <c r="R28" s="8" t="s">
        <v>51</v>
      </c>
      <c r="S28" s="14">
        <f t="shared" si="5"/>
        <v>90</v>
      </c>
      <c r="T28" s="14">
        <v>90000.0</v>
      </c>
      <c r="U28" s="11" t="s">
        <v>47</v>
      </c>
      <c r="V28" s="11" t="s">
        <v>47</v>
      </c>
      <c r="W28" s="11" t="s">
        <v>47</v>
      </c>
      <c r="X28" s="8" t="s">
        <v>183</v>
      </c>
      <c r="Y28" s="8" t="s">
        <v>53</v>
      </c>
      <c r="Z28" s="8" t="s">
        <v>54</v>
      </c>
      <c r="AA28" s="8" t="s">
        <v>56</v>
      </c>
      <c r="AB28" s="8" t="s">
        <v>55</v>
      </c>
      <c r="AC28" s="8" t="s">
        <v>54</v>
      </c>
      <c r="AD28" s="8" t="s">
        <v>54</v>
      </c>
      <c r="AE28" s="8" t="s">
        <v>54</v>
      </c>
      <c r="AF28" s="8" t="s">
        <v>54</v>
      </c>
      <c r="AG28" s="17">
        <v>3840.0</v>
      </c>
      <c r="AH28" s="17">
        <v>11400.0</v>
      </c>
      <c r="AI28" s="17">
        <f>170000+7120+3000</f>
        <v>180120</v>
      </c>
      <c r="AJ28" s="17">
        <v>0.0</v>
      </c>
      <c r="AK28" s="11" t="s">
        <v>47</v>
      </c>
      <c r="AL28" s="15">
        <v>1000000.0</v>
      </c>
      <c r="AM28" s="15">
        <v>350000.0</v>
      </c>
      <c r="AN28" s="15">
        <v>417310.0</v>
      </c>
      <c r="AO28" s="15">
        <v>417310.0</v>
      </c>
      <c r="AP28" s="16">
        <f t="shared" si="2"/>
        <v>0</v>
      </c>
      <c r="AQ28" s="15" t="s">
        <v>47</v>
      </c>
      <c r="AR28" s="15" t="s">
        <v>47</v>
      </c>
    </row>
    <row r="29">
      <c r="A29" s="8" t="s">
        <v>184</v>
      </c>
      <c r="B29" s="9">
        <v>112.0</v>
      </c>
      <c r="C29" s="10">
        <v>45806.0</v>
      </c>
      <c r="D29" s="8" t="str">
        <f t="shared" si="1"/>
        <v>士林</v>
      </c>
      <c r="E29" s="8" t="s">
        <v>185</v>
      </c>
      <c r="F29" s="8" t="s">
        <v>186</v>
      </c>
      <c r="G29" s="9">
        <v>3.0</v>
      </c>
      <c r="H29" s="11" t="s">
        <v>47</v>
      </c>
      <c r="I29" s="11" t="s">
        <v>47</v>
      </c>
      <c r="J29" s="11" t="s">
        <v>47</v>
      </c>
      <c r="K29" s="17">
        <v>34490.0</v>
      </c>
      <c r="L29" s="17">
        <v>34490.0</v>
      </c>
      <c r="M29" s="13" t="s">
        <v>47</v>
      </c>
      <c r="N29" s="8" t="s">
        <v>88</v>
      </c>
      <c r="O29" s="8" t="s">
        <v>48</v>
      </c>
      <c r="P29" s="8" t="s">
        <v>49</v>
      </c>
      <c r="Q29" s="8" t="s">
        <v>187</v>
      </c>
      <c r="R29" s="8" t="s">
        <v>51</v>
      </c>
      <c r="S29" s="14">
        <f t="shared" si="5"/>
        <v>60</v>
      </c>
      <c r="T29" s="14">
        <v>60000.0</v>
      </c>
      <c r="U29" s="11" t="s">
        <v>47</v>
      </c>
      <c r="V29" s="11" t="s">
        <v>47</v>
      </c>
      <c r="W29" s="11" t="s">
        <v>47</v>
      </c>
      <c r="X29" s="8" t="s">
        <v>188</v>
      </c>
      <c r="Y29" s="8" t="s">
        <v>53</v>
      </c>
      <c r="Z29" s="8" t="s">
        <v>54</v>
      </c>
      <c r="AA29" s="8" t="s">
        <v>70</v>
      </c>
      <c r="AB29" s="8" t="s">
        <v>56</v>
      </c>
      <c r="AC29" s="8" t="s">
        <v>54</v>
      </c>
      <c r="AD29" s="8" t="s">
        <v>54</v>
      </c>
      <c r="AE29" s="8" t="s">
        <v>54</v>
      </c>
      <c r="AF29" s="8" t="s">
        <v>54</v>
      </c>
      <c r="AG29" s="17">
        <v>0.0</v>
      </c>
      <c r="AH29" s="17">
        <v>0.0</v>
      </c>
      <c r="AI29" s="17">
        <v>42000.0</v>
      </c>
      <c r="AJ29" s="17">
        <f>204750+8300</f>
        <v>213050</v>
      </c>
      <c r="AK29" s="11" t="s">
        <v>47</v>
      </c>
      <c r="AL29" s="20" t="s">
        <v>170</v>
      </c>
      <c r="AM29" s="15">
        <v>100000.0</v>
      </c>
      <c r="AN29" s="15">
        <v>404065.0</v>
      </c>
      <c r="AO29" s="15">
        <v>404065.0</v>
      </c>
      <c r="AP29" s="16">
        <f t="shared" si="2"/>
        <v>0</v>
      </c>
      <c r="AQ29" s="15" t="s">
        <v>47</v>
      </c>
      <c r="AR29" s="15" t="s">
        <v>47</v>
      </c>
    </row>
    <row r="30" hidden="1">
      <c r="A30" s="8" t="s">
        <v>189</v>
      </c>
      <c r="B30" s="9"/>
      <c r="C30" s="9"/>
      <c r="D30" s="8" t="str">
        <f t="shared" si="1"/>
        <v>嘉義</v>
      </c>
      <c r="E30" s="8" t="s">
        <v>144</v>
      </c>
      <c r="F30" s="8"/>
      <c r="G30" s="18"/>
      <c r="H30" s="11" t="s">
        <v>47</v>
      </c>
      <c r="I30" s="11" t="s">
        <v>47</v>
      </c>
      <c r="J30" s="11" t="s">
        <v>47</v>
      </c>
      <c r="K30" s="12"/>
      <c r="L30" s="12"/>
      <c r="M30" s="13" t="s">
        <v>47</v>
      </c>
      <c r="N30" s="8" t="s">
        <v>88</v>
      </c>
      <c r="O30" s="8" t="s">
        <v>88</v>
      </c>
      <c r="P30" s="8" t="s">
        <v>49</v>
      </c>
      <c r="Q30" s="8"/>
      <c r="R30" s="8"/>
      <c r="S30" s="14">
        <f t="shared" si="5"/>
        <v>0</v>
      </c>
      <c r="T30" s="8"/>
      <c r="U30" s="11" t="s">
        <v>47</v>
      </c>
      <c r="V30" s="11" t="s">
        <v>47</v>
      </c>
      <c r="W30" s="11" t="s">
        <v>47</v>
      </c>
      <c r="X30" s="8" t="s">
        <v>190</v>
      </c>
      <c r="Y30" s="8"/>
      <c r="Z30" s="8" t="s">
        <v>54</v>
      </c>
      <c r="AA30" s="8" t="s">
        <v>63</v>
      </c>
      <c r="AB30" s="8" t="s">
        <v>63</v>
      </c>
      <c r="AC30" s="8" t="s">
        <v>54</v>
      </c>
      <c r="AD30" s="11" t="s">
        <v>47</v>
      </c>
      <c r="AE30" s="8" t="s">
        <v>54</v>
      </c>
      <c r="AF30" s="11" t="s">
        <v>47</v>
      </c>
      <c r="AG30" s="22">
        <v>750.0</v>
      </c>
      <c r="AH30" s="13"/>
      <c r="AI30" s="13"/>
      <c r="AJ30" s="13"/>
      <c r="AK30" s="11" t="s">
        <v>47</v>
      </c>
      <c r="AL30" s="18"/>
      <c r="AM30" s="9">
        <v>0.0</v>
      </c>
      <c r="AN30" s="18"/>
      <c r="AO30" s="18"/>
      <c r="AP30" s="19">
        <f t="shared" si="2"/>
        <v>0</v>
      </c>
      <c r="AQ30" s="15" t="s">
        <v>47</v>
      </c>
      <c r="AR30" s="15" t="s">
        <v>47</v>
      </c>
    </row>
    <row r="31">
      <c r="A31" s="8" t="s">
        <v>191</v>
      </c>
      <c r="B31" s="9">
        <v>112.0</v>
      </c>
      <c r="C31" s="10">
        <v>45789.0</v>
      </c>
      <c r="D31" s="8" t="str">
        <f t="shared" si="1"/>
        <v>南投</v>
      </c>
      <c r="E31" s="8" t="s">
        <v>192</v>
      </c>
      <c r="F31" s="8" t="s">
        <v>46</v>
      </c>
      <c r="G31" s="9">
        <v>4.0</v>
      </c>
      <c r="H31" s="11" t="s">
        <v>47</v>
      </c>
      <c r="I31" s="11" t="s">
        <v>47</v>
      </c>
      <c r="J31" s="11" t="s">
        <v>47</v>
      </c>
      <c r="K31" s="17">
        <v>280.0</v>
      </c>
      <c r="L31" s="17">
        <v>280.0</v>
      </c>
      <c r="M31" s="13" t="s">
        <v>47</v>
      </c>
      <c r="N31" s="8" t="s">
        <v>48</v>
      </c>
      <c r="O31" s="8" t="s">
        <v>48</v>
      </c>
      <c r="P31" s="8" t="s">
        <v>49</v>
      </c>
      <c r="Q31" s="8" t="s">
        <v>193</v>
      </c>
      <c r="R31" s="8" t="s">
        <v>51</v>
      </c>
      <c r="S31" s="14">
        <f t="shared" si="5"/>
        <v>15</v>
      </c>
      <c r="T31" s="14">
        <v>15000.0</v>
      </c>
      <c r="U31" s="11" t="s">
        <v>47</v>
      </c>
      <c r="V31" s="11" t="s">
        <v>47</v>
      </c>
      <c r="W31" s="11" t="s">
        <v>47</v>
      </c>
      <c r="X31" s="8" t="s">
        <v>194</v>
      </c>
      <c r="Y31" s="8" t="s">
        <v>56</v>
      </c>
      <c r="Z31" s="8" t="s">
        <v>54</v>
      </c>
      <c r="AA31" s="20" t="s">
        <v>74</v>
      </c>
      <c r="AB31" s="20" t="s">
        <v>74</v>
      </c>
      <c r="AC31" s="8" t="s">
        <v>54</v>
      </c>
      <c r="AD31" s="8" t="s">
        <v>54</v>
      </c>
      <c r="AE31" s="8" t="s">
        <v>54</v>
      </c>
      <c r="AF31" s="8" t="s">
        <v>54</v>
      </c>
      <c r="AG31" s="17">
        <v>19540.0</v>
      </c>
      <c r="AH31" s="17">
        <v>46000.0</v>
      </c>
      <c r="AI31" s="17">
        <v>8380.0</v>
      </c>
      <c r="AJ31" s="17">
        <v>0.0</v>
      </c>
      <c r="AK31" s="11" t="s">
        <v>47</v>
      </c>
      <c r="AL31" s="15">
        <v>200000.0</v>
      </c>
      <c r="AM31" s="15">
        <v>20000.0</v>
      </c>
      <c r="AN31" s="15">
        <v>48200.0</v>
      </c>
      <c r="AO31" s="15">
        <v>48200.0</v>
      </c>
      <c r="AP31" s="16">
        <f t="shared" si="2"/>
        <v>0</v>
      </c>
      <c r="AQ31" s="15" t="s">
        <v>47</v>
      </c>
      <c r="AR31" s="15" t="s">
        <v>47</v>
      </c>
    </row>
    <row r="32">
      <c r="A32" s="8" t="s">
        <v>195</v>
      </c>
      <c r="B32" s="9">
        <v>112.0</v>
      </c>
      <c r="C32" s="10">
        <v>45747.0</v>
      </c>
      <c r="D32" s="8" t="str">
        <f t="shared" si="1"/>
        <v>新北</v>
      </c>
      <c r="E32" s="8" t="s">
        <v>196</v>
      </c>
      <c r="F32" s="8" t="s">
        <v>70</v>
      </c>
      <c r="G32" s="9">
        <v>3.0</v>
      </c>
      <c r="H32" s="11" t="s">
        <v>47</v>
      </c>
      <c r="I32" s="11" t="s">
        <v>47</v>
      </c>
      <c r="J32" s="11" t="s">
        <v>47</v>
      </c>
      <c r="K32" s="17">
        <v>77971.0</v>
      </c>
      <c r="L32" s="17">
        <v>77971.0</v>
      </c>
      <c r="M32" s="13" t="s">
        <v>47</v>
      </c>
      <c r="N32" s="8" t="s">
        <v>48</v>
      </c>
      <c r="O32" s="8" t="s">
        <v>48</v>
      </c>
      <c r="P32" s="8" t="s">
        <v>49</v>
      </c>
      <c r="Q32" s="8" t="s">
        <v>197</v>
      </c>
      <c r="R32" s="8" t="s">
        <v>51</v>
      </c>
      <c r="S32" s="14">
        <f t="shared" si="5"/>
        <v>50</v>
      </c>
      <c r="T32" s="14">
        <v>50000.0</v>
      </c>
      <c r="U32" s="11" t="s">
        <v>47</v>
      </c>
      <c r="V32" s="11" t="s">
        <v>47</v>
      </c>
      <c r="W32" s="11" t="s">
        <v>47</v>
      </c>
      <c r="X32" s="8" t="s">
        <v>198</v>
      </c>
      <c r="Y32" s="8" t="s">
        <v>56</v>
      </c>
      <c r="Z32" s="8" t="s">
        <v>54</v>
      </c>
      <c r="AA32" s="8" t="s">
        <v>55</v>
      </c>
      <c r="AB32" s="8" t="s">
        <v>55</v>
      </c>
      <c r="AC32" s="8" t="s">
        <v>54</v>
      </c>
      <c r="AD32" s="11" t="s">
        <v>47</v>
      </c>
      <c r="AE32" s="8" t="s">
        <v>54</v>
      </c>
      <c r="AF32" s="11" t="s">
        <v>47</v>
      </c>
      <c r="AG32" s="17">
        <v>6300.0</v>
      </c>
      <c r="AH32" s="17">
        <v>6300.0</v>
      </c>
      <c r="AI32" s="17">
        <f>264000+62360</f>
        <v>326360</v>
      </c>
      <c r="AJ32" s="17">
        <f>6300+200308+913974</f>
        <v>1120582</v>
      </c>
      <c r="AK32" s="11" t="s">
        <v>47</v>
      </c>
      <c r="AL32" s="15">
        <v>300000.0</v>
      </c>
      <c r="AM32" s="15">
        <v>120000.0</v>
      </c>
      <c r="AN32" s="15">
        <v>1514913.0</v>
      </c>
      <c r="AO32" s="15">
        <v>1514913.0</v>
      </c>
      <c r="AP32" s="16">
        <f t="shared" si="2"/>
        <v>0</v>
      </c>
      <c r="AQ32" s="15" t="s">
        <v>47</v>
      </c>
      <c r="AR32" s="15" t="s">
        <v>47</v>
      </c>
    </row>
    <row r="33">
      <c r="A33" s="8" t="s">
        <v>199</v>
      </c>
      <c r="B33" s="9">
        <v>112.0</v>
      </c>
      <c r="C33" s="10">
        <v>45850.0</v>
      </c>
      <c r="D33" s="8" t="str">
        <f t="shared" si="1"/>
        <v>新北</v>
      </c>
      <c r="E33" s="8" t="s">
        <v>200</v>
      </c>
      <c r="F33" s="8" t="s">
        <v>70</v>
      </c>
      <c r="G33" s="9">
        <v>5.0</v>
      </c>
      <c r="H33" s="11" t="s">
        <v>47</v>
      </c>
      <c r="I33" s="11" t="s">
        <v>47</v>
      </c>
      <c r="J33" s="11" t="s">
        <v>47</v>
      </c>
      <c r="K33" s="17">
        <v>31630.0</v>
      </c>
      <c r="L33" s="17">
        <v>31630.0</v>
      </c>
      <c r="M33" s="13" t="s">
        <v>47</v>
      </c>
      <c r="N33" s="8" t="s">
        <v>48</v>
      </c>
      <c r="O33" s="8" t="s">
        <v>88</v>
      </c>
      <c r="P33" s="8" t="s">
        <v>49</v>
      </c>
      <c r="Q33" s="8" t="s">
        <v>201</v>
      </c>
      <c r="R33" s="8" t="s">
        <v>51</v>
      </c>
      <c r="S33" s="14">
        <f t="shared" si="5"/>
        <v>30</v>
      </c>
      <c r="T33" s="14">
        <v>30000.0</v>
      </c>
      <c r="U33" s="11" t="s">
        <v>47</v>
      </c>
      <c r="V33" s="11" t="s">
        <v>47</v>
      </c>
      <c r="W33" s="11" t="s">
        <v>47</v>
      </c>
      <c r="X33" s="8" t="s">
        <v>202</v>
      </c>
      <c r="Y33" s="8" t="s">
        <v>73</v>
      </c>
      <c r="Z33" s="8" t="s">
        <v>54</v>
      </c>
      <c r="AA33" s="8" t="s">
        <v>55</v>
      </c>
      <c r="AB33" s="8" t="s">
        <v>56</v>
      </c>
      <c r="AC33" s="8" t="s">
        <v>54</v>
      </c>
      <c r="AD33" s="8" t="s">
        <v>54</v>
      </c>
      <c r="AE33" s="8" t="s">
        <v>54</v>
      </c>
      <c r="AF33" s="8" t="s">
        <v>54</v>
      </c>
      <c r="AG33" s="17">
        <v>1863.0</v>
      </c>
      <c r="AH33" s="17">
        <v>4050.0</v>
      </c>
      <c r="AI33" s="17">
        <v>530.0</v>
      </c>
      <c r="AJ33" s="17">
        <v>0.0</v>
      </c>
      <c r="AK33" s="11" t="s">
        <v>47</v>
      </c>
      <c r="AL33" s="15">
        <v>36000.0</v>
      </c>
      <c r="AM33" s="15">
        <v>36000.0</v>
      </c>
      <c r="AN33" s="15">
        <v>70023.0</v>
      </c>
      <c r="AO33" s="15">
        <v>70023.0</v>
      </c>
      <c r="AP33" s="16">
        <f t="shared" si="2"/>
        <v>0</v>
      </c>
      <c r="AQ33" s="15" t="s">
        <v>47</v>
      </c>
      <c r="AR33" s="15" t="s">
        <v>47</v>
      </c>
    </row>
    <row r="34">
      <c r="A34" s="8" t="s">
        <v>203</v>
      </c>
      <c r="B34" s="9">
        <v>112.0</v>
      </c>
      <c r="C34" s="10">
        <v>45859.0</v>
      </c>
      <c r="D34" s="8" t="str">
        <f t="shared" si="1"/>
        <v>新北</v>
      </c>
      <c r="E34" s="8" t="s">
        <v>204</v>
      </c>
      <c r="F34" s="8" t="s">
        <v>56</v>
      </c>
      <c r="G34" s="9">
        <v>3.0</v>
      </c>
      <c r="H34" s="11" t="s">
        <v>47</v>
      </c>
      <c r="I34" s="11" t="s">
        <v>47</v>
      </c>
      <c r="J34" s="11" t="s">
        <v>47</v>
      </c>
      <c r="K34" s="17">
        <v>56995.0</v>
      </c>
      <c r="L34" s="17">
        <v>69110.0</v>
      </c>
      <c r="M34" s="13" t="s">
        <v>47</v>
      </c>
      <c r="N34" s="8" t="s">
        <v>88</v>
      </c>
      <c r="O34" s="8" t="s">
        <v>48</v>
      </c>
      <c r="P34" s="8" t="s">
        <v>49</v>
      </c>
      <c r="Q34" s="8" t="s">
        <v>205</v>
      </c>
      <c r="R34" s="8" t="s">
        <v>51</v>
      </c>
      <c r="S34" s="14">
        <f t="shared" si="5"/>
        <v>55</v>
      </c>
      <c r="T34" s="14">
        <v>55000.0</v>
      </c>
      <c r="U34" s="11" t="s">
        <v>47</v>
      </c>
      <c r="V34" s="11" t="s">
        <v>47</v>
      </c>
      <c r="W34" s="11" t="s">
        <v>47</v>
      </c>
      <c r="X34" s="8" t="s">
        <v>206</v>
      </c>
      <c r="Y34" s="8" t="s">
        <v>53</v>
      </c>
      <c r="Z34" s="8" t="s">
        <v>54</v>
      </c>
      <c r="AA34" s="20" t="s">
        <v>74</v>
      </c>
      <c r="AB34" s="20" t="s">
        <v>74</v>
      </c>
      <c r="AC34" s="8" t="s">
        <v>54</v>
      </c>
      <c r="AD34" s="8" t="s">
        <v>54</v>
      </c>
      <c r="AE34" s="8" t="s">
        <v>54</v>
      </c>
      <c r="AF34" s="8" t="s">
        <v>54</v>
      </c>
      <c r="AG34" s="17">
        <v>826.0</v>
      </c>
      <c r="AH34" s="17">
        <v>8260.0</v>
      </c>
      <c r="AI34" s="17">
        <f>180000+665</f>
        <v>180665</v>
      </c>
      <c r="AJ34" s="17">
        <f>35000+1420</f>
        <v>36420</v>
      </c>
      <c r="AK34" s="11" t="s">
        <v>47</v>
      </c>
      <c r="AL34" s="15">
        <v>300000.0</v>
      </c>
      <c r="AM34" s="15">
        <v>75000.0</v>
      </c>
      <c r="AN34" s="15">
        <v>169906.0</v>
      </c>
      <c r="AO34" s="15">
        <v>169906.0</v>
      </c>
      <c r="AP34" s="16">
        <f t="shared" si="2"/>
        <v>0</v>
      </c>
      <c r="AQ34" s="15" t="s">
        <v>47</v>
      </c>
      <c r="AR34" s="15" t="s">
        <v>47</v>
      </c>
    </row>
    <row r="35">
      <c r="A35" s="8" t="s">
        <v>207</v>
      </c>
      <c r="B35" s="9">
        <v>112.0</v>
      </c>
      <c r="C35" s="10">
        <v>45834.0</v>
      </c>
      <c r="D35" s="8" t="str">
        <f t="shared" si="1"/>
        <v>新北</v>
      </c>
      <c r="E35" s="8" t="s">
        <v>208</v>
      </c>
      <c r="F35" s="8" t="s">
        <v>186</v>
      </c>
      <c r="G35" s="9">
        <v>3.0</v>
      </c>
      <c r="H35" s="11" t="s">
        <v>47</v>
      </c>
      <c r="I35" s="11" t="s">
        <v>47</v>
      </c>
      <c r="J35" s="11" t="s">
        <v>47</v>
      </c>
      <c r="K35" s="17">
        <v>8545.0</v>
      </c>
      <c r="L35" s="17">
        <v>8545.0</v>
      </c>
      <c r="M35" s="13" t="s">
        <v>47</v>
      </c>
      <c r="N35" s="8" t="s">
        <v>88</v>
      </c>
      <c r="O35" s="8" t="s">
        <v>48</v>
      </c>
      <c r="P35" s="8" t="s">
        <v>49</v>
      </c>
      <c r="Q35" s="8" t="s">
        <v>209</v>
      </c>
      <c r="R35" s="8" t="s">
        <v>51</v>
      </c>
      <c r="S35" s="14">
        <f t="shared" si="5"/>
        <v>40</v>
      </c>
      <c r="T35" s="14">
        <v>40000.0</v>
      </c>
      <c r="U35" s="11" t="s">
        <v>47</v>
      </c>
      <c r="V35" s="11" t="s">
        <v>47</v>
      </c>
      <c r="W35" s="11" t="s">
        <v>47</v>
      </c>
      <c r="X35" s="8" t="s">
        <v>210</v>
      </c>
      <c r="Y35" s="8" t="s">
        <v>53</v>
      </c>
      <c r="Z35" s="8" t="s">
        <v>54</v>
      </c>
      <c r="AA35" s="20" t="s">
        <v>74</v>
      </c>
      <c r="AB35" s="20" t="s">
        <v>74</v>
      </c>
      <c r="AC35" s="8" t="s">
        <v>54</v>
      </c>
      <c r="AD35" s="11" t="s">
        <v>47</v>
      </c>
      <c r="AE35" s="8" t="s">
        <v>54</v>
      </c>
      <c r="AF35" s="11" t="s">
        <v>47</v>
      </c>
      <c r="AG35" s="17">
        <v>40130.0</v>
      </c>
      <c r="AH35" s="17">
        <v>40130.0</v>
      </c>
      <c r="AI35" s="17">
        <v>0.0</v>
      </c>
      <c r="AJ35" s="17">
        <v>0.0</v>
      </c>
      <c r="AK35" s="11" t="s">
        <v>47</v>
      </c>
      <c r="AL35" s="15">
        <v>200000.0</v>
      </c>
      <c r="AM35" s="15">
        <v>45000.0</v>
      </c>
      <c r="AN35" s="15">
        <v>93675.0</v>
      </c>
      <c r="AO35" s="15">
        <v>93675.0</v>
      </c>
      <c r="AP35" s="16">
        <f t="shared" si="2"/>
        <v>0</v>
      </c>
      <c r="AQ35" s="15" t="s">
        <v>47</v>
      </c>
      <c r="AR35" s="15" t="s">
        <v>47</v>
      </c>
    </row>
    <row r="36">
      <c r="A36" s="8" t="s">
        <v>211</v>
      </c>
      <c r="B36" s="9">
        <v>112.0</v>
      </c>
      <c r="C36" s="10">
        <v>45834.0</v>
      </c>
      <c r="D36" s="8" t="str">
        <f t="shared" si="1"/>
        <v>新北</v>
      </c>
      <c r="E36" s="8" t="s">
        <v>212</v>
      </c>
      <c r="F36" s="8" t="s">
        <v>46</v>
      </c>
      <c r="G36" s="9">
        <v>3.0</v>
      </c>
      <c r="H36" s="11" t="s">
        <v>47</v>
      </c>
      <c r="I36" s="11" t="s">
        <v>47</v>
      </c>
      <c r="J36" s="11" t="s">
        <v>47</v>
      </c>
      <c r="K36" s="17">
        <v>86481.0</v>
      </c>
      <c r="L36" s="17">
        <v>86481.0</v>
      </c>
      <c r="M36" s="13" t="s">
        <v>47</v>
      </c>
      <c r="N36" s="8" t="s">
        <v>48</v>
      </c>
      <c r="O36" s="8" t="s">
        <v>48</v>
      </c>
      <c r="P36" s="8" t="s">
        <v>49</v>
      </c>
      <c r="Q36" s="8" t="s">
        <v>213</v>
      </c>
      <c r="R36" s="8" t="s">
        <v>51</v>
      </c>
      <c r="S36" s="14">
        <f t="shared" si="5"/>
        <v>90</v>
      </c>
      <c r="T36" s="14">
        <v>90000.0</v>
      </c>
      <c r="U36" s="11" t="s">
        <v>47</v>
      </c>
      <c r="V36" s="8" t="s">
        <v>90</v>
      </c>
      <c r="W36" s="11" t="s">
        <v>47</v>
      </c>
      <c r="X36" s="8" t="s">
        <v>202</v>
      </c>
      <c r="Y36" s="8" t="s">
        <v>73</v>
      </c>
      <c r="Z36" s="8" t="s">
        <v>54</v>
      </c>
      <c r="AA36" s="20" t="s">
        <v>74</v>
      </c>
      <c r="AB36" s="20" t="s">
        <v>74</v>
      </c>
      <c r="AC36" s="8" t="s">
        <v>54</v>
      </c>
      <c r="AD36" s="8" t="s">
        <v>54</v>
      </c>
      <c r="AE36" s="8" t="s">
        <v>54</v>
      </c>
      <c r="AF36" s="8" t="s">
        <v>54</v>
      </c>
      <c r="AG36" s="17">
        <v>18090.0</v>
      </c>
      <c r="AH36" s="17">
        <v>18090.0</v>
      </c>
      <c r="AI36" s="17">
        <v>4800.0</v>
      </c>
      <c r="AJ36" s="17">
        <v>3000.0</v>
      </c>
      <c r="AK36" s="11" t="s">
        <v>47</v>
      </c>
      <c r="AL36" s="15">
        <v>300000.0</v>
      </c>
      <c r="AM36" s="15">
        <v>150000.0</v>
      </c>
      <c r="AN36" s="15">
        <v>262371.0</v>
      </c>
      <c r="AO36" s="15">
        <v>262371.0</v>
      </c>
      <c r="AP36" s="16">
        <f t="shared" si="2"/>
        <v>0</v>
      </c>
      <c r="AQ36" s="15" t="s">
        <v>47</v>
      </c>
      <c r="AR36" s="15" t="s">
        <v>47</v>
      </c>
    </row>
    <row r="37">
      <c r="A37" s="8" t="s">
        <v>214</v>
      </c>
      <c r="B37" s="9">
        <v>112.0</v>
      </c>
      <c r="C37" s="10">
        <v>45823.0</v>
      </c>
      <c r="D37" s="8" t="str">
        <f t="shared" si="1"/>
        <v>新北</v>
      </c>
      <c r="E37" s="8" t="s">
        <v>215</v>
      </c>
      <c r="F37" s="8" t="s">
        <v>70</v>
      </c>
      <c r="G37" s="9">
        <v>4.0</v>
      </c>
      <c r="H37" s="11" t="s">
        <v>47</v>
      </c>
      <c r="I37" s="11" t="s">
        <v>47</v>
      </c>
      <c r="J37" s="11" t="s">
        <v>47</v>
      </c>
      <c r="K37" s="17">
        <v>5210.0</v>
      </c>
      <c r="L37" s="17">
        <v>5210.0</v>
      </c>
      <c r="M37" s="13" t="s">
        <v>47</v>
      </c>
      <c r="N37" s="8" t="s">
        <v>48</v>
      </c>
      <c r="O37" s="8" t="s">
        <v>48</v>
      </c>
      <c r="P37" s="8" t="s">
        <v>49</v>
      </c>
      <c r="Q37" s="8" t="s">
        <v>216</v>
      </c>
      <c r="R37" s="8" t="s">
        <v>51</v>
      </c>
      <c r="S37" s="14">
        <f t="shared" si="5"/>
        <v>40</v>
      </c>
      <c r="T37" s="14">
        <v>40000.0</v>
      </c>
      <c r="U37" s="11" t="s">
        <v>47</v>
      </c>
      <c r="V37" s="11" t="s">
        <v>47</v>
      </c>
      <c r="W37" s="11" t="s">
        <v>47</v>
      </c>
      <c r="X37" s="8" t="s">
        <v>217</v>
      </c>
      <c r="Y37" s="8" t="s">
        <v>73</v>
      </c>
      <c r="Z37" s="8" t="s">
        <v>54</v>
      </c>
      <c r="AA37" s="20" t="s">
        <v>74</v>
      </c>
      <c r="AB37" s="20" t="s">
        <v>74</v>
      </c>
      <c r="AC37" s="8" t="s">
        <v>54</v>
      </c>
      <c r="AD37" s="8" t="s">
        <v>54</v>
      </c>
      <c r="AE37" s="8" t="s">
        <v>54</v>
      </c>
      <c r="AF37" s="8" t="s">
        <v>54</v>
      </c>
      <c r="AG37" s="17">
        <v>0.0</v>
      </c>
      <c r="AH37" s="17">
        <v>0.0</v>
      </c>
      <c r="AI37" s="17">
        <v>925.0</v>
      </c>
      <c r="AJ37" s="17">
        <v>107122.0</v>
      </c>
      <c r="AK37" s="11" t="s">
        <v>47</v>
      </c>
      <c r="AL37" s="15">
        <v>1080000.0</v>
      </c>
      <c r="AM37" s="15">
        <v>80000.0</v>
      </c>
      <c r="AN37" s="15">
        <v>193257.0</v>
      </c>
      <c r="AO37" s="15">
        <v>193257.0</v>
      </c>
      <c r="AP37" s="16">
        <f t="shared" si="2"/>
        <v>0</v>
      </c>
      <c r="AQ37" s="15" t="s">
        <v>47</v>
      </c>
      <c r="AR37" s="15" t="s">
        <v>47</v>
      </c>
    </row>
    <row r="38">
      <c r="A38" s="8" t="s">
        <v>218</v>
      </c>
      <c r="B38" s="9">
        <v>112.0</v>
      </c>
      <c r="C38" s="10">
        <v>45893.0</v>
      </c>
      <c r="D38" s="8" t="str">
        <f t="shared" si="1"/>
        <v>新北</v>
      </c>
      <c r="E38" s="8" t="s">
        <v>219</v>
      </c>
      <c r="F38" s="8" t="s">
        <v>70</v>
      </c>
      <c r="G38" s="9">
        <v>5.0</v>
      </c>
      <c r="H38" s="11" t="s">
        <v>47</v>
      </c>
      <c r="I38" s="11" t="s">
        <v>47</v>
      </c>
      <c r="J38" s="11" t="s">
        <v>47</v>
      </c>
      <c r="K38" s="17">
        <v>2810.0</v>
      </c>
      <c r="L38" s="17">
        <v>2810.0</v>
      </c>
      <c r="M38" s="13" t="s">
        <v>47</v>
      </c>
      <c r="N38" s="8" t="s">
        <v>48</v>
      </c>
      <c r="O38" s="8" t="s">
        <v>48</v>
      </c>
      <c r="P38" s="8" t="s">
        <v>49</v>
      </c>
      <c r="Q38" s="8" t="s">
        <v>220</v>
      </c>
      <c r="R38" s="8" t="s">
        <v>51</v>
      </c>
      <c r="S38" s="14">
        <f t="shared" si="5"/>
        <v>30</v>
      </c>
      <c r="T38" s="14">
        <v>30000.0</v>
      </c>
      <c r="U38" s="11" t="s">
        <v>47</v>
      </c>
      <c r="V38" s="11" t="s">
        <v>47</v>
      </c>
      <c r="W38" s="11" t="s">
        <v>47</v>
      </c>
      <c r="X38" s="8" t="s">
        <v>117</v>
      </c>
      <c r="Y38" s="8" t="s">
        <v>56</v>
      </c>
      <c r="Z38" s="8" t="s">
        <v>54</v>
      </c>
      <c r="AA38" s="20" t="s">
        <v>74</v>
      </c>
      <c r="AB38" s="20" t="s">
        <v>74</v>
      </c>
      <c r="AC38" s="8" t="s">
        <v>54</v>
      </c>
      <c r="AD38" s="8" t="s">
        <v>54</v>
      </c>
      <c r="AE38" s="8" t="s">
        <v>54</v>
      </c>
      <c r="AF38" s="8" t="s">
        <v>54</v>
      </c>
      <c r="AG38" s="17">
        <v>1340.0</v>
      </c>
      <c r="AH38" s="17">
        <v>13400.0</v>
      </c>
      <c r="AI38" s="17">
        <v>0.0</v>
      </c>
      <c r="AJ38" s="17">
        <v>12974.0</v>
      </c>
      <c r="AK38" s="11" t="s">
        <v>47</v>
      </c>
      <c r="AL38" s="15">
        <v>100000.0</v>
      </c>
      <c r="AM38" s="15">
        <v>50000.0</v>
      </c>
      <c r="AN38" s="15">
        <v>67124.0</v>
      </c>
      <c r="AO38" s="15">
        <v>67124.0</v>
      </c>
      <c r="AP38" s="16">
        <f t="shared" si="2"/>
        <v>0</v>
      </c>
      <c r="AQ38" s="15" t="s">
        <v>47</v>
      </c>
      <c r="AR38" s="15" t="s">
        <v>47</v>
      </c>
    </row>
    <row r="39">
      <c r="A39" s="8" t="s">
        <v>221</v>
      </c>
      <c r="B39" s="9">
        <v>112.0</v>
      </c>
      <c r="C39" s="10">
        <v>45880.0</v>
      </c>
      <c r="D39" s="8" t="str">
        <f t="shared" si="1"/>
        <v>彰化</v>
      </c>
      <c r="E39" s="8" t="s">
        <v>222</v>
      </c>
      <c r="F39" s="8" t="s">
        <v>186</v>
      </c>
      <c r="G39" s="9">
        <v>5.0</v>
      </c>
      <c r="H39" s="11" t="s">
        <v>47</v>
      </c>
      <c r="I39" s="11" t="s">
        <v>47</v>
      </c>
      <c r="J39" s="11" t="s">
        <v>47</v>
      </c>
      <c r="K39" s="17">
        <v>1008.0</v>
      </c>
      <c r="L39" s="17">
        <v>1008.0</v>
      </c>
      <c r="M39" s="13" t="s">
        <v>47</v>
      </c>
      <c r="N39" s="8" t="s">
        <v>88</v>
      </c>
      <c r="O39" s="8" t="s">
        <v>48</v>
      </c>
      <c r="P39" s="8" t="s">
        <v>49</v>
      </c>
      <c r="Q39" s="8" t="s">
        <v>223</v>
      </c>
      <c r="R39" s="8" t="s">
        <v>51</v>
      </c>
      <c r="S39" s="14">
        <f t="shared" si="5"/>
        <v>30</v>
      </c>
      <c r="T39" s="14">
        <v>30000.0</v>
      </c>
      <c r="U39" s="11" t="s">
        <v>47</v>
      </c>
      <c r="V39" s="11" t="s">
        <v>47</v>
      </c>
      <c r="W39" s="11" t="s">
        <v>47</v>
      </c>
      <c r="X39" s="8" t="s">
        <v>224</v>
      </c>
      <c r="Y39" s="8" t="s">
        <v>53</v>
      </c>
      <c r="Z39" s="8" t="s">
        <v>54</v>
      </c>
      <c r="AA39" s="20" t="s">
        <v>74</v>
      </c>
      <c r="AB39" s="20" t="s">
        <v>74</v>
      </c>
      <c r="AC39" s="8" t="s">
        <v>54</v>
      </c>
      <c r="AD39" s="8" t="s">
        <v>54</v>
      </c>
      <c r="AE39" s="8" t="s">
        <v>54</v>
      </c>
      <c r="AF39" s="8" t="s">
        <v>54</v>
      </c>
      <c r="AG39" s="17">
        <v>185000.0</v>
      </c>
      <c r="AH39" s="17">
        <v>185000.0</v>
      </c>
      <c r="AI39" s="17">
        <v>0.0</v>
      </c>
      <c r="AJ39" s="17">
        <v>4000.0</v>
      </c>
      <c r="AK39" s="11" t="s">
        <v>47</v>
      </c>
      <c r="AL39" s="15">
        <v>10000.0</v>
      </c>
      <c r="AM39" s="9">
        <v>5000.0</v>
      </c>
      <c r="AN39" s="15">
        <v>180008.0</v>
      </c>
      <c r="AO39" s="15">
        <v>180008.0</v>
      </c>
      <c r="AP39" s="16">
        <f t="shared" si="2"/>
        <v>0</v>
      </c>
      <c r="AQ39" s="15" t="s">
        <v>47</v>
      </c>
      <c r="AR39" s="15" t="s">
        <v>47</v>
      </c>
    </row>
    <row r="40" ht="18.75" customHeight="1">
      <c r="A40" s="23" t="s">
        <v>225</v>
      </c>
      <c r="B40" s="9">
        <v>112.0</v>
      </c>
      <c r="C40" s="24">
        <v>45838.0</v>
      </c>
      <c r="D40" s="23" t="str">
        <f t="shared" si="1"/>
        <v>臺北</v>
      </c>
      <c r="E40" s="23" t="s">
        <v>226</v>
      </c>
      <c r="F40" s="25" t="s">
        <v>124</v>
      </c>
      <c r="G40" s="9">
        <v>3.0</v>
      </c>
      <c r="H40" s="11" t="s">
        <v>47</v>
      </c>
      <c r="I40" s="11" t="s">
        <v>47</v>
      </c>
      <c r="J40" s="11" t="s">
        <v>47</v>
      </c>
      <c r="K40" s="17">
        <v>9812.0</v>
      </c>
      <c r="L40" s="17">
        <v>9812.0</v>
      </c>
      <c r="M40" s="13" t="s">
        <v>47</v>
      </c>
      <c r="N40" s="26" t="s">
        <v>48</v>
      </c>
      <c r="O40" s="26" t="s">
        <v>48</v>
      </c>
      <c r="P40" s="8" t="s">
        <v>49</v>
      </c>
      <c r="Q40" s="25" t="s">
        <v>227</v>
      </c>
      <c r="R40" s="8" t="s">
        <v>51</v>
      </c>
      <c r="S40" s="14">
        <f t="shared" si="5"/>
        <v>240</v>
      </c>
      <c r="T40" s="14">
        <v>240000.0</v>
      </c>
      <c r="U40" s="26" t="s">
        <v>47</v>
      </c>
      <c r="V40" s="26" t="s">
        <v>47</v>
      </c>
      <c r="W40" s="26" t="s">
        <v>47</v>
      </c>
      <c r="X40" s="25" t="s">
        <v>228</v>
      </c>
      <c r="Y40" s="25" t="s">
        <v>53</v>
      </c>
      <c r="Z40" s="8" t="s">
        <v>54</v>
      </c>
      <c r="AA40" s="20" t="s">
        <v>74</v>
      </c>
      <c r="AB40" s="20" t="s">
        <v>74</v>
      </c>
      <c r="AC40" s="8" t="s">
        <v>54</v>
      </c>
      <c r="AD40" s="8" t="s">
        <v>54</v>
      </c>
      <c r="AE40" s="8" t="s">
        <v>54</v>
      </c>
      <c r="AF40" s="8" t="s">
        <v>54</v>
      </c>
      <c r="AG40" s="17">
        <v>4150.0</v>
      </c>
      <c r="AH40" s="17">
        <v>7500.0</v>
      </c>
      <c r="AI40" s="17">
        <f>11000+780</f>
        <v>11780</v>
      </c>
      <c r="AJ40" s="17">
        <f>650+33480</f>
        <v>34130</v>
      </c>
      <c r="AK40" s="26" t="s">
        <v>47</v>
      </c>
      <c r="AL40" s="27">
        <v>280000.0</v>
      </c>
      <c r="AM40" s="15">
        <v>80000.0</v>
      </c>
      <c r="AN40" s="27">
        <v>166842.0</v>
      </c>
      <c r="AO40" s="27">
        <v>166842.0</v>
      </c>
      <c r="AP40" s="16">
        <f t="shared" si="2"/>
        <v>0</v>
      </c>
      <c r="AQ40" s="15" t="s">
        <v>47</v>
      </c>
      <c r="AR40" s="15" t="s">
        <v>47</v>
      </c>
    </row>
    <row r="41">
      <c r="A41" s="23" t="s">
        <v>229</v>
      </c>
      <c r="B41" s="9">
        <v>112.0</v>
      </c>
      <c r="C41" s="24">
        <v>45768.0</v>
      </c>
      <c r="D41" s="23" t="str">
        <f t="shared" si="1"/>
        <v>臺南</v>
      </c>
      <c r="E41" s="23" t="s">
        <v>230</v>
      </c>
      <c r="F41" s="25" t="s">
        <v>70</v>
      </c>
      <c r="G41" s="9">
        <v>3.0</v>
      </c>
      <c r="H41" s="11" t="s">
        <v>47</v>
      </c>
      <c r="I41" s="11" t="s">
        <v>47</v>
      </c>
      <c r="J41" s="11" t="s">
        <v>47</v>
      </c>
      <c r="K41" s="17">
        <v>138358.0</v>
      </c>
      <c r="L41" s="17">
        <v>138358.0</v>
      </c>
      <c r="M41" s="28" t="s">
        <v>231</v>
      </c>
      <c r="N41" s="26" t="s">
        <v>88</v>
      </c>
      <c r="O41" s="26" t="s">
        <v>48</v>
      </c>
      <c r="P41" s="8" t="s">
        <v>49</v>
      </c>
      <c r="Q41" s="25" t="s">
        <v>232</v>
      </c>
      <c r="R41" s="8" t="s">
        <v>51</v>
      </c>
      <c r="S41" s="14">
        <f t="shared" si="5"/>
        <v>120</v>
      </c>
      <c r="T41" s="14">
        <v>120000.0</v>
      </c>
      <c r="U41" s="26" t="s">
        <v>47</v>
      </c>
      <c r="V41" s="26" t="s">
        <v>47</v>
      </c>
      <c r="W41" s="23" t="s">
        <v>233</v>
      </c>
      <c r="X41" s="25" t="s">
        <v>234</v>
      </c>
      <c r="Y41" s="25" t="s">
        <v>73</v>
      </c>
      <c r="Z41" s="8" t="s">
        <v>54</v>
      </c>
      <c r="AA41" s="8" t="s">
        <v>56</v>
      </c>
      <c r="AB41" s="8" t="s">
        <v>56</v>
      </c>
      <c r="AC41" s="8" t="s">
        <v>54</v>
      </c>
      <c r="AD41" s="8" t="s">
        <v>54</v>
      </c>
      <c r="AE41" s="8" t="s">
        <v>54</v>
      </c>
      <c r="AF41" s="8" t="s">
        <v>54</v>
      </c>
      <c r="AG41" s="17">
        <v>0.0</v>
      </c>
      <c r="AH41" s="17">
        <v>0.0</v>
      </c>
      <c r="AI41" s="17">
        <v>678000.0</v>
      </c>
      <c r="AJ41" s="17">
        <v>3491.0</v>
      </c>
      <c r="AK41" s="26" t="s">
        <v>47</v>
      </c>
      <c r="AL41" s="27">
        <v>400000.0</v>
      </c>
      <c r="AM41" s="15">
        <v>150000.0</v>
      </c>
      <c r="AN41" s="27">
        <v>969849.0</v>
      </c>
      <c r="AO41" s="27">
        <v>969849.0</v>
      </c>
      <c r="AP41" s="16">
        <f t="shared" si="2"/>
        <v>0</v>
      </c>
      <c r="AQ41" s="15" t="s">
        <v>47</v>
      </c>
      <c r="AR41" s="15" t="s">
        <v>47</v>
      </c>
    </row>
    <row r="42">
      <c r="A42" s="23" t="s">
        <v>235</v>
      </c>
      <c r="B42" s="9">
        <v>112.0</v>
      </c>
      <c r="C42" s="24">
        <v>45866.0</v>
      </c>
      <c r="D42" s="23" t="str">
        <f t="shared" si="1"/>
        <v>臺南</v>
      </c>
      <c r="E42" s="23" t="s">
        <v>236</v>
      </c>
      <c r="F42" s="25" t="s">
        <v>46</v>
      </c>
      <c r="G42" s="9">
        <v>4.0</v>
      </c>
      <c r="H42" s="11" t="s">
        <v>47</v>
      </c>
      <c r="I42" s="11" t="s">
        <v>47</v>
      </c>
      <c r="J42" s="11" t="s">
        <v>47</v>
      </c>
      <c r="K42" s="17">
        <v>55112.0</v>
      </c>
      <c r="L42" s="17">
        <v>55112.0</v>
      </c>
      <c r="M42" s="28" t="s">
        <v>237</v>
      </c>
      <c r="N42" s="26" t="s">
        <v>48</v>
      </c>
      <c r="O42" s="26" t="s">
        <v>48</v>
      </c>
      <c r="P42" s="8" t="s">
        <v>61</v>
      </c>
      <c r="Q42" s="8" t="s">
        <v>238</v>
      </c>
      <c r="R42" s="8" t="s">
        <v>51</v>
      </c>
      <c r="S42" s="14">
        <f t="shared" si="5"/>
        <v>90</v>
      </c>
      <c r="T42" s="14">
        <v>90000.0</v>
      </c>
      <c r="U42" s="26" t="s">
        <v>47</v>
      </c>
      <c r="V42" s="26" t="s">
        <v>47</v>
      </c>
      <c r="W42" s="26" t="s">
        <v>47</v>
      </c>
      <c r="X42" s="25" t="s">
        <v>239</v>
      </c>
      <c r="Y42" s="25" t="s">
        <v>73</v>
      </c>
      <c r="Z42" s="8" t="s">
        <v>54</v>
      </c>
      <c r="AA42" s="8" t="s">
        <v>56</v>
      </c>
      <c r="AB42" s="8" t="s">
        <v>55</v>
      </c>
      <c r="AC42" s="8" t="s">
        <v>54</v>
      </c>
      <c r="AD42" s="8" t="s">
        <v>54</v>
      </c>
      <c r="AE42" s="8" t="s">
        <v>54</v>
      </c>
      <c r="AF42" s="8" t="s">
        <v>54</v>
      </c>
      <c r="AG42" s="17">
        <v>0.0</v>
      </c>
      <c r="AH42" s="17">
        <v>0.0</v>
      </c>
      <c r="AI42" s="17">
        <v>86400.0</v>
      </c>
      <c r="AJ42" s="17">
        <v>0.0</v>
      </c>
      <c r="AK42" s="26" t="s">
        <v>47</v>
      </c>
      <c r="AL42" s="27">
        <v>800000.0</v>
      </c>
      <c r="AM42" s="15">
        <v>100000.0</v>
      </c>
      <c r="AN42" s="27">
        <v>272877.0</v>
      </c>
      <c r="AO42" s="27">
        <v>272877.0</v>
      </c>
      <c r="AP42" s="16">
        <f t="shared" si="2"/>
        <v>0</v>
      </c>
      <c r="AQ42" s="15" t="s">
        <v>47</v>
      </c>
      <c r="AR42" s="15" t="s">
        <v>47</v>
      </c>
    </row>
    <row r="43" hidden="1">
      <c r="A43" s="8" t="s">
        <v>240</v>
      </c>
      <c r="B43" s="9"/>
      <c r="C43" s="9"/>
      <c r="D43" s="8" t="str">
        <f t="shared" si="1"/>
        <v>橋頭</v>
      </c>
      <c r="E43" s="8" t="s">
        <v>144</v>
      </c>
      <c r="F43" s="8"/>
      <c r="G43" s="18"/>
      <c r="H43" s="11" t="s">
        <v>47</v>
      </c>
      <c r="I43" s="11" t="s">
        <v>47</v>
      </c>
      <c r="J43" s="11" t="s">
        <v>47</v>
      </c>
      <c r="K43" s="12"/>
      <c r="L43" s="12"/>
      <c r="M43" s="13" t="s">
        <v>47</v>
      </c>
      <c r="N43" s="8" t="s">
        <v>48</v>
      </c>
      <c r="O43" s="8" t="s">
        <v>88</v>
      </c>
      <c r="P43" s="8" t="s">
        <v>61</v>
      </c>
      <c r="Q43" s="8"/>
      <c r="R43" s="8"/>
      <c r="S43" s="14">
        <f t="shared" si="5"/>
        <v>0</v>
      </c>
      <c r="T43" s="8"/>
      <c r="U43" s="11" t="s">
        <v>47</v>
      </c>
      <c r="V43" s="11" t="s">
        <v>47</v>
      </c>
      <c r="W43" s="11" t="s">
        <v>47</v>
      </c>
      <c r="X43" s="8" t="s">
        <v>241</v>
      </c>
      <c r="Y43" s="8"/>
      <c r="Z43" s="11"/>
      <c r="AA43" s="11" t="s">
        <v>47</v>
      </c>
      <c r="AB43" s="11" t="s">
        <v>47</v>
      </c>
      <c r="AC43" s="11" t="s">
        <v>47</v>
      </c>
      <c r="AD43" s="11" t="s">
        <v>47</v>
      </c>
      <c r="AE43" s="11" t="s">
        <v>47</v>
      </c>
      <c r="AF43" s="11" t="s">
        <v>47</v>
      </c>
      <c r="AG43" s="15"/>
      <c r="AH43" s="15"/>
      <c r="AI43" s="15"/>
      <c r="AJ43" s="15"/>
      <c r="AK43" s="11" t="s">
        <v>47</v>
      </c>
      <c r="AL43" s="18"/>
      <c r="AM43" s="9">
        <v>0.0</v>
      </c>
      <c r="AN43" s="18"/>
      <c r="AO43" s="18"/>
      <c r="AP43" s="19">
        <f t="shared" si="2"/>
        <v>0</v>
      </c>
      <c r="AQ43" s="15" t="s">
        <v>47</v>
      </c>
      <c r="AR43" s="15" t="s">
        <v>47</v>
      </c>
    </row>
    <row r="44">
      <c r="A44" s="23" t="s">
        <v>242</v>
      </c>
      <c r="B44" s="9">
        <v>112.0</v>
      </c>
      <c r="C44" s="24">
        <v>45845.0</v>
      </c>
      <c r="D44" s="23" t="str">
        <f t="shared" si="1"/>
        <v>臺南</v>
      </c>
      <c r="E44" s="23" t="s">
        <v>243</v>
      </c>
      <c r="F44" s="25" t="s">
        <v>124</v>
      </c>
      <c r="G44" s="9">
        <v>4.0</v>
      </c>
      <c r="H44" s="11" t="s">
        <v>47</v>
      </c>
      <c r="I44" s="11" t="s">
        <v>47</v>
      </c>
      <c r="J44" s="11" t="s">
        <v>47</v>
      </c>
      <c r="K44" s="17">
        <v>83458.0</v>
      </c>
      <c r="L44" s="17">
        <v>83458.0</v>
      </c>
      <c r="M44" s="28" t="s">
        <v>244</v>
      </c>
      <c r="N44" s="26" t="s">
        <v>88</v>
      </c>
      <c r="O44" s="26" t="s">
        <v>48</v>
      </c>
      <c r="P44" s="8" t="s">
        <v>49</v>
      </c>
      <c r="Q44" s="25" t="s">
        <v>245</v>
      </c>
      <c r="R44" s="8" t="s">
        <v>51</v>
      </c>
      <c r="S44" s="14">
        <f t="shared" si="5"/>
        <v>90</v>
      </c>
      <c r="T44" s="14">
        <v>90000.0</v>
      </c>
      <c r="U44" s="26" t="s">
        <v>47</v>
      </c>
      <c r="V44" s="26" t="s">
        <v>47</v>
      </c>
      <c r="W44" s="26" t="s">
        <v>47</v>
      </c>
      <c r="X44" s="25" t="s">
        <v>246</v>
      </c>
      <c r="Y44" s="25" t="s">
        <v>53</v>
      </c>
      <c r="Z44" s="8" t="s">
        <v>54</v>
      </c>
      <c r="AA44" s="8" t="s">
        <v>56</v>
      </c>
      <c r="AB44" s="8" t="s">
        <v>70</v>
      </c>
      <c r="AC44" s="8" t="s">
        <v>54</v>
      </c>
      <c r="AD44" s="8" t="s">
        <v>54</v>
      </c>
      <c r="AE44" s="8" t="s">
        <v>54</v>
      </c>
      <c r="AF44" s="8" t="s">
        <v>54</v>
      </c>
      <c r="AG44" s="17">
        <v>0.0</v>
      </c>
      <c r="AH44" s="17">
        <v>0.0</v>
      </c>
      <c r="AI44" s="17">
        <v>198000.0</v>
      </c>
      <c r="AJ44" s="17">
        <v>2600.0</v>
      </c>
      <c r="AK44" s="26" t="s">
        <v>47</v>
      </c>
      <c r="AL44" s="27">
        <v>600000.0</v>
      </c>
      <c r="AM44" s="15">
        <v>60000.0</v>
      </c>
      <c r="AN44" s="27">
        <v>344058.0</v>
      </c>
      <c r="AO44" s="27">
        <v>344058.0</v>
      </c>
      <c r="AP44" s="16">
        <f t="shared" si="2"/>
        <v>0</v>
      </c>
      <c r="AQ44" s="15" t="s">
        <v>47</v>
      </c>
      <c r="AR44" s="15" t="s">
        <v>47</v>
      </c>
    </row>
    <row r="45">
      <c r="A45" s="23" t="s">
        <v>247</v>
      </c>
      <c r="B45" s="9">
        <v>112.0</v>
      </c>
      <c r="C45" s="24">
        <v>45817.0</v>
      </c>
      <c r="D45" s="23" t="str">
        <f t="shared" si="1"/>
        <v>臺中</v>
      </c>
      <c r="E45" s="23" t="s">
        <v>248</v>
      </c>
      <c r="F45" s="25" t="s">
        <v>70</v>
      </c>
      <c r="G45" s="9">
        <v>5.0</v>
      </c>
      <c r="H45" s="11" t="s">
        <v>47</v>
      </c>
      <c r="I45" s="11" t="s">
        <v>47</v>
      </c>
      <c r="J45" s="11" t="s">
        <v>47</v>
      </c>
      <c r="K45" s="17">
        <v>750.0</v>
      </c>
      <c r="L45" s="17">
        <v>750.0</v>
      </c>
      <c r="M45" s="13" t="s">
        <v>47</v>
      </c>
      <c r="N45" s="26" t="s">
        <v>48</v>
      </c>
      <c r="O45" s="26" t="s">
        <v>48</v>
      </c>
      <c r="P45" s="8" t="s">
        <v>49</v>
      </c>
      <c r="Q45" s="25" t="s">
        <v>249</v>
      </c>
      <c r="R45" s="8" t="s">
        <v>51</v>
      </c>
      <c r="S45" s="14">
        <f t="shared" si="5"/>
        <v>185</v>
      </c>
      <c r="T45" s="14">
        <v>185000.0</v>
      </c>
      <c r="U45" s="26" t="s">
        <v>47</v>
      </c>
      <c r="V45" s="26" t="s">
        <v>47</v>
      </c>
      <c r="W45" s="26" t="s">
        <v>47</v>
      </c>
      <c r="X45" s="25" t="s">
        <v>250</v>
      </c>
      <c r="Y45" s="25" t="s">
        <v>56</v>
      </c>
      <c r="Z45" s="8" t="s">
        <v>54</v>
      </c>
      <c r="AA45" s="20" t="s">
        <v>74</v>
      </c>
      <c r="AB45" s="20" t="s">
        <v>74</v>
      </c>
      <c r="AC45" s="8" t="s">
        <v>54</v>
      </c>
      <c r="AD45" s="8" t="s">
        <v>54</v>
      </c>
      <c r="AE45" s="8" t="s">
        <v>54</v>
      </c>
      <c r="AF45" s="8" t="s">
        <v>54</v>
      </c>
      <c r="AG45" s="17">
        <v>0.0</v>
      </c>
      <c r="AH45" s="17">
        <v>0.0</v>
      </c>
      <c r="AI45" s="17">
        <v>0.0</v>
      </c>
      <c r="AJ45" s="17">
        <v>0.0</v>
      </c>
      <c r="AK45" s="26" t="s">
        <v>47</v>
      </c>
      <c r="AL45" s="27">
        <v>300000.0</v>
      </c>
      <c r="AM45" s="15">
        <v>20750.0</v>
      </c>
      <c r="AN45" s="27">
        <v>20750.0</v>
      </c>
      <c r="AO45" s="27">
        <v>20750.0</v>
      </c>
      <c r="AP45" s="16">
        <f t="shared" si="2"/>
        <v>0</v>
      </c>
      <c r="AQ45" s="15" t="s">
        <v>47</v>
      </c>
      <c r="AR45" s="15" t="s">
        <v>47</v>
      </c>
    </row>
    <row r="46" hidden="1">
      <c r="A46" s="8" t="s">
        <v>251</v>
      </c>
      <c r="B46" s="9"/>
      <c r="C46" s="9"/>
      <c r="D46" s="8" t="str">
        <f t="shared" si="1"/>
        <v>花蓮</v>
      </c>
      <c r="E46" s="8" t="s">
        <v>252</v>
      </c>
      <c r="F46" s="8"/>
      <c r="G46" s="18"/>
      <c r="H46" s="11" t="s">
        <v>47</v>
      </c>
      <c r="I46" s="11" t="s">
        <v>47</v>
      </c>
      <c r="J46" s="11" t="s">
        <v>47</v>
      </c>
      <c r="K46" s="12"/>
      <c r="L46" s="12"/>
      <c r="M46" s="13" t="s">
        <v>47</v>
      </c>
      <c r="N46" s="8" t="s">
        <v>48</v>
      </c>
      <c r="O46" s="8" t="s">
        <v>48</v>
      </c>
      <c r="P46" s="8" t="s">
        <v>51</v>
      </c>
      <c r="Q46" s="8"/>
      <c r="R46" s="8"/>
      <c r="S46" s="14"/>
      <c r="T46" s="8"/>
      <c r="U46" s="11" t="s">
        <v>47</v>
      </c>
      <c r="V46" s="11" t="s">
        <v>47</v>
      </c>
      <c r="W46" s="11" t="s">
        <v>47</v>
      </c>
      <c r="X46" s="8" t="s">
        <v>253</v>
      </c>
      <c r="Y46" s="8"/>
      <c r="Z46" s="11"/>
      <c r="AA46" s="11" t="s">
        <v>47</v>
      </c>
      <c r="AB46" s="11" t="s">
        <v>47</v>
      </c>
      <c r="AC46" s="11" t="s">
        <v>47</v>
      </c>
      <c r="AD46" s="11" t="s">
        <v>47</v>
      </c>
      <c r="AE46" s="11" t="s">
        <v>47</v>
      </c>
      <c r="AF46" s="11" t="s">
        <v>47</v>
      </c>
      <c r="AG46" s="15"/>
      <c r="AH46" s="15"/>
      <c r="AI46" s="15"/>
      <c r="AJ46" s="15"/>
      <c r="AK46" s="11" t="s">
        <v>47</v>
      </c>
      <c r="AL46" s="18"/>
      <c r="AM46" s="9" t="s">
        <v>254</v>
      </c>
      <c r="AN46" s="18"/>
      <c r="AO46" s="18"/>
      <c r="AP46" s="19">
        <f t="shared" si="2"/>
        <v>0</v>
      </c>
      <c r="AQ46" s="15" t="s">
        <v>47</v>
      </c>
      <c r="AR46" s="15" t="s">
        <v>47</v>
      </c>
    </row>
    <row r="47" hidden="1">
      <c r="A47" s="8" t="s">
        <v>255</v>
      </c>
      <c r="B47" s="9"/>
      <c r="C47" s="9"/>
      <c r="D47" s="8" t="str">
        <f t="shared" si="1"/>
        <v>基隆</v>
      </c>
      <c r="E47" s="8" t="s">
        <v>144</v>
      </c>
      <c r="F47" s="8"/>
      <c r="G47" s="18"/>
      <c r="H47" s="11" t="s">
        <v>47</v>
      </c>
      <c r="I47" s="11" t="s">
        <v>47</v>
      </c>
      <c r="J47" s="11" t="s">
        <v>47</v>
      </c>
      <c r="K47" s="12"/>
      <c r="L47" s="12"/>
      <c r="M47" s="13" t="s">
        <v>47</v>
      </c>
      <c r="N47" s="8" t="s">
        <v>48</v>
      </c>
      <c r="O47" s="8" t="s">
        <v>48</v>
      </c>
      <c r="P47" s="8" t="s">
        <v>61</v>
      </c>
      <c r="Q47" s="8"/>
      <c r="R47" s="8"/>
      <c r="S47" s="14"/>
      <c r="T47" s="8"/>
      <c r="U47" s="11" t="s">
        <v>47</v>
      </c>
      <c r="V47" s="11" t="s">
        <v>47</v>
      </c>
      <c r="W47" s="11" t="s">
        <v>47</v>
      </c>
      <c r="X47" s="8" t="s">
        <v>256</v>
      </c>
      <c r="Y47" s="8"/>
      <c r="Z47" s="11"/>
      <c r="AA47" s="11" t="s">
        <v>47</v>
      </c>
      <c r="AB47" s="11" t="s">
        <v>47</v>
      </c>
      <c r="AC47" s="11" t="s">
        <v>47</v>
      </c>
      <c r="AD47" s="11" t="s">
        <v>47</v>
      </c>
      <c r="AE47" s="11" t="s">
        <v>47</v>
      </c>
      <c r="AF47" s="11" t="s">
        <v>47</v>
      </c>
      <c r="AG47" s="15"/>
      <c r="AH47" s="15"/>
      <c r="AI47" s="15"/>
      <c r="AJ47" s="15"/>
      <c r="AK47" s="11" t="s">
        <v>47</v>
      </c>
      <c r="AL47" s="18"/>
      <c r="AM47" s="9">
        <v>0.0</v>
      </c>
      <c r="AN47" s="18"/>
      <c r="AO47" s="18"/>
      <c r="AP47" s="19">
        <f t="shared" si="2"/>
        <v>0</v>
      </c>
      <c r="AQ47" s="15" t="s">
        <v>47</v>
      </c>
      <c r="AR47" s="15" t="s">
        <v>47</v>
      </c>
    </row>
    <row r="48">
      <c r="A48" s="23" t="s">
        <v>257</v>
      </c>
      <c r="B48" s="9">
        <v>112.0</v>
      </c>
      <c r="C48" s="24">
        <v>45862.0</v>
      </c>
      <c r="D48" s="23" t="str">
        <f t="shared" si="1"/>
        <v>臺中</v>
      </c>
      <c r="E48" s="23" t="s">
        <v>258</v>
      </c>
      <c r="F48" s="25" t="s">
        <v>133</v>
      </c>
      <c r="G48" s="28">
        <v>3.0</v>
      </c>
      <c r="H48" s="11" t="s">
        <v>47</v>
      </c>
      <c r="I48" s="11" t="s">
        <v>47</v>
      </c>
      <c r="J48" s="11" t="s">
        <v>47</v>
      </c>
      <c r="K48" s="17">
        <v>2353.0</v>
      </c>
      <c r="L48" s="17">
        <v>2353.0</v>
      </c>
      <c r="M48" s="13" t="s">
        <v>47</v>
      </c>
      <c r="N48" s="26" t="s">
        <v>88</v>
      </c>
      <c r="O48" s="26" t="s">
        <v>48</v>
      </c>
      <c r="P48" s="8" t="s">
        <v>49</v>
      </c>
      <c r="Q48" s="25" t="s">
        <v>259</v>
      </c>
      <c r="R48" s="8" t="s">
        <v>51</v>
      </c>
      <c r="S48" s="14">
        <f t="shared" ref="S48:S63" si="6">T:T/1000</f>
        <v>59</v>
      </c>
      <c r="T48" s="14">
        <v>59000.0</v>
      </c>
      <c r="U48" s="26" t="s">
        <v>47</v>
      </c>
      <c r="V48" s="26" t="s">
        <v>47</v>
      </c>
      <c r="W48" s="26" t="s">
        <v>47</v>
      </c>
      <c r="X48" s="25" t="s">
        <v>260</v>
      </c>
      <c r="Y48" s="25" t="s">
        <v>53</v>
      </c>
      <c r="Z48" s="8" t="s">
        <v>54</v>
      </c>
      <c r="AA48" s="20" t="s">
        <v>74</v>
      </c>
      <c r="AB48" s="20" t="s">
        <v>74</v>
      </c>
      <c r="AC48" s="8" t="s">
        <v>54</v>
      </c>
      <c r="AD48" s="8" t="s">
        <v>54</v>
      </c>
      <c r="AE48" s="8" t="s">
        <v>54</v>
      </c>
      <c r="AF48" s="8" t="s">
        <v>54</v>
      </c>
      <c r="AG48" s="17">
        <v>0.0</v>
      </c>
      <c r="AH48" s="17">
        <v>0.0</v>
      </c>
      <c r="AI48" s="17">
        <v>0.0</v>
      </c>
      <c r="AJ48" s="17">
        <v>0.0</v>
      </c>
      <c r="AK48" s="26" t="s">
        <v>47</v>
      </c>
      <c r="AL48" s="27">
        <v>200000.0</v>
      </c>
      <c r="AM48" s="15">
        <v>25000.0</v>
      </c>
      <c r="AN48" s="27">
        <v>27353.0</v>
      </c>
      <c r="AO48" s="27">
        <v>27353.0</v>
      </c>
      <c r="AP48" s="16">
        <f t="shared" si="2"/>
        <v>0</v>
      </c>
      <c r="AQ48" s="15" t="s">
        <v>47</v>
      </c>
      <c r="AR48" s="15" t="s">
        <v>47</v>
      </c>
    </row>
    <row r="49">
      <c r="A49" s="26" t="s">
        <v>261</v>
      </c>
      <c r="B49" s="9">
        <v>112.0</v>
      </c>
      <c r="C49" s="29">
        <v>45838.0</v>
      </c>
      <c r="D49" s="26" t="str">
        <f t="shared" si="1"/>
        <v>臺南</v>
      </c>
      <c r="E49" s="23" t="s">
        <v>262</v>
      </c>
      <c r="F49" s="25" t="s">
        <v>133</v>
      </c>
      <c r="G49" s="28">
        <v>3.0</v>
      </c>
      <c r="H49" s="11" t="s">
        <v>47</v>
      </c>
      <c r="I49" s="11" t="s">
        <v>47</v>
      </c>
      <c r="J49" s="23" t="s">
        <v>263</v>
      </c>
      <c r="K49" s="17">
        <v>102625.0</v>
      </c>
      <c r="L49" s="17">
        <v>102625.0</v>
      </c>
      <c r="M49" s="13" t="s">
        <v>47</v>
      </c>
      <c r="N49" s="26" t="s">
        <v>88</v>
      </c>
      <c r="O49" s="26" t="s">
        <v>48</v>
      </c>
      <c r="P49" s="8" t="s">
        <v>49</v>
      </c>
      <c r="Q49" s="26" t="s">
        <v>264</v>
      </c>
      <c r="R49" s="8" t="s">
        <v>51</v>
      </c>
      <c r="S49" s="14">
        <f t="shared" si="6"/>
        <v>120</v>
      </c>
      <c r="T49" s="14">
        <v>120000.0</v>
      </c>
      <c r="U49" s="26" t="s">
        <v>47</v>
      </c>
      <c r="V49" s="26" t="s">
        <v>47</v>
      </c>
      <c r="W49" s="26" t="s">
        <v>47</v>
      </c>
      <c r="X49" s="25" t="s">
        <v>265</v>
      </c>
      <c r="Y49" s="25" t="s">
        <v>53</v>
      </c>
      <c r="Z49" s="8" t="s">
        <v>54</v>
      </c>
      <c r="AA49" s="20" t="s">
        <v>74</v>
      </c>
      <c r="AB49" s="20" t="s">
        <v>74</v>
      </c>
      <c r="AC49" s="8" t="s">
        <v>54</v>
      </c>
      <c r="AD49" s="8" t="s">
        <v>54</v>
      </c>
      <c r="AE49" s="8" t="s">
        <v>54</v>
      </c>
      <c r="AF49" s="8" t="s">
        <v>54</v>
      </c>
      <c r="AG49" s="17">
        <v>0.0</v>
      </c>
      <c r="AH49" s="17">
        <v>0.0</v>
      </c>
      <c r="AI49" s="17">
        <f>207500+32570</f>
        <v>240070</v>
      </c>
      <c r="AJ49" s="17">
        <v>186560.0</v>
      </c>
      <c r="AK49" s="26" t="s">
        <v>47</v>
      </c>
      <c r="AL49" s="20" t="s">
        <v>170</v>
      </c>
      <c r="AM49" s="15">
        <v>400000.0</v>
      </c>
      <c r="AN49" s="27">
        <v>988850.0</v>
      </c>
      <c r="AO49" s="27">
        <v>988850.0</v>
      </c>
      <c r="AP49" s="16">
        <f t="shared" si="2"/>
        <v>0</v>
      </c>
      <c r="AQ49" s="15" t="s">
        <v>47</v>
      </c>
      <c r="AR49" s="15" t="s">
        <v>47</v>
      </c>
    </row>
    <row r="50" hidden="1">
      <c r="A50" s="8" t="s">
        <v>266</v>
      </c>
      <c r="B50" s="9"/>
      <c r="C50" s="9"/>
      <c r="D50" s="8" t="str">
        <f t="shared" si="1"/>
        <v>金門</v>
      </c>
      <c r="E50" s="8" t="s">
        <v>144</v>
      </c>
      <c r="F50" s="8"/>
      <c r="G50" s="18"/>
      <c r="H50" s="11" t="s">
        <v>47</v>
      </c>
      <c r="I50" s="11" t="s">
        <v>47</v>
      </c>
      <c r="J50" s="11" t="s">
        <v>47</v>
      </c>
      <c r="K50" s="12"/>
      <c r="L50" s="12"/>
      <c r="M50" s="13" t="s">
        <v>47</v>
      </c>
      <c r="N50" s="8" t="s">
        <v>48</v>
      </c>
      <c r="O50" s="8" t="s">
        <v>48</v>
      </c>
      <c r="P50" s="8" t="s">
        <v>61</v>
      </c>
      <c r="Q50" s="8" t="s">
        <v>267</v>
      </c>
      <c r="R50" s="8"/>
      <c r="S50" s="14">
        <f t="shared" si="6"/>
        <v>0</v>
      </c>
      <c r="T50" s="8"/>
      <c r="U50" s="11" t="s">
        <v>47</v>
      </c>
      <c r="V50" s="11" t="s">
        <v>47</v>
      </c>
      <c r="W50" s="11" t="s">
        <v>47</v>
      </c>
      <c r="X50" s="8" t="s">
        <v>268</v>
      </c>
      <c r="Y50" s="8"/>
      <c r="Z50" s="8" t="s">
        <v>54</v>
      </c>
      <c r="AA50" s="11" t="s">
        <v>47</v>
      </c>
      <c r="AB50" s="11" t="s">
        <v>47</v>
      </c>
      <c r="AC50" s="8" t="s">
        <v>54</v>
      </c>
      <c r="AD50" s="8" t="s">
        <v>54</v>
      </c>
      <c r="AE50" s="8" t="s">
        <v>54</v>
      </c>
      <c r="AF50" s="8" t="s">
        <v>54</v>
      </c>
      <c r="AG50" s="15"/>
      <c r="AH50" s="15"/>
      <c r="AI50" s="15"/>
      <c r="AJ50" s="15"/>
      <c r="AK50" s="11" t="s">
        <v>47</v>
      </c>
      <c r="AL50" s="18"/>
      <c r="AM50" s="9">
        <v>0.0</v>
      </c>
      <c r="AN50" s="18"/>
      <c r="AO50" s="18"/>
      <c r="AP50" s="19">
        <f t="shared" si="2"/>
        <v>0</v>
      </c>
      <c r="AQ50" s="15" t="s">
        <v>47</v>
      </c>
      <c r="AR50" s="15" t="s">
        <v>47</v>
      </c>
    </row>
    <row r="51">
      <c r="A51" s="26" t="s">
        <v>269</v>
      </c>
      <c r="B51" s="9">
        <v>112.0</v>
      </c>
      <c r="C51" s="29">
        <v>45836.0</v>
      </c>
      <c r="D51" s="26" t="str">
        <f t="shared" si="1"/>
        <v>臺北</v>
      </c>
      <c r="E51" s="26" t="s">
        <v>270</v>
      </c>
      <c r="F51" s="26" t="s">
        <v>46</v>
      </c>
      <c r="G51" s="30">
        <v>3.0</v>
      </c>
      <c r="H51" s="11" t="s">
        <v>47</v>
      </c>
      <c r="I51" s="11" t="s">
        <v>47</v>
      </c>
      <c r="J51" s="11" t="s">
        <v>47</v>
      </c>
      <c r="K51" s="17">
        <v>7020.0</v>
      </c>
      <c r="L51" s="17">
        <v>7020.0</v>
      </c>
      <c r="M51" s="13" t="s">
        <v>47</v>
      </c>
      <c r="N51" s="26" t="s">
        <v>48</v>
      </c>
      <c r="O51" s="26" t="s">
        <v>48</v>
      </c>
      <c r="P51" s="8" t="s">
        <v>49</v>
      </c>
      <c r="Q51" s="26" t="s">
        <v>271</v>
      </c>
      <c r="R51" s="8" t="s">
        <v>51</v>
      </c>
      <c r="S51" s="14">
        <f t="shared" si="6"/>
        <v>80</v>
      </c>
      <c r="T51" s="14">
        <v>80000.0</v>
      </c>
      <c r="U51" s="26" t="s">
        <v>47</v>
      </c>
      <c r="V51" s="26" t="s">
        <v>47</v>
      </c>
      <c r="W51" s="26" t="s">
        <v>47</v>
      </c>
      <c r="X51" s="26" t="s">
        <v>272</v>
      </c>
      <c r="Y51" s="26" t="s">
        <v>73</v>
      </c>
      <c r="Z51" s="8" t="s">
        <v>54</v>
      </c>
      <c r="AA51" s="20" t="s">
        <v>74</v>
      </c>
      <c r="AB51" s="20" t="s">
        <v>74</v>
      </c>
      <c r="AC51" s="8" t="s">
        <v>54</v>
      </c>
      <c r="AD51" s="8" t="s">
        <v>54</v>
      </c>
      <c r="AE51" s="8" t="s">
        <v>54</v>
      </c>
      <c r="AF51" s="8" t="s">
        <v>54</v>
      </c>
      <c r="AG51" s="17">
        <v>3340.0</v>
      </c>
      <c r="AH51" s="17">
        <v>33400.0</v>
      </c>
      <c r="AI51" s="17">
        <v>0.0</v>
      </c>
      <c r="AJ51" s="17">
        <v>0.0</v>
      </c>
      <c r="AK51" s="26" t="s">
        <v>47</v>
      </c>
      <c r="AL51" s="27">
        <v>60000.0</v>
      </c>
      <c r="AM51" s="15">
        <v>40000.0</v>
      </c>
      <c r="AN51" s="27">
        <v>50360.0</v>
      </c>
      <c r="AO51" s="27">
        <v>50360.0</v>
      </c>
      <c r="AP51" s="16">
        <f t="shared" si="2"/>
        <v>0</v>
      </c>
      <c r="AQ51" s="15" t="s">
        <v>47</v>
      </c>
      <c r="AR51" s="15" t="s">
        <v>47</v>
      </c>
    </row>
    <row r="52">
      <c r="A52" s="23" t="s">
        <v>273</v>
      </c>
      <c r="B52" s="9">
        <v>112.0</v>
      </c>
      <c r="C52" s="24">
        <v>45800.0</v>
      </c>
      <c r="D52" s="23" t="str">
        <f t="shared" si="1"/>
        <v>臺北</v>
      </c>
      <c r="E52" s="26" t="s">
        <v>274</v>
      </c>
      <c r="F52" s="26" t="s">
        <v>70</v>
      </c>
      <c r="G52" s="30">
        <v>5.0</v>
      </c>
      <c r="H52" s="11" t="s">
        <v>47</v>
      </c>
      <c r="I52" s="11" t="s">
        <v>47</v>
      </c>
      <c r="J52" s="26" t="s">
        <v>275</v>
      </c>
      <c r="K52" s="17">
        <v>3540.0</v>
      </c>
      <c r="L52" s="17">
        <v>11060.0</v>
      </c>
      <c r="M52" s="13" t="s">
        <v>47</v>
      </c>
      <c r="N52" s="26" t="s">
        <v>48</v>
      </c>
      <c r="O52" s="26" t="s">
        <v>48</v>
      </c>
      <c r="P52" s="8" t="s">
        <v>49</v>
      </c>
      <c r="Q52" s="25" t="s">
        <v>276</v>
      </c>
      <c r="R52" s="8" t="s">
        <v>51</v>
      </c>
      <c r="S52" s="14">
        <f t="shared" si="6"/>
        <v>40</v>
      </c>
      <c r="T52" s="14">
        <v>40000.0</v>
      </c>
      <c r="U52" s="26" t="s">
        <v>47</v>
      </c>
      <c r="V52" s="26" t="s">
        <v>47</v>
      </c>
      <c r="W52" s="26" t="s">
        <v>47</v>
      </c>
      <c r="X52" s="26" t="s">
        <v>277</v>
      </c>
      <c r="Y52" s="26" t="s">
        <v>56</v>
      </c>
      <c r="Z52" s="8" t="s">
        <v>54</v>
      </c>
      <c r="AA52" s="20" t="s">
        <v>74</v>
      </c>
      <c r="AB52" s="20" t="s">
        <v>74</v>
      </c>
      <c r="AC52" s="8" t="s">
        <v>54</v>
      </c>
      <c r="AD52" s="8" t="s">
        <v>54</v>
      </c>
      <c r="AE52" s="8" t="s">
        <v>54</v>
      </c>
      <c r="AF52" s="8" t="s">
        <v>54</v>
      </c>
      <c r="AG52" s="17">
        <v>14755.0</v>
      </c>
      <c r="AH52" s="17">
        <v>45400.0</v>
      </c>
      <c r="AI52" s="17">
        <v>0.0</v>
      </c>
      <c r="AJ52" s="17">
        <v>0.0</v>
      </c>
      <c r="AK52" s="26" t="s">
        <v>47</v>
      </c>
      <c r="AL52" s="27">
        <v>300000.0</v>
      </c>
      <c r="AM52" s="15">
        <v>60000.0</v>
      </c>
      <c r="AN52" s="27">
        <v>78295.0</v>
      </c>
      <c r="AO52" s="27">
        <v>78295.0</v>
      </c>
      <c r="AP52" s="16">
        <f t="shared" si="2"/>
        <v>0</v>
      </c>
      <c r="AQ52" s="15" t="s">
        <v>47</v>
      </c>
      <c r="AR52" s="15" t="s">
        <v>47</v>
      </c>
    </row>
    <row r="53" hidden="1">
      <c r="A53" s="8" t="s">
        <v>278</v>
      </c>
      <c r="B53" s="9"/>
      <c r="C53" s="9"/>
      <c r="D53" s="8" t="str">
        <f t="shared" si="1"/>
        <v>高雄</v>
      </c>
      <c r="E53" s="8" t="s">
        <v>279</v>
      </c>
      <c r="F53" s="8"/>
      <c r="G53" s="18"/>
      <c r="H53" s="11" t="s">
        <v>47</v>
      </c>
      <c r="I53" s="11" t="s">
        <v>47</v>
      </c>
      <c r="J53" s="11" t="s">
        <v>47</v>
      </c>
      <c r="K53" s="12"/>
      <c r="L53" s="12"/>
      <c r="M53" s="13" t="s">
        <v>47</v>
      </c>
      <c r="N53" s="8" t="s">
        <v>48</v>
      </c>
      <c r="O53" s="8" t="s">
        <v>48</v>
      </c>
      <c r="P53" s="8" t="s">
        <v>280</v>
      </c>
      <c r="Q53" s="8"/>
      <c r="R53" s="8"/>
      <c r="S53" s="14">
        <f t="shared" si="6"/>
        <v>0</v>
      </c>
      <c r="T53" s="8"/>
      <c r="U53" s="11" t="s">
        <v>47</v>
      </c>
      <c r="V53" s="11" t="s">
        <v>47</v>
      </c>
      <c r="W53" s="11" t="s">
        <v>47</v>
      </c>
      <c r="X53" s="8" t="s">
        <v>281</v>
      </c>
      <c r="Y53" s="8"/>
      <c r="Z53" s="8" t="s">
        <v>54</v>
      </c>
      <c r="AA53" s="8" t="s">
        <v>63</v>
      </c>
      <c r="AB53" s="20" t="s">
        <v>74</v>
      </c>
      <c r="AC53" s="8" t="s">
        <v>54</v>
      </c>
      <c r="AD53" s="8" t="s">
        <v>54</v>
      </c>
      <c r="AE53" s="8" t="s">
        <v>54</v>
      </c>
      <c r="AF53" s="8" t="s">
        <v>54</v>
      </c>
      <c r="AG53" s="15"/>
      <c r="AH53" s="15"/>
      <c r="AI53" s="15"/>
      <c r="AJ53" s="15"/>
      <c r="AK53" s="11" t="s">
        <v>47</v>
      </c>
      <c r="AL53" s="18"/>
      <c r="AM53" s="15">
        <v>150000.0</v>
      </c>
      <c r="AN53" s="18"/>
      <c r="AO53" s="18"/>
      <c r="AP53" s="19">
        <f t="shared" si="2"/>
        <v>0</v>
      </c>
      <c r="AQ53" s="15" t="s">
        <v>47</v>
      </c>
      <c r="AR53" s="15" t="s">
        <v>47</v>
      </c>
    </row>
    <row r="54">
      <c r="A54" s="8" t="s">
        <v>282</v>
      </c>
      <c r="B54" s="9">
        <v>112.0</v>
      </c>
      <c r="C54" s="10">
        <v>45768.0</v>
      </c>
      <c r="D54" s="8" t="str">
        <f t="shared" si="1"/>
        <v>臺北</v>
      </c>
      <c r="E54" s="25" t="s">
        <v>283</v>
      </c>
      <c r="F54" s="25" t="s">
        <v>73</v>
      </c>
      <c r="G54" s="9">
        <v>2.0</v>
      </c>
      <c r="H54" s="11" t="s">
        <v>47</v>
      </c>
      <c r="I54" s="11" t="s">
        <v>47</v>
      </c>
      <c r="J54" s="11" t="s">
        <v>47</v>
      </c>
      <c r="K54" s="17">
        <v>112160.0</v>
      </c>
      <c r="L54" s="17">
        <v>112160.0</v>
      </c>
      <c r="M54" s="9">
        <v>57.0</v>
      </c>
      <c r="N54" s="8" t="s">
        <v>48</v>
      </c>
      <c r="O54" s="8" t="s">
        <v>48</v>
      </c>
      <c r="P54" s="8" t="s">
        <v>49</v>
      </c>
      <c r="Q54" s="8" t="s">
        <v>284</v>
      </c>
      <c r="R54" s="8" t="s">
        <v>51</v>
      </c>
      <c r="S54" s="14">
        <f t="shared" si="6"/>
        <v>180</v>
      </c>
      <c r="T54" s="14">
        <v>180000.0</v>
      </c>
      <c r="U54" s="8" t="s">
        <v>47</v>
      </c>
      <c r="V54" s="8" t="s">
        <v>47</v>
      </c>
      <c r="W54" s="8" t="s">
        <v>47</v>
      </c>
      <c r="X54" s="8" t="s">
        <v>285</v>
      </c>
      <c r="Y54" s="8" t="s">
        <v>53</v>
      </c>
      <c r="Z54" s="8" t="s">
        <v>54</v>
      </c>
      <c r="AA54" s="20" t="s">
        <v>74</v>
      </c>
      <c r="AB54" s="20" t="s">
        <v>74</v>
      </c>
      <c r="AC54" s="8" t="s">
        <v>54</v>
      </c>
      <c r="AD54" s="8" t="s">
        <v>54</v>
      </c>
      <c r="AE54" s="8" t="s">
        <v>54</v>
      </c>
      <c r="AF54" s="8" t="s">
        <v>54</v>
      </c>
      <c r="AG54" s="17">
        <v>0.0</v>
      </c>
      <c r="AH54" s="17">
        <v>0.0</v>
      </c>
      <c r="AI54" s="17">
        <v>134400.0</v>
      </c>
      <c r="AJ54" s="17">
        <v>430000.0</v>
      </c>
      <c r="AK54" s="8" t="s">
        <v>47</v>
      </c>
      <c r="AL54" s="15">
        <v>500000.0</v>
      </c>
      <c r="AM54" s="15">
        <v>500000.0</v>
      </c>
      <c r="AN54" s="15">
        <v>1176560.0</v>
      </c>
      <c r="AO54" s="15">
        <v>1176560.0</v>
      </c>
      <c r="AP54" s="16">
        <f t="shared" si="2"/>
        <v>0</v>
      </c>
      <c r="AQ54" s="15" t="s">
        <v>47</v>
      </c>
      <c r="AR54" s="15" t="s">
        <v>47</v>
      </c>
    </row>
    <row r="55">
      <c r="A55" s="8" t="s">
        <v>286</v>
      </c>
      <c r="B55" s="9">
        <v>112.0</v>
      </c>
      <c r="C55" s="10">
        <v>45758.0</v>
      </c>
      <c r="D55" s="8" t="str">
        <f t="shared" si="1"/>
        <v>臺北</v>
      </c>
      <c r="E55" s="8" t="s">
        <v>287</v>
      </c>
      <c r="F55" s="8" t="s">
        <v>70</v>
      </c>
      <c r="G55" s="9">
        <v>5.0</v>
      </c>
      <c r="H55" s="11" t="s">
        <v>47</v>
      </c>
      <c r="I55" s="11" t="s">
        <v>47</v>
      </c>
      <c r="J55" s="8" t="s">
        <v>288</v>
      </c>
      <c r="K55" s="12">
        <v>0.0</v>
      </c>
      <c r="L55" s="12">
        <v>0.0</v>
      </c>
      <c r="M55" s="13" t="s">
        <v>47</v>
      </c>
      <c r="N55" s="8" t="s">
        <v>48</v>
      </c>
      <c r="O55" s="8" t="s">
        <v>48</v>
      </c>
      <c r="P55" s="8" t="s">
        <v>49</v>
      </c>
      <c r="Q55" s="25" t="s">
        <v>289</v>
      </c>
      <c r="R55" s="8" t="s">
        <v>51</v>
      </c>
      <c r="S55" s="14">
        <f t="shared" si="6"/>
        <v>30</v>
      </c>
      <c r="T55" s="14">
        <v>30000.0</v>
      </c>
      <c r="U55" s="8" t="s">
        <v>47</v>
      </c>
      <c r="V55" s="8" t="s">
        <v>47</v>
      </c>
      <c r="W55" s="8" t="s">
        <v>47</v>
      </c>
      <c r="X55" s="8" t="s">
        <v>290</v>
      </c>
      <c r="Y55" s="8" t="s">
        <v>73</v>
      </c>
      <c r="Z55" s="8" t="s">
        <v>54</v>
      </c>
      <c r="AA55" s="8" t="s">
        <v>56</v>
      </c>
      <c r="AB55" s="8" t="s">
        <v>70</v>
      </c>
      <c r="AC55" s="8" t="s">
        <v>54</v>
      </c>
      <c r="AD55" s="8" t="s">
        <v>54</v>
      </c>
      <c r="AE55" s="8" t="s">
        <v>54</v>
      </c>
      <c r="AF55" s="8" t="s">
        <v>54</v>
      </c>
      <c r="AG55" s="17">
        <v>0.0</v>
      </c>
      <c r="AH55" s="17">
        <v>0.0</v>
      </c>
      <c r="AI55" s="17">
        <v>0.0</v>
      </c>
      <c r="AJ55" s="17">
        <v>53724.0</v>
      </c>
      <c r="AK55" s="8" t="s">
        <v>47</v>
      </c>
      <c r="AL55" s="15">
        <v>327254.0</v>
      </c>
      <c r="AM55" s="15">
        <v>100000.0</v>
      </c>
      <c r="AN55" s="15">
        <v>153724.0</v>
      </c>
      <c r="AO55" s="15">
        <v>153724.0</v>
      </c>
      <c r="AP55" s="16">
        <f t="shared" si="2"/>
        <v>0</v>
      </c>
      <c r="AQ55" s="15" t="s">
        <v>47</v>
      </c>
      <c r="AR55" s="15" t="s">
        <v>47</v>
      </c>
    </row>
    <row r="56" hidden="1">
      <c r="A56" s="8" t="s">
        <v>291</v>
      </c>
      <c r="B56" s="9"/>
      <c r="C56" s="9"/>
      <c r="D56" s="8" t="str">
        <f t="shared" si="1"/>
        <v>高雄</v>
      </c>
      <c r="E56" s="8" t="s">
        <v>292</v>
      </c>
      <c r="F56" s="8"/>
      <c r="G56" s="18"/>
      <c r="H56" s="11" t="s">
        <v>47</v>
      </c>
      <c r="I56" s="11" t="s">
        <v>47</v>
      </c>
      <c r="J56" s="11" t="s">
        <v>47</v>
      </c>
      <c r="K56" s="12"/>
      <c r="L56" s="12"/>
      <c r="M56" s="13" t="s">
        <v>47</v>
      </c>
      <c r="N56" s="8" t="s">
        <v>120</v>
      </c>
      <c r="O56" s="8" t="s">
        <v>48</v>
      </c>
      <c r="P56" s="8" t="s">
        <v>293</v>
      </c>
      <c r="Q56" s="8"/>
      <c r="R56" s="8"/>
      <c r="S56" s="14">
        <f t="shared" si="6"/>
        <v>0</v>
      </c>
      <c r="T56" s="8"/>
      <c r="U56" s="11" t="s">
        <v>47</v>
      </c>
      <c r="V56" s="11" t="s">
        <v>47</v>
      </c>
      <c r="W56" s="11" t="s">
        <v>47</v>
      </c>
      <c r="X56" s="8" t="s">
        <v>135</v>
      </c>
      <c r="Y56" s="8"/>
      <c r="Z56" s="8" t="s">
        <v>54</v>
      </c>
      <c r="AA56" s="8" t="s">
        <v>87</v>
      </c>
      <c r="AB56" s="8" t="s">
        <v>294</v>
      </c>
      <c r="AC56" s="8" t="s">
        <v>54</v>
      </c>
      <c r="AD56" s="8" t="s">
        <v>54</v>
      </c>
      <c r="AE56" s="8" t="s">
        <v>54</v>
      </c>
      <c r="AF56" s="8" t="s">
        <v>54</v>
      </c>
      <c r="AG56" s="15"/>
      <c r="AH56" s="15">
        <v>0.0</v>
      </c>
      <c r="AI56" s="15"/>
      <c r="AJ56" s="15"/>
      <c r="AK56" s="11" t="s">
        <v>47</v>
      </c>
      <c r="AL56" s="18"/>
      <c r="AM56" s="9" t="s">
        <v>295</v>
      </c>
      <c r="AN56" s="18"/>
      <c r="AO56" s="18"/>
      <c r="AP56" s="19">
        <f t="shared" si="2"/>
        <v>0</v>
      </c>
      <c r="AQ56" s="15" t="s">
        <v>47</v>
      </c>
      <c r="AR56" s="15" t="s">
        <v>47</v>
      </c>
    </row>
    <row r="57">
      <c r="A57" s="8" t="s">
        <v>296</v>
      </c>
      <c r="B57" s="9">
        <v>112.0</v>
      </c>
      <c r="C57" s="10">
        <v>45835.0</v>
      </c>
      <c r="D57" s="8" t="str">
        <f t="shared" si="1"/>
        <v>臺北</v>
      </c>
      <c r="E57" s="8" t="s">
        <v>297</v>
      </c>
      <c r="F57" s="8" t="s">
        <v>46</v>
      </c>
      <c r="G57" s="9">
        <v>5.0</v>
      </c>
      <c r="H57" s="11" t="s">
        <v>47</v>
      </c>
      <c r="I57" s="11" t="s">
        <v>47</v>
      </c>
      <c r="J57" s="11" t="s">
        <v>47</v>
      </c>
      <c r="K57" s="17">
        <v>4816.0</v>
      </c>
      <c r="L57" s="17">
        <v>7703.0</v>
      </c>
      <c r="M57" s="13" t="s">
        <v>47</v>
      </c>
      <c r="N57" s="8" t="s">
        <v>48</v>
      </c>
      <c r="O57" s="8" t="s">
        <v>48</v>
      </c>
      <c r="P57" s="8" t="s">
        <v>49</v>
      </c>
      <c r="Q57" s="8" t="s">
        <v>298</v>
      </c>
      <c r="R57" s="8" t="s">
        <v>51</v>
      </c>
      <c r="S57" s="14">
        <f t="shared" si="6"/>
        <v>30</v>
      </c>
      <c r="T57" s="14">
        <v>30000.0</v>
      </c>
      <c r="U57" s="8" t="s">
        <v>47</v>
      </c>
      <c r="V57" s="8" t="s">
        <v>299</v>
      </c>
      <c r="W57" s="8" t="s">
        <v>47</v>
      </c>
      <c r="X57" s="8" t="s">
        <v>300</v>
      </c>
      <c r="Y57" s="8" t="s">
        <v>73</v>
      </c>
      <c r="Z57" s="8" t="s">
        <v>54</v>
      </c>
      <c r="AA57" s="8" t="s">
        <v>55</v>
      </c>
      <c r="AB57" s="8" t="s">
        <v>55</v>
      </c>
      <c r="AC57" s="8" t="s">
        <v>54</v>
      </c>
      <c r="AD57" s="8" t="s">
        <v>54</v>
      </c>
      <c r="AE57" s="8" t="s">
        <v>54</v>
      </c>
      <c r="AF57" s="8" t="s">
        <v>54</v>
      </c>
      <c r="AG57" s="17">
        <v>923.0</v>
      </c>
      <c r="AH57" s="17">
        <v>2100.0</v>
      </c>
      <c r="AI57" s="17">
        <v>0.0</v>
      </c>
      <c r="AJ57" s="17">
        <v>0.0</v>
      </c>
      <c r="AK57" s="8" t="s">
        <v>47</v>
      </c>
      <c r="AL57" s="15">
        <v>200000.0</v>
      </c>
      <c r="AM57" s="15">
        <v>36000.0</v>
      </c>
      <c r="AN57" s="15">
        <v>41739.0</v>
      </c>
      <c r="AO57" s="15">
        <v>41739.0</v>
      </c>
      <c r="AP57" s="16">
        <f t="shared" si="2"/>
        <v>0</v>
      </c>
      <c r="AQ57" s="15" t="s">
        <v>47</v>
      </c>
      <c r="AR57" s="15" t="s">
        <v>47</v>
      </c>
    </row>
    <row r="58">
      <c r="A58" s="8" t="s">
        <v>301</v>
      </c>
      <c r="B58" s="9">
        <v>112.0</v>
      </c>
      <c r="C58" s="10">
        <v>45866.0</v>
      </c>
      <c r="D58" s="8" t="str">
        <f t="shared" si="1"/>
        <v>臺北</v>
      </c>
      <c r="E58" s="8" t="s">
        <v>302</v>
      </c>
      <c r="F58" s="8" t="s">
        <v>124</v>
      </c>
      <c r="G58" s="9">
        <v>5.0</v>
      </c>
      <c r="H58" s="11" t="s">
        <v>47</v>
      </c>
      <c r="I58" s="11" t="s">
        <v>47</v>
      </c>
      <c r="J58" s="11" t="s">
        <v>47</v>
      </c>
      <c r="K58" s="12">
        <v>710.0</v>
      </c>
      <c r="L58" s="17">
        <v>10000.0</v>
      </c>
      <c r="M58" s="13" t="s">
        <v>47</v>
      </c>
      <c r="N58" s="8" t="s">
        <v>48</v>
      </c>
      <c r="O58" s="8" t="s">
        <v>48</v>
      </c>
      <c r="P58" s="8" t="s">
        <v>49</v>
      </c>
      <c r="Q58" s="25" t="s">
        <v>303</v>
      </c>
      <c r="R58" s="8" t="s">
        <v>51</v>
      </c>
      <c r="S58" s="14">
        <f t="shared" si="6"/>
        <v>50</v>
      </c>
      <c r="T58" s="14">
        <v>50000.0</v>
      </c>
      <c r="U58" s="8" t="s">
        <v>47</v>
      </c>
      <c r="V58" s="8" t="s">
        <v>47</v>
      </c>
      <c r="W58" s="8" t="s">
        <v>47</v>
      </c>
      <c r="X58" s="8" t="s">
        <v>304</v>
      </c>
      <c r="Y58" s="8" t="s">
        <v>73</v>
      </c>
      <c r="Z58" s="8" t="s">
        <v>54</v>
      </c>
      <c r="AA58" s="20" t="s">
        <v>74</v>
      </c>
      <c r="AB58" s="20" t="s">
        <v>74</v>
      </c>
      <c r="AC58" s="8" t="s">
        <v>54</v>
      </c>
      <c r="AD58" s="8" t="s">
        <v>54</v>
      </c>
      <c r="AE58" s="8" t="s">
        <v>54</v>
      </c>
      <c r="AF58" s="8" t="s">
        <v>54</v>
      </c>
      <c r="AG58" s="17">
        <v>140667.0</v>
      </c>
      <c r="AH58" s="17">
        <v>195879.0</v>
      </c>
      <c r="AI58" s="17">
        <v>0.0</v>
      </c>
      <c r="AJ58" s="17">
        <v>0.0</v>
      </c>
      <c r="AK58" s="8" t="s">
        <v>47</v>
      </c>
      <c r="AL58" s="15">
        <v>100000.0</v>
      </c>
      <c r="AM58" s="15">
        <v>600000.0</v>
      </c>
      <c r="AN58" s="15">
        <v>106589.0</v>
      </c>
      <c r="AO58" s="15">
        <v>106589.0</v>
      </c>
      <c r="AP58" s="16">
        <f t="shared" si="2"/>
        <v>0</v>
      </c>
      <c r="AQ58" s="15" t="s">
        <v>47</v>
      </c>
      <c r="AR58" s="15" t="s">
        <v>47</v>
      </c>
    </row>
    <row r="59">
      <c r="A59" s="8" t="s">
        <v>305</v>
      </c>
      <c r="B59" s="9">
        <v>112.0</v>
      </c>
      <c r="C59" s="10">
        <v>45807.0</v>
      </c>
      <c r="D59" s="8" t="str">
        <f t="shared" si="1"/>
        <v>臺北</v>
      </c>
      <c r="E59" s="8" t="s">
        <v>306</v>
      </c>
      <c r="F59" s="8" t="s">
        <v>124</v>
      </c>
      <c r="G59" s="9">
        <v>5.0</v>
      </c>
      <c r="H59" s="11" t="s">
        <v>47</v>
      </c>
      <c r="I59" s="11" t="s">
        <v>47</v>
      </c>
      <c r="J59" s="8" t="s">
        <v>307</v>
      </c>
      <c r="K59" s="17">
        <v>7650.0</v>
      </c>
      <c r="L59" s="17">
        <v>7650.0</v>
      </c>
      <c r="M59" s="13" t="s">
        <v>47</v>
      </c>
      <c r="N59" s="8" t="s">
        <v>48</v>
      </c>
      <c r="O59" s="8" t="s">
        <v>48</v>
      </c>
      <c r="P59" s="8" t="s">
        <v>49</v>
      </c>
      <c r="Q59" s="25" t="s">
        <v>308</v>
      </c>
      <c r="R59" s="8" t="s">
        <v>51</v>
      </c>
      <c r="S59" s="14">
        <f t="shared" si="6"/>
        <v>50</v>
      </c>
      <c r="T59" s="14">
        <v>50000.0</v>
      </c>
      <c r="U59" s="8" t="s">
        <v>47</v>
      </c>
      <c r="V59" s="8" t="s">
        <v>47</v>
      </c>
      <c r="W59" s="8" t="s">
        <v>47</v>
      </c>
      <c r="X59" s="8" t="s">
        <v>309</v>
      </c>
      <c r="Y59" s="8" t="s">
        <v>53</v>
      </c>
      <c r="Z59" s="8" t="s">
        <v>54</v>
      </c>
      <c r="AA59" s="20" t="s">
        <v>74</v>
      </c>
      <c r="AB59" s="20" t="s">
        <v>74</v>
      </c>
      <c r="AC59" s="8" t="s">
        <v>54</v>
      </c>
      <c r="AD59" s="8" t="s">
        <v>54</v>
      </c>
      <c r="AE59" s="8" t="s">
        <v>54</v>
      </c>
      <c r="AF59" s="8" t="s">
        <v>54</v>
      </c>
      <c r="AG59" s="17">
        <v>71700.0</v>
      </c>
      <c r="AH59" s="17">
        <v>144600.0</v>
      </c>
      <c r="AI59" s="17">
        <v>0.0</v>
      </c>
      <c r="AJ59" s="17">
        <f>7500+69500</f>
        <v>77000</v>
      </c>
      <c r="AK59" s="8" t="s">
        <v>47</v>
      </c>
      <c r="AL59" s="15">
        <v>100000.0</v>
      </c>
      <c r="AM59" s="15">
        <v>100000.0</v>
      </c>
      <c r="AN59" s="15">
        <v>256350.0</v>
      </c>
      <c r="AO59" s="15">
        <v>256350.0</v>
      </c>
      <c r="AP59" s="16">
        <f t="shared" si="2"/>
        <v>0</v>
      </c>
      <c r="AQ59" s="15" t="s">
        <v>47</v>
      </c>
      <c r="AR59" s="15" t="s">
        <v>47</v>
      </c>
    </row>
    <row r="60">
      <c r="A60" s="8" t="s">
        <v>310</v>
      </c>
      <c r="B60" s="9">
        <v>112.0</v>
      </c>
      <c r="C60" s="10">
        <v>45837.0</v>
      </c>
      <c r="D60" s="8" t="str">
        <f t="shared" si="1"/>
        <v>臺北</v>
      </c>
      <c r="E60" s="8" t="s">
        <v>311</v>
      </c>
      <c r="F60" s="8" t="s">
        <v>46</v>
      </c>
      <c r="G60" s="9">
        <v>4.0</v>
      </c>
      <c r="H60" s="11" t="s">
        <v>47</v>
      </c>
      <c r="I60" s="11" t="s">
        <v>47</v>
      </c>
      <c r="J60" s="8" t="s">
        <v>312</v>
      </c>
      <c r="K60" s="17">
        <v>305925.0</v>
      </c>
      <c r="L60" s="17">
        <v>305925.0</v>
      </c>
      <c r="M60" s="13" t="s">
        <v>47</v>
      </c>
      <c r="N60" s="8" t="s">
        <v>88</v>
      </c>
      <c r="O60" s="8" t="s">
        <v>88</v>
      </c>
      <c r="P60" s="8" t="s">
        <v>49</v>
      </c>
      <c r="Q60" s="25" t="s">
        <v>313</v>
      </c>
      <c r="R60" s="8" t="s">
        <v>51</v>
      </c>
      <c r="S60" s="14">
        <f t="shared" si="6"/>
        <v>60</v>
      </c>
      <c r="T60" s="14">
        <v>60000.0</v>
      </c>
      <c r="U60" s="8" t="s">
        <v>47</v>
      </c>
      <c r="V60" s="8" t="s">
        <v>47</v>
      </c>
      <c r="W60" s="8" t="s">
        <v>47</v>
      </c>
      <c r="X60" s="8" t="s">
        <v>314</v>
      </c>
      <c r="Y60" s="8" t="s">
        <v>73</v>
      </c>
      <c r="Z60" s="8" t="s">
        <v>54</v>
      </c>
      <c r="AA60" s="20" t="s">
        <v>74</v>
      </c>
      <c r="AB60" s="20" t="s">
        <v>74</v>
      </c>
      <c r="AC60" s="8" t="s">
        <v>54</v>
      </c>
      <c r="AD60" s="8" t="s">
        <v>54</v>
      </c>
      <c r="AE60" s="8" t="s">
        <v>54</v>
      </c>
      <c r="AF60" s="8" t="s">
        <v>54</v>
      </c>
      <c r="AG60" s="17">
        <v>0.0</v>
      </c>
      <c r="AH60" s="17">
        <v>0.0</v>
      </c>
      <c r="AI60" s="17">
        <f>5208</f>
        <v>5208</v>
      </c>
      <c r="AJ60" s="17">
        <v>11837.0</v>
      </c>
      <c r="AK60" s="8" t="s">
        <v>47</v>
      </c>
      <c r="AL60" s="15">
        <v>500000.0</v>
      </c>
      <c r="AM60" s="15">
        <v>200000.0</v>
      </c>
      <c r="AN60" s="15">
        <v>519970.0</v>
      </c>
      <c r="AO60" s="15">
        <v>519970.0</v>
      </c>
      <c r="AP60" s="16">
        <f t="shared" si="2"/>
        <v>0</v>
      </c>
      <c r="AQ60" s="15" t="s">
        <v>47</v>
      </c>
      <c r="AR60" s="15" t="s">
        <v>47</v>
      </c>
    </row>
    <row r="61">
      <c r="A61" s="8" t="s">
        <v>315</v>
      </c>
      <c r="B61" s="9">
        <v>112.0</v>
      </c>
      <c r="C61" s="10">
        <v>45851.0</v>
      </c>
      <c r="D61" s="8" t="str">
        <f t="shared" si="1"/>
        <v>桃園</v>
      </c>
      <c r="E61" s="8" t="s">
        <v>316</v>
      </c>
      <c r="F61" s="8" t="s">
        <v>56</v>
      </c>
      <c r="G61" s="9">
        <v>3.0</v>
      </c>
      <c r="H61" s="11" t="s">
        <v>47</v>
      </c>
      <c r="I61" s="11" t="s">
        <v>47</v>
      </c>
      <c r="J61" s="8" t="s">
        <v>317</v>
      </c>
      <c r="K61" s="17">
        <v>221882.0</v>
      </c>
      <c r="L61" s="17">
        <v>221882.0</v>
      </c>
      <c r="M61" s="13" t="s">
        <v>47</v>
      </c>
      <c r="N61" s="8" t="s">
        <v>88</v>
      </c>
      <c r="O61" s="8" t="s">
        <v>48</v>
      </c>
      <c r="P61" s="8" t="s">
        <v>49</v>
      </c>
      <c r="Q61" s="8" t="s">
        <v>318</v>
      </c>
      <c r="R61" s="8" t="s">
        <v>51</v>
      </c>
      <c r="S61" s="14">
        <f t="shared" si="6"/>
        <v>60</v>
      </c>
      <c r="T61" s="14">
        <v>60000.0</v>
      </c>
      <c r="U61" s="8" t="s">
        <v>47</v>
      </c>
      <c r="V61" s="8" t="s">
        <v>47</v>
      </c>
      <c r="W61" s="8" t="s">
        <v>47</v>
      </c>
      <c r="X61" s="8" t="s">
        <v>319</v>
      </c>
      <c r="Y61" s="8" t="s">
        <v>56</v>
      </c>
      <c r="Z61" s="8" t="s">
        <v>54</v>
      </c>
      <c r="AA61" s="20" t="s">
        <v>74</v>
      </c>
      <c r="AB61" s="20" t="s">
        <v>74</v>
      </c>
      <c r="AC61" s="8" t="s">
        <v>54</v>
      </c>
      <c r="AD61" s="8" t="s">
        <v>54</v>
      </c>
      <c r="AE61" s="8" t="s">
        <v>54</v>
      </c>
      <c r="AF61" s="8" t="s">
        <v>54</v>
      </c>
      <c r="AG61" s="17">
        <v>542.0</v>
      </c>
      <c r="AH61" s="17">
        <v>1700.0</v>
      </c>
      <c r="AI61" s="17">
        <v>0.0</v>
      </c>
      <c r="AJ61" s="17">
        <f>3000+29851</f>
        <v>32851</v>
      </c>
      <c r="AK61" s="8" t="s">
        <v>47</v>
      </c>
      <c r="AL61" s="15">
        <v>450000.0</v>
      </c>
      <c r="AM61" s="15">
        <v>80000.0</v>
      </c>
      <c r="AN61" s="15">
        <v>335275.0</v>
      </c>
      <c r="AO61" s="15">
        <v>335275.0</v>
      </c>
      <c r="AP61" s="16">
        <f t="shared" si="2"/>
        <v>0</v>
      </c>
      <c r="AQ61" s="15" t="s">
        <v>47</v>
      </c>
      <c r="AR61" s="15" t="s">
        <v>47</v>
      </c>
    </row>
    <row r="62">
      <c r="A62" s="8" t="s">
        <v>320</v>
      </c>
      <c r="B62" s="9">
        <v>112.0</v>
      </c>
      <c r="C62" s="10">
        <v>45865.0</v>
      </c>
      <c r="D62" s="8" t="str">
        <f t="shared" si="1"/>
        <v>桃園</v>
      </c>
      <c r="E62" s="8" t="s">
        <v>321</v>
      </c>
      <c r="F62" s="8" t="s">
        <v>124</v>
      </c>
      <c r="G62" s="9">
        <v>5.0</v>
      </c>
      <c r="H62" s="11" t="s">
        <v>47</v>
      </c>
      <c r="I62" s="11" t="s">
        <v>47</v>
      </c>
      <c r="J62" s="11" t="s">
        <v>47</v>
      </c>
      <c r="K62" s="17">
        <v>76590.0</v>
      </c>
      <c r="L62" s="17">
        <v>76590.0</v>
      </c>
      <c r="M62" s="13" t="s">
        <v>47</v>
      </c>
      <c r="N62" s="8" t="s">
        <v>88</v>
      </c>
      <c r="O62" s="8" t="s">
        <v>48</v>
      </c>
      <c r="P62" s="8" t="s">
        <v>49</v>
      </c>
      <c r="Q62" s="8" t="s">
        <v>322</v>
      </c>
      <c r="R62" s="8" t="s">
        <v>51</v>
      </c>
      <c r="S62" s="14">
        <f t="shared" si="6"/>
        <v>40</v>
      </c>
      <c r="T62" s="14">
        <v>40000.0</v>
      </c>
      <c r="U62" s="8" t="s">
        <v>47</v>
      </c>
      <c r="V62" s="8" t="s">
        <v>47</v>
      </c>
      <c r="W62" s="8" t="s">
        <v>47</v>
      </c>
      <c r="X62" s="8" t="s">
        <v>323</v>
      </c>
      <c r="Y62" s="8" t="s">
        <v>56</v>
      </c>
      <c r="Z62" s="8" t="s">
        <v>54</v>
      </c>
      <c r="AA62" s="20" t="s">
        <v>74</v>
      </c>
      <c r="AB62" s="20" t="s">
        <v>74</v>
      </c>
      <c r="AC62" s="8" t="s">
        <v>54</v>
      </c>
      <c r="AD62" s="8" t="s">
        <v>54</v>
      </c>
      <c r="AE62" s="8" t="s">
        <v>54</v>
      </c>
      <c r="AF62" s="8" t="s">
        <v>54</v>
      </c>
      <c r="AG62" s="17">
        <v>0.0</v>
      </c>
      <c r="AH62" s="17">
        <v>0.0</v>
      </c>
      <c r="AI62" s="17">
        <v>41640.0</v>
      </c>
      <c r="AJ62" s="17">
        <v>194850.0</v>
      </c>
      <c r="AK62" s="8" t="s">
        <v>47</v>
      </c>
      <c r="AL62" s="15">
        <v>300000.0</v>
      </c>
      <c r="AM62" s="15">
        <v>60000.0</v>
      </c>
      <c r="AN62" s="15">
        <v>373077.0</v>
      </c>
      <c r="AO62" s="15">
        <v>373077.0</v>
      </c>
      <c r="AP62" s="16">
        <f t="shared" si="2"/>
        <v>0</v>
      </c>
      <c r="AQ62" s="15" t="s">
        <v>47</v>
      </c>
      <c r="AR62" s="15" t="s">
        <v>47</v>
      </c>
    </row>
    <row r="63" ht="16.5" hidden="1" customHeight="1">
      <c r="A63" s="8" t="s">
        <v>324</v>
      </c>
      <c r="B63" s="9"/>
      <c r="C63" s="9"/>
      <c r="D63" s="8" t="str">
        <f t="shared" si="1"/>
        <v>澎湖</v>
      </c>
      <c r="E63" s="8" t="s">
        <v>325</v>
      </c>
      <c r="F63" s="8"/>
      <c r="G63" s="18"/>
      <c r="H63" s="11" t="s">
        <v>47</v>
      </c>
      <c r="I63" s="11" t="s">
        <v>47</v>
      </c>
      <c r="J63" s="11" t="s">
        <v>47</v>
      </c>
      <c r="K63" s="12"/>
      <c r="L63" s="12"/>
      <c r="M63" s="13" t="s">
        <v>47</v>
      </c>
      <c r="N63" s="8" t="s">
        <v>48</v>
      </c>
      <c r="O63" s="8" t="s">
        <v>88</v>
      </c>
      <c r="P63" s="8" t="s">
        <v>49</v>
      </c>
      <c r="Q63" s="8"/>
      <c r="R63" s="8"/>
      <c r="S63" s="14">
        <f t="shared" si="6"/>
        <v>0</v>
      </c>
      <c r="T63" s="8"/>
      <c r="U63" s="11" t="s">
        <v>47</v>
      </c>
      <c r="V63" s="11" t="s">
        <v>47</v>
      </c>
      <c r="W63" s="11" t="s">
        <v>47</v>
      </c>
      <c r="X63" s="8" t="s">
        <v>326</v>
      </c>
      <c r="Y63" s="8"/>
      <c r="Z63" s="8" t="s">
        <v>54</v>
      </c>
      <c r="AA63" s="11" t="s">
        <v>47</v>
      </c>
      <c r="AB63" s="8" t="s">
        <v>327</v>
      </c>
      <c r="AC63" s="8" t="s">
        <v>54</v>
      </c>
      <c r="AD63" s="8" t="s">
        <v>54</v>
      </c>
      <c r="AE63" s="8" t="s">
        <v>54</v>
      </c>
      <c r="AF63" s="8" t="s">
        <v>54</v>
      </c>
      <c r="AG63" s="13"/>
      <c r="AH63" s="13"/>
      <c r="AI63" s="13"/>
      <c r="AJ63" s="13"/>
      <c r="AK63" s="11" t="s">
        <v>47</v>
      </c>
      <c r="AL63" s="18"/>
      <c r="AM63" s="15">
        <v>400000.0</v>
      </c>
      <c r="AN63" s="18"/>
      <c r="AO63" s="18"/>
      <c r="AP63" s="19">
        <f t="shared" si="2"/>
        <v>0</v>
      </c>
      <c r="AQ63" s="18"/>
    </row>
    <row r="64">
      <c r="A64" s="8" t="s">
        <v>328</v>
      </c>
      <c r="B64" s="9">
        <v>112.0</v>
      </c>
      <c r="C64" s="10">
        <v>45886.0</v>
      </c>
      <c r="D64" s="8" t="str">
        <f t="shared" si="1"/>
        <v>嘉義</v>
      </c>
      <c r="E64" s="8" t="s">
        <v>329</v>
      </c>
      <c r="F64" s="8" t="s">
        <v>133</v>
      </c>
      <c r="G64" s="9">
        <v>5.0</v>
      </c>
      <c r="H64" s="11" t="s">
        <v>47</v>
      </c>
      <c r="I64" s="11" t="s">
        <v>47</v>
      </c>
      <c r="J64" s="11" t="s">
        <v>47</v>
      </c>
      <c r="K64" s="17">
        <v>1760.0</v>
      </c>
      <c r="L64" s="17">
        <v>1760.0</v>
      </c>
      <c r="M64" s="13" t="s">
        <v>47</v>
      </c>
      <c r="N64" s="8" t="s">
        <v>48</v>
      </c>
      <c r="O64" s="8" t="s">
        <v>48</v>
      </c>
      <c r="P64" s="8" t="s">
        <v>61</v>
      </c>
      <c r="Q64" s="8"/>
      <c r="R64" s="8"/>
      <c r="S64" s="14"/>
      <c r="T64" s="8" t="s">
        <v>63</v>
      </c>
      <c r="U64" s="11" t="s">
        <v>47</v>
      </c>
      <c r="V64" s="11" t="s">
        <v>47</v>
      </c>
      <c r="W64" s="8" t="s">
        <v>330</v>
      </c>
      <c r="X64" s="8" t="s">
        <v>331</v>
      </c>
      <c r="Y64" s="8" t="s">
        <v>70</v>
      </c>
      <c r="Z64" s="8" t="s">
        <v>54</v>
      </c>
      <c r="AA64" s="8" t="s">
        <v>70</v>
      </c>
      <c r="AB64" s="8" t="s">
        <v>55</v>
      </c>
      <c r="AC64" s="8" t="s">
        <v>54</v>
      </c>
      <c r="AD64" s="11" t="s">
        <v>47</v>
      </c>
      <c r="AE64" s="8" t="s">
        <v>54</v>
      </c>
      <c r="AF64" s="11" t="s">
        <v>47</v>
      </c>
      <c r="AG64" s="15">
        <v>11520.0</v>
      </c>
      <c r="AH64" s="15">
        <v>46080.0</v>
      </c>
      <c r="AI64" s="15">
        <v>0.0</v>
      </c>
      <c r="AJ64" s="15">
        <f>15000+2000</f>
        <v>17000</v>
      </c>
      <c r="AK64" s="11" t="s">
        <v>47</v>
      </c>
      <c r="AL64" s="15">
        <v>10000.0</v>
      </c>
      <c r="AM64" s="15">
        <v>6000.0</v>
      </c>
      <c r="AN64" s="15">
        <v>36280.0</v>
      </c>
      <c r="AO64" s="15">
        <v>33670.0</v>
      </c>
      <c r="AP64" s="16">
        <f t="shared" si="2"/>
        <v>2610</v>
      </c>
      <c r="AQ64" s="15" t="s">
        <v>47</v>
      </c>
      <c r="AR64" s="15" t="s">
        <v>47</v>
      </c>
    </row>
    <row r="65">
      <c r="A65" s="8" t="s">
        <v>332</v>
      </c>
      <c r="B65" s="9">
        <v>112.0</v>
      </c>
      <c r="C65" s="10">
        <v>45747.0</v>
      </c>
      <c r="D65" s="8" t="str">
        <f t="shared" si="1"/>
        <v>新北</v>
      </c>
      <c r="E65" s="8" t="s">
        <v>333</v>
      </c>
      <c r="F65" s="8" t="s">
        <v>70</v>
      </c>
      <c r="G65" s="9">
        <v>3.0</v>
      </c>
      <c r="H65" s="11" t="s">
        <v>47</v>
      </c>
      <c r="I65" s="11" t="s">
        <v>47</v>
      </c>
      <c r="J65" s="11" t="s">
        <v>47</v>
      </c>
      <c r="K65" s="17">
        <v>86101.0</v>
      </c>
      <c r="L65" s="17">
        <v>86101.0</v>
      </c>
      <c r="M65" s="13" t="s">
        <v>47</v>
      </c>
      <c r="N65" s="8" t="s">
        <v>88</v>
      </c>
      <c r="O65" s="8" t="s">
        <v>48</v>
      </c>
      <c r="P65" s="8" t="s">
        <v>49</v>
      </c>
      <c r="Q65" s="8" t="s">
        <v>334</v>
      </c>
      <c r="R65" s="8" t="s">
        <v>51</v>
      </c>
      <c r="S65" s="14">
        <f t="shared" ref="S65:S69" si="7">T:T/1000</f>
        <v>45</v>
      </c>
      <c r="T65" s="14">
        <v>45000.0</v>
      </c>
      <c r="U65" s="11" t="s">
        <v>47</v>
      </c>
      <c r="V65" s="8" t="s">
        <v>90</v>
      </c>
      <c r="W65" s="11" t="s">
        <v>47</v>
      </c>
      <c r="X65" s="8" t="s">
        <v>335</v>
      </c>
      <c r="Y65" s="8" t="s">
        <v>73</v>
      </c>
      <c r="Z65" s="8" t="s">
        <v>54</v>
      </c>
      <c r="AA65" s="20" t="s">
        <v>74</v>
      </c>
      <c r="AB65" s="20" t="s">
        <v>74</v>
      </c>
      <c r="AC65" s="8" t="s">
        <v>54</v>
      </c>
      <c r="AD65" s="8" t="s">
        <v>54</v>
      </c>
      <c r="AE65" s="8" t="s">
        <v>54</v>
      </c>
      <c r="AF65" s="8" t="s">
        <v>54</v>
      </c>
      <c r="AG65" s="17">
        <v>0.0</v>
      </c>
      <c r="AH65" s="17">
        <v>0.0</v>
      </c>
      <c r="AI65" s="17">
        <v>36000.0</v>
      </c>
      <c r="AJ65" s="17">
        <v>3000.0</v>
      </c>
      <c r="AK65" s="11" t="s">
        <v>47</v>
      </c>
      <c r="AL65" s="9">
        <v>3600.0</v>
      </c>
      <c r="AM65" s="9">
        <v>3600.0</v>
      </c>
      <c r="AN65" s="15">
        <v>128701.0</v>
      </c>
      <c r="AO65" s="15">
        <v>125701.0</v>
      </c>
      <c r="AP65" s="16">
        <f t="shared" si="2"/>
        <v>3000</v>
      </c>
      <c r="AQ65" s="15" t="s">
        <v>47</v>
      </c>
      <c r="AR65" s="15" t="s">
        <v>47</v>
      </c>
    </row>
    <row r="66">
      <c r="A66" s="23" t="s">
        <v>336</v>
      </c>
      <c r="B66" s="9">
        <v>112.0</v>
      </c>
      <c r="C66" s="24">
        <v>45820.0</v>
      </c>
      <c r="D66" s="23" t="str">
        <f t="shared" si="1"/>
        <v>雲林</v>
      </c>
      <c r="E66" s="23" t="s">
        <v>337</v>
      </c>
      <c r="F66" s="25" t="s">
        <v>70</v>
      </c>
      <c r="G66" s="28">
        <v>5.0</v>
      </c>
      <c r="H66" s="11" t="s">
        <v>47</v>
      </c>
      <c r="I66" s="11" t="s">
        <v>47</v>
      </c>
      <c r="J66" s="11" t="s">
        <v>47</v>
      </c>
      <c r="K66" s="12">
        <v>880.0</v>
      </c>
      <c r="L66" s="12">
        <v>880.0</v>
      </c>
      <c r="M66" s="13" t="s">
        <v>47</v>
      </c>
      <c r="N66" s="26" t="s">
        <v>48</v>
      </c>
      <c r="O66" s="26" t="s">
        <v>88</v>
      </c>
      <c r="P66" s="8" t="s">
        <v>49</v>
      </c>
      <c r="Q66" s="25" t="s">
        <v>338</v>
      </c>
      <c r="R66" s="8" t="s">
        <v>51</v>
      </c>
      <c r="S66" s="14">
        <f t="shared" si="7"/>
        <v>50</v>
      </c>
      <c r="T66" s="14">
        <v>50000.0</v>
      </c>
      <c r="U66" s="26" t="s">
        <v>47</v>
      </c>
      <c r="V66" s="26" t="s">
        <v>47</v>
      </c>
      <c r="W66" s="26" t="s">
        <v>47</v>
      </c>
      <c r="X66" s="25" t="s">
        <v>339</v>
      </c>
      <c r="Y66" s="25" t="s">
        <v>73</v>
      </c>
      <c r="Z66" s="8" t="s">
        <v>54</v>
      </c>
      <c r="AA66" s="8" t="s">
        <v>55</v>
      </c>
      <c r="AB66" s="8" t="s">
        <v>56</v>
      </c>
      <c r="AC66" s="8" t="s">
        <v>54</v>
      </c>
      <c r="AD66" s="8" t="s">
        <v>54</v>
      </c>
      <c r="AE66" s="8" t="s">
        <v>54</v>
      </c>
      <c r="AF66" s="8" t="s">
        <v>54</v>
      </c>
      <c r="AG66" s="17">
        <v>0.0</v>
      </c>
      <c r="AH66" s="17">
        <v>0.0</v>
      </c>
      <c r="AI66" s="17">
        <v>0.0</v>
      </c>
      <c r="AJ66" s="17">
        <v>14000.0</v>
      </c>
      <c r="AK66" s="26" t="s">
        <v>47</v>
      </c>
      <c r="AL66" s="15">
        <v>1000.0</v>
      </c>
      <c r="AM66" s="15">
        <v>1000.0</v>
      </c>
      <c r="AN66" s="27">
        <v>15880.0</v>
      </c>
      <c r="AO66" s="27">
        <v>11116.0</v>
      </c>
      <c r="AP66" s="16">
        <f t="shared" si="2"/>
        <v>4764</v>
      </c>
      <c r="AQ66" s="15" t="s">
        <v>54</v>
      </c>
      <c r="AR66" s="31">
        <v>0.3</v>
      </c>
    </row>
    <row r="67">
      <c r="A67" s="23" t="s">
        <v>340</v>
      </c>
      <c r="B67" s="9">
        <v>112.0</v>
      </c>
      <c r="C67" s="24">
        <v>45894.0</v>
      </c>
      <c r="D67" s="23" t="str">
        <f t="shared" si="1"/>
        <v>臺北</v>
      </c>
      <c r="E67" s="23" t="s">
        <v>341</v>
      </c>
      <c r="F67" s="25" t="s">
        <v>70</v>
      </c>
      <c r="G67" s="9">
        <v>5.0</v>
      </c>
      <c r="H67" s="11" t="s">
        <v>47</v>
      </c>
      <c r="I67" s="11" t="s">
        <v>47</v>
      </c>
      <c r="J67" s="11" t="s">
        <v>47</v>
      </c>
      <c r="K67" s="12">
        <v>0.0</v>
      </c>
      <c r="L67" s="12">
        <v>0.0</v>
      </c>
      <c r="M67" s="13" t="s">
        <v>47</v>
      </c>
      <c r="N67" s="26" t="s">
        <v>48</v>
      </c>
      <c r="O67" s="26" t="s">
        <v>48</v>
      </c>
      <c r="P67" s="8" t="s">
        <v>49</v>
      </c>
      <c r="Q67" s="8" t="s">
        <v>342</v>
      </c>
      <c r="R67" s="8" t="s">
        <v>51</v>
      </c>
      <c r="S67" s="14">
        <f t="shared" si="7"/>
        <v>15</v>
      </c>
      <c r="T67" s="14">
        <v>15000.0</v>
      </c>
      <c r="U67" s="26" t="s">
        <v>47</v>
      </c>
      <c r="V67" s="26" t="s">
        <v>47</v>
      </c>
      <c r="W67" s="26" t="s">
        <v>47</v>
      </c>
      <c r="X67" s="25" t="s">
        <v>343</v>
      </c>
      <c r="Y67" s="25" t="s">
        <v>344</v>
      </c>
      <c r="Z67" s="8" t="s">
        <v>54</v>
      </c>
      <c r="AA67" s="8" t="s">
        <v>55</v>
      </c>
      <c r="AB67" s="8" t="s">
        <v>70</v>
      </c>
      <c r="AC67" s="8" t="s">
        <v>54</v>
      </c>
      <c r="AD67" s="8" t="s">
        <v>54</v>
      </c>
      <c r="AE67" s="8" t="s">
        <v>54</v>
      </c>
      <c r="AF67" s="8" t="s">
        <v>54</v>
      </c>
      <c r="AG67" s="17">
        <v>4662.0</v>
      </c>
      <c r="AH67" s="17">
        <v>18160.0</v>
      </c>
      <c r="AI67" s="17">
        <v>0.0</v>
      </c>
      <c r="AJ67" s="17">
        <v>0.0</v>
      </c>
      <c r="AK67" s="26" t="s">
        <v>47</v>
      </c>
      <c r="AL67" s="27">
        <v>12000.0</v>
      </c>
      <c r="AM67" s="15">
        <v>12000.0</v>
      </c>
      <c r="AN67" s="30">
        <v>16662.0</v>
      </c>
      <c r="AO67" s="27">
        <v>11663.0</v>
      </c>
      <c r="AP67" s="16">
        <f t="shared" si="2"/>
        <v>4999</v>
      </c>
      <c r="AQ67" s="15" t="s">
        <v>54</v>
      </c>
      <c r="AR67" s="31">
        <v>0.3</v>
      </c>
    </row>
    <row r="68" hidden="1">
      <c r="A68" s="8" t="s">
        <v>345</v>
      </c>
      <c r="B68" s="9"/>
      <c r="C68" s="9"/>
      <c r="D68" s="8" t="str">
        <f t="shared" si="1"/>
        <v>南投</v>
      </c>
      <c r="E68" s="8" t="s">
        <v>346</v>
      </c>
      <c r="F68" s="8"/>
      <c r="G68" s="18"/>
      <c r="K68" s="12"/>
      <c r="L68" s="12"/>
      <c r="M68" s="18"/>
      <c r="P68" s="8" t="s">
        <v>49</v>
      </c>
      <c r="S68" s="14">
        <f t="shared" si="7"/>
        <v>0</v>
      </c>
      <c r="Z68" s="8" t="s">
        <v>54</v>
      </c>
      <c r="AA68" s="8" t="s">
        <v>63</v>
      </c>
      <c r="AB68" s="8" t="s">
        <v>63</v>
      </c>
      <c r="AC68" s="8" t="s">
        <v>54</v>
      </c>
      <c r="AD68" s="8" t="s">
        <v>54</v>
      </c>
      <c r="AE68" s="8" t="s">
        <v>54</v>
      </c>
      <c r="AF68" s="8" t="s">
        <v>54</v>
      </c>
      <c r="AG68" s="17"/>
      <c r="AH68" s="17"/>
      <c r="AI68" s="17"/>
      <c r="AJ68" s="17"/>
      <c r="AL68" s="18"/>
      <c r="AM68" s="18"/>
      <c r="AN68" s="18"/>
      <c r="AO68" s="18"/>
      <c r="AP68" s="19">
        <f t="shared" si="2"/>
        <v>0</v>
      </c>
      <c r="AQ68" s="15" t="s">
        <v>54</v>
      </c>
    </row>
    <row r="69">
      <c r="A69" s="8" t="s">
        <v>347</v>
      </c>
      <c r="B69" s="9">
        <v>112.0</v>
      </c>
      <c r="C69" s="10">
        <v>45813.0</v>
      </c>
      <c r="D69" s="8" t="str">
        <f t="shared" si="1"/>
        <v>南投</v>
      </c>
      <c r="E69" s="8" t="s">
        <v>348</v>
      </c>
      <c r="F69" s="8" t="s">
        <v>70</v>
      </c>
      <c r="G69" s="9">
        <v>5.0</v>
      </c>
      <c r="H69" s="11" t="s">
        <v>47</v>
      </c>
      <c r="I69" s="11" t="s">
        <v>47</v>
      </c>
      <c r="J69" s="11" t="s">
        <v>47</v>
      </c>
      <c r="K69" s="17">
        <v>9600.0</v>
      </c>
      <c r="L69" s="17">
        <v>9600.0</v>
      </c>
      <c r="M69" s="13" t="s">
        <v>47</v>
      </c>
      <c r="N69" s="8" t="s">
        <v>48</v>
      </c>
      <c r="O69" s="8" t="s">
        <v>48</v>
      </c>
      <c r="P69" s="8" t="s">
        <v>49</v>
      </c>
      <c r="Q69" s="8" t="s">
        <v>349</v>
      </c>
      <c r="R69" s="8" t="s">
        <v>51</v>
      </c>
      <c r="S69" s="14">
        <f t="shared" si="7"/>
        <v>30</v>
      </c>
      <c r="T69" s="14">
        <v>30000.0</v>
      </c>
      <c r="U69" s="11" t="s">
        <v>47</v>
      </c>
      <c r="V69" s="11" t="s">
        <v>47</v>
      </c>
      <c r="W69" s="11" t="s">
        <v>47</v>
      </c>
      <c r="X69" s="8" t="s">
        <v>350</v>
      </c>
      <c r="Y69" s="8" t="s">
        <v>56</v>
      </c>
      <c r="Z69" s="8" t="s">
        <v>54</v>
      </c>
      <c r="AA69" s="20" t="s">
        <v>74</v>
      </c>
      <c r="AB69" s="20" t="s">
        <v>74</v>
      </c>
      <c r="AC69" s="8" t="s">
        <v>54</v>
      </c>
      <c r="AD69" s="8" t="s">
        <v>54</v>
      </c>
      <c r="AE69" s="8" t="s">
        <v>54</v>
      </c>
      <c r="AF69" s="8" t="s">
        <v>54</v>
      </c>
      <c r="AG69" s="17">
        <v>0.0</v>
      </c>
      <c r="AH69" s="17">
        <v>0.0</v>
      </c>
      <c r="AI69" s="17">
        <v>5800.0</v>
      </c>
      <c r="AJ69" s="17">
        <v>0.0</v>
      </c>
      <c r="AK69" s="11" t="s">
        <v>47</v>
      </c>
      <c r="AL69" s="15">
        <v>200000.0</v>
      </c>
      <c r="AM69" s="9">
        <v>8000.0</v>
      </c>
      <c r="AN69" s="15">
        <v>23400.0</v>
      </c>
      <c r="AO69" s="15">
        <v>16380.0</v>
      </c>
      <c r="AP69" s="16">
        <f t="shared" si="2"/>
        <v>7020</v>
      </c>
      <c r="AQ69" s="15" t="s">
        <v>54</v>
      </c>
      <c r="AR69" s="31">
        <v>0.3</v>
      </c>
    </row>
    <row r="70">
      <c r="A70" s="8" t="s">
        <v>351</v>
      </c>
      <c r="B70" s="9">
        <v>112.0</v>
      </c>
      <c r="C70" s="10">
        <v>45856.0</v>
      </c>
      <c r="D70" s="8" t="str">
        <f t="shared" si="1"/>
        <v>花蓮</v>
      </c>
      <c r="E70" s="8" t="s">
        <v>352</v>
      </c>
      <c r="F70" s="8" t="s">
        <v>46</v>
      </c>
      <c r="G70" s="9">
        <v>4.0</v>
      </c>
      <c r="H70" s="11" t="s">
        <v>47</v>
      </c>
      <c r="I70" s="11" t="s">
        <v>47</v>
      </c>
      <c r="J70" s="11" t="s">
        <v>47</v>
      </c>
      <c r="K70" s="17">
        <v>1760.0</v>
      </c>
      <c r="L70" s="17">
        <v>1760.0</v>
      </c>
      <c r="M70" s="13" t="s">
        <v>47</v>
      </c>
      <c r="N70" s="8" t="s">
        <v>88</v>
      </c>
      <c r="O70" s="8" t="s">
        <v>48</v>
      </c>
      <c r="P70" s="8" t="s">
        <v>61</v>
      </c>
      <c r="Q70" s="8"/>
      <c r="R70" s="8"/>
      <c r="S70" s="14"/>
      <c r="T70" s="8"/>
      <c r="U70" s="11" t="s">
        <v>47</v>
      </c>
      <c r="V70" s="11" t="s">
        <v>47</v>
      </c>
      <c r="W70" s="11" t="s">
        <v>47</v>
      </c>
      <c r="X70" s="8" t="s">
        <v>105</v>
      </c>
      <c r="Y70" s="8" t="s">
        <v>73</v>
      </c>
      <c r="Z70" s="8" t="s">
        <v>54</v>
      </c>
      <c r="AA70" s="8" t="s">
        <v>55</v>
      </c>
      <c r="AB70" s="8" t="s">
        <v>56</v>
      </c>
      <c r="AC70" s="8" t="s">
        <v>54</v>
      </c>
      <c r="AD70" s="11" t="s">
        <v>47</v>
      </c>
      <c r="AE70" s="8" t="s">
        <v>54</v>
      </c>
      <c r="AF70" s="11" t="s">
        <v>47</v>
      </c>
      <c r="AG70" s="15">
        <v>5337.0</v>
      </c>
      <c r="AH70" s="15">
        <v>18650.0</v>
      </c>
      <c r="AI70" s="15">
        <v>0.0</v>
      </c>
      <c r="AJ70" s="15">
        <v>124.0</v>
      </c>
      <c r="AK70" s="11" t="s">
        <v>47</v>
      </c>
      <c r="AL70" s="15">
        <v>70000.0</v>
      </c>
      <c r="AM70" s="15">
        <v>20000.0</v>
      </c>
      <c r="AN70" s="15">
        <v>27221.0</v>
      </c>
      <c r="AO70" s="15">
        <v>19055.0</v>
      </c>
      <c r="AP70" s="16">
        <f t="shared" si="2"/>
        <v>8166</v>
      </c>
      <c r="AQ70" s="15" t="s">
        <v>54</v>
      </c>
      <c r="AR70" s="31">
        <v>0.3</v>
      </c>
    </row>
    <row r="71">
      <c r="A71" s="8" t="s">
        <v>353</v>
      </c>
      <c r="B71" s="9">
        <v>112.0</v>
      </c>
      <c r="C71" s="10">
        <v>45775.0</v>
      </c>
      <c r="D71" s="8" t="str">
        <f t="shared" si="1"/>
        <v>屏東</v>
      </c>
      <c r="E71" s="8" t="s">
        <v>354</v>
      </c>
      <c r="F71" s="8" t="s">
        <v>70</v>
      </c>
      <c r="G71" s="9">
        <v>5.0</v>
      </c>
      <c r="H71" s="11" t="s">
        <v>47</v>
      </c>
      <c r="I71" s="11" t="s">
        <v>47</v>
      </c>
      <c r="J71" s="11" t="s">
        <v>47</v>
      </c>
      <c r="K71" s="12">
        <v>0.0</v>
      </c>
      <c r="L71" s="12">
        <v>0.0</v>
      </c>
      <c r="M71" s="13" t="s">
        <v>47</v>
      </c>
      <c r="N71" s="8" t="s">
        <v>48</v>
      </c>
      <c r="O71" s="8" t="s">
        <v>88</v>
      </c>
      <c r="P71" s="8" t="s">
        <v>49</v>
      </c>
      <c r="Q71" s="8" t="s">
        <v>355</v>
      </c>
      <c r="R71" s="8" t="s">
        <v>51</v>
      </c>
      <c r="S71" s="14">
        <v>40.0</v>
      </c>
      <c r="T71" s="14">
        <v>40000.0</v>
      </c>
      <c r="U71" s="11" t="s">
        <v>47</v>
      </c>
      <c r="V71" s="11" t="s">
        <v>47</v>
      </c>
      <c r="W71" s="11" t="s">
        <v>47</v>
      </c>
      <c r="X71" s="8" t="s">
        <v>356</v>
      </c>
      <c r="Y71" s="8" t="s">
        <v>53</v>
      </c>
      <c r="Z71" s="8" t="s">
        <v>54</v>
      </c>
      <c r="AA71" s="8" t="s">
        <v>70</v>
      </c>
      <c r="AB71" s="8" t="s">
        <v>73</v>
      </c>
      <c r="AC71" s="8" t="s">
        <v>54</v>
      </c>
      <c r="AD71" s="8" t="s">
        <v>54</v>
      </c>
      <c r="AE71" s="8" t="s">
        <v>54</v>
      </c>
      <c r="AF71" s="8" t="s">
        <v>54</v>
      </c>
      <c r="AG71" s="15">
        <v>6088.0</v>
      </c>
      <c r="AH71" s="15">
        <v>24350.0</v>
      </c>
      <c r="AI71" s="9">
        <v>0.0</v>
      </c>
      <c r="AJ71" s="9">
        <v>0.0</v>
      </c>
      <c r="AK71" s="11" t="s">
        <v>47</v>
      </c>
      <c r="AL71" s="15">
        <v>71650.0</v>
      </c>
      <c r="AM71" s="15">
        <v>30000.0</v>
      </c>
      <c r="AN71" s="15">
        <v>36088.0</v>
      </c>
      <c r="AO71" s="15">
        <v>25262.0</v>
      </c>
      <c r="AP71" s="16">
        <f t="shared" si="2"/>
        <v>10826</v>
      </c>
      <c r="AQ71" s="15" t="s">
        <v>54</v>
      </c>
      <c r="AR71" s="31">
        <v>0.3</v>
      </c>
    </row>
    <row r="72">
      <c r="A72" s="23" t="s">
        <v>357</v>
      </c>
      <c r="B72" s="9">
        <v>112.0</v>
      </c>
      <c r="C72" s="24">
        <v>45894.0</v>
      </c>
      <c r="D72" s="23" t="str">
        <f t="shared" si="1"/>
        <v>臺南</v>
      </c>
      <c r="E72" s="23" t="s">
        <v>358</v>
      </c>
      <c r="F72" s="25" t="s">
        <v>46</v>
      </c>
      <c r="G72" s="28">
        <v>5.0</v>
      </c>
      <c r="H72" s="11" t="s">
        <v>47</v>
      </c>
      <c r="I72" s="11" t="s">
        <v>47</v>
      </c>
      <c r="J72" s="23" t="s">
        <v>359</v>
      </c>
      <c r="K72" s="12">
        <v>0.0</v>
      </c>
      <c r="L72" s="17">
        <v>0.0</v>
      </c>
      <c r="M72" s="13" t="s">
        <v>47</v>
      </c>
      <c r="N72" s="26" t="s">
        <v>88</v>
      </c>
      <c r="O72" s="26" t="s">
        <v>48</v>
      </c>
      <c r="P72" s="8" t="s">
        <v>49</v>
      </c>
      <c r="Q72" s="25" t="s">
        <v>303</v>
      </c>
      <c r="R72" s="8" t="s">
        <v>51</v>
      </c>
      <c r="S72" s="14">
        <f t="shared" ref="S72:S79" si="8">T:T/1000</f>
        <v>50</v>
      </c>
      <c r="T72" s="14">
        <v>50000.0</v>
      </c>
      <c r="U72" s="26" t="s">
        <v>47</v>
      </c>
      <c r="V72" s="26" t="s">
        <v>47</v>
      </c>
      <c r="W72" s="26" t="s">
        <v>47</v>
      </c>
      <c r="X72" s="25" t="s">
        <v>360</v>
      </c>
      <c r="Y72" s="25" t="s">
        <v>46</v>
      </c>
      <c r="Z72" s="8" t="s">
        <v>54</v>
      </c>
      <c r="AA72" s="20" t="s">
        <v>74</v>
      </c>
      <c r="AB72" s="20" t="s">
        <v>74</v>
      </c>
      <c r="AC72" s="8" t="s">
        <v>54</v>
      </c>
      <c r="AD72" s="8" t="s">
        <v>54</v>
      </c>
      <c r="AE72" s="8" t="s">
        <v>54</v>
      </c>
      <c r="AF72" s="8" t="s">
        <v>54</v>
      </c>
      <c r="AG72" s="17">
        <v>6093.0</v>
      </c>
      <c r="AH72" s="17">
        <v>24300.0</v>
      </c>
      <c r="AI72" s="17">
        <v>0.0</v>
      </c>
      <c r="AJ72" s="17">
        <v>2000.0</v>
      </c>
      <c r="AK72" s="26" t="s">
        <v>47</v>
      </c>
      <c r="AL72" s="27">
        <v>24600.0</v>
      </c>
      <c r="AM72" s="15">
        <v>20000.0</v>
      </c>
      <c r="AN72" s="32">
        <f>2000+6093+20000</f>
        <v>28093</v>
      </c>
      <c r="AO72" s="27">
        <v>16856.0</v>
      </c>
      <c r="AP72" s="16">
        <f t="shared" si="2"/>
        <v>11237</v>
      </c>
      <c r="AQ72" s="15" t="s">
        <v>54</v>
      </c>
      <c r="AR72" s="31">
        <v>0.4</v>
      </c>
    </row>
    <row r="73" hidden="1">
      <c r="A73" s="8" t="s">
        <v>361</v>
      </c>
      <c r="B73" s="9"/>
      <c r="C73" s="9"/>
      <c r="D73" s="8" t="str">
        <f t="shared" si="1"/>
        <v>南投</v>
      </c>
      <c r="E73" s="8" t="s">
        <v>362</v>
      </c>
      <c r="F73" s="8"/>
      <c r="G73" s="18"/>
      <c r="H73" s="11" t="s">
        <v>47</v>
      </c>
      <c r="I73" s="11" t="s">
        <v>47</v>
      </c>
      <c r="J73" s="11" t="s">
        <v>47</v>
      </c>
      <c r="K73" s="17"/>
      <c r="L73" s="17"/>
      <c r="M73" s="13" t="s">
        <v>47</v>
      </c>
      <c r="N73" s="8" t="s">
        <v>120</v>
      </c>
      <c r="O73" s="8" t="s">
        <v>48</v>
      </c>
      <c r="P73" s="8" t="s">
        <v>49</v>
      </c>
      <c r="Q73" s="8"/>
      <c r="R73" s="8"/>
      <c r="S73" s="14">
        <f t="shared" si="8"/>
        <v>0</v>
      </c>
      <c r="T73" s="8"/>
      <c r="U73" s="11" t="s">
        <v>47</v>
      </c>
      <c r="V73" s="11" t="s">
        <v>47</v>
      </c>
      <c r="W73" s="11" t="s">
        <v>47</v>
      </c>
      <c r="X73" s="8" t="s">
        <v>363</v>
      </c>
      <c r="Y73" s="8"/>
      <c r="Z73" s="8" t="s">
        <v>54</v>
      </c>
      <c r="AA73" s="8" t="s">
        <v>63</v>
      </c>
      <c r="AB73" s="8" t="s">
        <v>63</v>
      </c>
      <c r="AC73" s="8" t="s">
        <v>54</v>
      </c>
      <c r="AD73" s="20" t="s">
        <v>74</v>
      </c>
      <c r="AE73" s="8" t="s">
        <v>54</v>
      </c>
      <c r="AF73" s="20" t="s">
        <v>74</v>
      </c>
      <c r="AG73" s="17"/>
      <c r="AH73" s="17"/>
      <c r="AI73" s="17"/>
      <c r="AJ73" s="17"/>
      <c r="AK73" s="11" t="s">
        <v>47</v>
      </c>
      <c r="AL73" s="18"/>
      <c r="AM73" s="9" t="s">
        <v>364</v>
      </c>
      <c r="AN73" s="18"/>
      <c r="AO73" s="18"/>
      <c r="AP73" s="19">
        <f t="shared" si="2"/>
        <v>0</v>
      </c>
      <c r="AQ73" s="15" t="s">
        <v>54</v>
      </c>
    </row>
    <row r="74">
      <c r="A74" s="26" t="s">
        <v>365</v>
      </c>
      <c r="B74" s="9">
        <v>112.0</v>
      </c>
      <c r="C74" s="29">
        <v>45814.0</v>
      </c>
      <c r="D74" s="26" t="str">
        <f t="shared" si="1"/>
        <v>臺北</v>
      </c>
      <c r="E74" s="26" t="s">
        <v>366</v>
      </c>
      <c r="F74" s="26" t="s">
        <v>56</v>
      </c>
      <c r="G74" s="30">
        <v>5.0</v>
      </c>
      <c r="H74" s="8" t="s">
        <v>47</v>
      </c>
      <c r="I74" s="8" t="s">
        <v>47</v>
      </c>
      <c r="J74" s="8" t="s">
        <v>47</v>
      </c>
      <c r="K74" s="17">
        <v>11760.0</v>
      </c>
      <c r="L74" s="17">
        <v>12900.0</v>
      </c>
      <c r="M74" s="13" t="s">
        <v>47</v>
      </c>
      <c r="N74" s="26" t="s">
        <v>48</v>
      </c>
      <c r="O74" s="26" t="s">
        <v>88</v>
      </c>
      <c r="P74" s="8" t="s">
        <v>49</v>
      </c>
      <c r="Q74" s="33" t="s">
        <v>367</v>
      </c>
      <c r="R74" s="8" t="s">
        <v>51</v>
      </c>
      <c r="S74" s="14">
        <f t="shared" si="8"/>
        <v>50</v>
      </c>
      <c r="T74" s="14">
        <v>50000.0</v>
      </c>
      <c r="U74" s="26" t="s">
        <v>47</v>
      </c>
      <c r="V74" s="26" t="s">
        <v>47</v>
      </c>
      <c r="W74" s="26" t="s">
        <v>47</v>
      </c>
      <c r="X74" s="26" t="s">
        <v>368</v>
      </c>
      <c r="Y74" s="26" t="s">
        <v>53</v>
      </c>
      <c r="Z74" s="8" t="s">
        <v>54</v>
      </c>
      <c r="AA74" s="8" t="s">
        <v>55</v>
      </c>
      <c r="AB74" s="8" t="s">
        <v>55</v>
      </c>
      <c r="AC74" s="8" t="s">
        <v>54</v>
      </c>
      <c r="AD74" s="8" t="s">
        <v>54</v>
      </c>
      <c r="AE74" s="8" t="s">
        <v>54</v>
      </c>
      <c r="AF74" s="8" t="s">
        <v>54</v>
      </c>
      <c r="AG74" s="17">
        <v>0.0</v>
      </c>
      <c r="AH74" s="17">
        <v>0.0</v>
      </c>
      <c r="AI74" s="17">
        <v>0.0</v>
      </c>
      <c r="AJ74" s="17">
        <v>0.0</v>
      </c>
      <c r="AK74" s="26" t="s">
        <v>47</v>
      </c>
      <c r="AL74" s="27">
        <v>87100.0</v>
      </c>
      <c r="AM74" s="15">
        <v>30000.0</v>
      </c>
      <c r="AN74" s="27">
        <v>41760.0</v>
      </c>
      <c r="AO74" s="27">
        <v>25056.0</v>
      </c>
      <c r="AP74" s="16">
        <f t="shared" si="2"/>
        <v>16704</v>
      </c>
      <c r="AQ74" s="15" t="s">
        <v>54</v>
      </c>
      <c r="AR74" s="31">
        <v>0.4</v>
      </c>
    </row>
    <row r="75">
      <c r="A75" s="8" t="s">
        <v>369</v>
      </c>
      <c r="B75" s="9">
        <v>112.0</v>
      </c>
      <c r="C75" s="10">
        <v>45886.0</v>
      </c>
      <c r="D75" s="8" t="str">
        <f t="shared" si="1"/>
        <v>嘉義</v>
      </c>
      <c r="E75" s="8" t="s">
        <v>370</v>
      </c>
      <c r="F75" s="8" t="s">
        <v>133</v>
      </c>
      <c r="G75" s="9">
        <v>5.0</v>
      </c>
      <c r="H75" s="11" t="s">
        <v>47</v>
      </c>
      <c r="I75" s="11" t="s">
        <v>47</v>
      </c>
      <c r="J75" s="11" t="s">
        <v>47</v>
      </c>
      <c r="K75" s="17">
        <v>4330.0</v>
      </c>
      <c r="L75" s="17">
        <v>6840.0</v>
      </c>
      <c r="M75" s="13" t="s">
        <v>47</v>
      </c>
      <c r="N75" s="8" t="s">
        <v>88</v>
      </c>
      <c r="O75" s="8" t="s">
        <v>48</v>
      </c>
      <c r="P75" s="8" t="s">
        <v>49</v>
      </c>
      <c r="Q75" s="8" t="s">
        <v>371</v>
      </c>
      <c r="R75" s="8" t="s">
        <v>51</v>
      </c>
      <c r="S75" s="14">
        <f t="shared" si="8"/>
        <v>60</v>
      </c>
      <c r="T75" s="14">
        <v>60000.0</v>
      </c>
      <c r="U75" s="11" t="s">
        <v>47</v>
      </c>
      <c r="V75" s="11" t="s">
        <v>47</v>
      </c>
      <c r="W75" s="11" t="s">
        <v>47</v>
      </c>
      <c r="X75" s="8" t="s">
        <v>372</v>
      </c>
      <c r="Y75" s="8" t="s">
        <v>73</v>
      </c>
      <c r="Z75" s="8" t="s">
        <v>54</v>
      </c>
      <c r="AA75" s="8" t="s">
        <v>55</v>
      </c>
      <c r="AB75" s="8" t="s">
        <v>55</v>
      </c>
      <c r="AC75" s="8" t="s">
        <v>54</v>
      </c>
      <c r="AD75" s="11" t="s">
        <v>47</v>
      </c>
      <c r="AE75" s="8" t="s">
        <v>54</v>
      </c>
      <c r="AF75" s="11" t="s">
        <v>47</v>
      </c>
      <c r="AG75" s="15">
        <v>16750.0</v>
      </c>
      <c r="AH75" s="15">
        <v>40500.0</v>
      </c>
      <c r="AI75" s="15">
        <v>0.0</v>
      </c>
      <c r="AJ75" s="15">
        <v>3000.0</v>
      </c>
      <c r="AK75" s="11" t="s">
        <v>47</v>
      </c>
      <c r="AL75" s="15">
        <v>20000.0</v>
      </c>
      <c r="AM75" s="15">
        <v>10000.0</v>
      </c>
      <c r="AN75" s="15">
        <v>34080.0</v>
      </c>
      <c r="AO75" s="15">
        <v>17040.0</v>
      </c>
      <c r="AP75" s="16">
        <f t="shared" si="2"/>
        <v>17040</v>
      </c>
      <c r="AQ75" s="15" t="s">
        <v>54</v>
      </c>
      <c r="AR75" s="31">
        <v>0.5</v>
      </c>
    </row>
    <row r="76">
      <c r="A76" s="8" t="s">
        <v>373</v>
      </c>
      <c r="B76" s="9">
        <v>112.0</v>
      </c>
      <c r="C76" s="10">
        <v>45885.0</v>
      </c>
      <c r="D76" s="8" t="str">
        <f t="shared" si="1"/>
        <v>臺北</v>
      </c>
      <c r="E76" s="8" t="s">
        <v>374</v>
      </c>
      <c r="F76" s="8" t="s">
        <v>133</v>
      </c>
      <c r="G76" s="28">
        <v>4.0</v>
      </c>
      <c r="H76" s="11" t="s">
        <v>47</v>
      </c>
      <c r="I76" s="11" t="s">
        <v>47</v>
      </c>
      <c r="J76" s="11" t="s">
        <v>47</v>
      </c>
      <c r="K76" s="12">
        <v>0.0</v>
      </c>
      <c r="L76" s="12">
        <v>0.0</v>
      </c>
      <c r="M76" s="9" t="s">
        <v>375</v>
      </c>
      <c r="N76" s="8" t="s">
        <v>48</v>
      </c>
      <c r="O76" s="8" t="s">
        <v>88</v>
      </c>
      <c r="P76" s="8" t="s">
        <v>49</v>
      </c>
      <c r="Q76" s="25" t="s">
        <v>376</v>
      </c>
      <c r="R76" s="8" t="s">
        <v>51</v>
      </c>
      <c r="S76" s="14">
        <f t="shared" si="8"/>
        <v>30</v>
      </c>
      <c r="T76" s="14">
        <v>30000.0</v>
      </c>
      <c r="U76" s="8" t="s">
        <v>47</v>
      </c>
      <c r="V76" s="25" t="s">
        <v>377</v>
      </c>
      <c r="W76" s="8" t="s">
        <v>47</v>
      </c>
      <c r="X76" s="8" t="s">
        <v>378</v>
      </c>
      <c r="Y76" s="8" t="s">
        <v>73</v>
      </c>
      <c r="Z76" s="8" t="s">
        <v>54</v>
      </c>
      <c r="AA76" s="8" t="s">
        <v>55</v>
      </c>
      <c r="AB76" s="8" t="s">
        <v>55</v>
      </c>
      <c r="AC76" s="8" t="s">
        <v>54</v>
      </c>
      <c r="AD76" s="8" t="s">
        <v>54</v>
      </c>
      <c r="AE76" s="8" t="s">
        <v>54</v>
      </c>
      <c r="AF76" s="8" t="s">
        <v>54</v>
      </c>
      <c r="AG76" s="17">
        <v>0.0</v>
      </c>
      <c r="AH76" s="17">
        <v>0.0</v>
      </c>
      <c r="AI76" s="17">
        <v>0.0</v>
      </c>
      <c r="AJ76" s="17">
        <v>0.0</v>
      </c>
      <c r="AK76" s="8" t="s">
        <v>47</v>
      </c>
      <c r="AL76" s="15">
        <v>400000.0</v>
      </c>
      <c r="AM76" s="15">
        <v>60000.0</v>
      </c>
      <c r="AN76" s="15">
        <v>60000.0</v>
      </c>
      <c r="AO76" s="15">
        <v>42000.0</v>
      </c>
      <c r="AP76" s="16">
        <f t="shared" si="2"/>
        <v>18000</v>
      </c>
      <c r="AQ76" s="15" t="s">
        <v>54</v>
      </c>
      <c r="AR76" s="31">
        <v>0.3</v>
      </c>
    </row>
    <row r="77">
      <c r="A77" s="8" t="s">
        <v>379</v>
      </c>
      <c r="B77" s="9">
        <v>112.0</v>
      </c>
      <c r="C77" s="10">
        <v>45838.0</v>
      </c>
      <c r="D77" s="8" t="str">
        <f t="shared" si="1"/>
        <v>屏東</v>
      </c>
      <c r="E77" s="8" t="s">
        <v>380</v>
      </c>
      <c r="F77" s="8" t="s">
        <v>124</v>
      </c>
      <c r="G77" s="9">
        <v>2.0</v>
      </c>
      <c r="H77" s="11" t="s">
        <v>47</v>
      </c>
      <c r="I77" s="11" t="s">
        <v>47</v>
      </c>
      <c r="J77" s="11" t="s">
        <v>47</v>
      </c>
      <c r="K77" s="17">
        <v>56317.0</v>
      </c>
      <c r="L77" s="17">
        <v>76677.0</v>
      </c>
      <c r="M77" s="13" t="s">
        <v>47</v>
      </c>
      <c r="N77" s="8" t="s">
        <v>48</v>
      </c>
      <c r="O77" s="8" t="s">
        <v>48</v>
      </c>
      <c r="P77" s="8" t="s">
        <v>49</v>
      </c>
      <c r="Q77" s="8" t="s">
        <v>381</v>
      </c>
      <c r="R77" s="8" t="s">
        <v>51</v>
      </c>
      <c r="S77" s="14">
        <f t="shared" si="8"/>
        <v>90</v>
      </c>
      <c r="T77" s="14">
        <v>90000.0</v>
      </c>
      <c r="U77" s="11" t="s">
        <v>47</v>
      </c>
      <c r="V77" s="11" t="s">
        <v>47</v>
      </c>
      <c r="W77" s="11" t="s">
        <v>47</v>
      </c>
      <c r="X77" s="8" t="s">
        <v>382</v>
      </c>
      <c r="Y77" s="8" t="s">
        <v>383</v>
      </c>
      <c r="Z77" s="8" t="s">
        <v>54</v>
      </c>
      <c r="AA77" s="8" t="s">
        <v>55</v>
      </c>
      <c r="AB77" s="8" t="s">
        <v>55</v>
      </c>
      <c r="AC77" s="8" t="s">
        <v>54</v>
      </c>
      <c r="AD77" s="8" t="s">
        <v>54</v>
      </c>
      <c r="AE77" s="8" t="s">
        <v>54</v>
      </c>
      <c r="AF77" s="8" t="s">
        <v>54</v>
      </c>
      <c r="AG77" s="15">
        <v>18488.0</v>
      </c>
      <c r="AH77" s="15">
        <v>73950.0</v>
      </c>
      <c r="AI77" s="9">
        <v>0.0</v>
      </c>
      <c r="AJ77" s="15">
        <f>111000</f>
        <v>111000</v>
      </c>
      <c r="AK77" s="11" t="s">
        <v>47</v>
      </c>
      <c r="AL77" s="15">
        <v>313900.0</v>
      </c>
      <c r="AM77" s="15">
        <v>200000.0</v>
      </c>
      <c r="AN77" s="15">
        <v>362905.0</v>
      </c>
      <c r="AO77" s="15">
        <v>344628.0</v>
      </c>
      <c r="AP77" s="16">
        <f t="shared" si="2"/>
        <v>18277</v>
      </c>
      <c r="AQ77" s="15" t="s">
        <v>47</v>
      </c>
      <c r="AR77" s="15" t="s">
        <v>47</v>
      </c>
    </row>
    <row r="78">
      <c r="A78" s="8" t="s">
        <v>384</v>
      </c>
      <c r="B78" s="9">
        <v>112.0</v>
      </c>
      <c r="C78" s="10">
        <v>45803.0</v>
      </c>
      <c r="D78" s="8" t="str">
        <f t="shared" si="1"/>
        <v>苗栗</v>
      </c>
      <c r="E78" s="8" t="s">
        <v>385</v>
      </c>
      <c r="F78" s="8" t="s">
        <v>70</v>
      </c>
      <c r="G78" s="9">
        <v>5.0</v>
      </c>
      <c r="H78" s="11" t="s">
        <v>47</v>
      </c>
      <c r="I78" s="11" t="s">
        <v>47</v>
      </c>
      <c r="J78" s="11" t="s">
        <v>47</v>
      </c>
      <c r="K78" s="17">
        <v>2845.0</v>
      </c>
      <c r="L78" s="17">
        <v>2845.0</v>
      </c>
      <c r="M78" s="13" t="s">
        <v>47</v>
      </c>
      <c r="N78" s="8" t="s">
        <v>88</v>
      </c>
      <c r="O78" s="8" t="s">
        <v>88</v>
      </c>
      <c r="P78" s="8" t="s">
        <v>49</v>
      </c>
      <c r="Q78" s="8" t="s">
        <v>386</v>
      </c>
      <c r="R78" s="8" t="s">
        <v>51</v>
      </c>
      <c r="S78" s="14">
        <f t="shared" si="8"/>
        <v>90</v>
      </c>
      <c r="T78" s="14">
        <v>90000.0</v>
      </c>
      <c r="U78" s="11" t="s">
        <v>47</v>
      </c>
      <c r="V78" s="11" t="s">
        <v>47</v>
      </c>
      <c r="W78" s="11" t="s">
        <v>47</v>
      </c>
      <c r="X78" s="8" t="s">
        <v>387</v>
      </c>
      <c r="Y78" s="8" t="s">
        <v>53</v>
      </c>
      <c r="Z78" s="8" t="s">
        <v>54</v>
      </c>
      <c r="AA78" s="8" t="s">
        <v>55</v>
      </c>
      <c r="AB78" s="8" t="s">
        <v>56</v>
      </c>
      <c r="AC78" s="8" t="s">
        <v>54</v>
      </c>
      <c r="AD78" s="8" t="s">
        <v>54</v>
      </c>
      <c r="AE78" s="8" t="s">
        <v>54</v>
      </c>
      <c r="AF78" s="8" t="s">
        <v>54</v>
      </c>
      <c r="AG78" s="15">
        <v>7425.0</v>
      </c>
      <c r="AH78" s="15">
        <v>21150.0</v>
      </c>
      <c r="AI78" s="15">
        <v>2490.0</v>
      </c>
      <c r="AJ78" s="15">
        <f>11000+8425</f>
        <v>19425</v>
      </c>
      <c r="AK78" s="11" t="s">
        <v>47</v>
      </c>
      <c r="AL78" s="15">
        <v>153160.0</v>
      </c>
      <c r="AM78" s="15">
        <v>50000.0</v>
      </c>
      <c r="AN78" s="15">
        <v>73760.0</v>
      </c>
      <c r="AO78" s="15">
        <v>51632.0</v>
      </c>
      <c r="AP78" s="16">
        <f t="shared" si="2"/>
        <v>22128</v>
      </c>
      <c r="AQ78" s="15" t="s">
        <v>54</v>
      </c>
      <c r="AR78" s="31">
        <v>0.3</v>
      </c>
    </row>
    <row r="79">
      <c r="A79" s="8" t="s">
        <v>388</v>
      </c>
      <c r="B79" s="9">
        <v>112.0</v>
      </c>
      <c r="C79" s="10">
        <v>45844.0</v>
      </c>
      <c r="D79" s="8" t="str">
        <f t="shared" si="1"/>
        <v>嘉義</v>
      </c>
      <c r="E79" s="8" t="s">
        <v>389</v>
      </c>
      <c r="F79" s="8" t="s">
        <v>124</v>
      </c>
      <c r="G79" s="9">
        <v>2.0</v>
      </c>
      <c r="H79" s="11" t="s">
        <v>47</v>
      </c>
      <c r="I79" s="11" t="s">
        <v>47</v>
      </c>
      <c r="J79" s="11" t="s">
        <v>47</v>
      </c>
      <c r="K79" s="17">
        <v>1670.0</v>
      </c>
      <c r="L79" s="17">
        <v>1670.0</v>
      </c>
      <c r="M79" s="13" t="s">
        <v>47</v>
      </c>
      <c r="N79" s="8" t="s">
        <v>48</v>
      </c>
      <c r="O79" s="8" t="s">
        <v>88</v>
      </c>
      <c r="P79" s="8" t="s">
        <v>49</v>
      </c>
      <c r="Q79" s="8" t="s">
        <v>390</v>
      </c>
      <c r="R79" s="8" t="s">
        <v>51</v>
      </c>
      <c r="S79" s="14">
        <f t="shared" si="8"/>
        <v>55</v>
      </c>
      <c r="T79" s="14">
        <v>55000.0</v>
      </c>
      <c r="U79" s="11" t="s">
        <v>47</v>
      </c>
      <c r="V79" s="11" t="s">
        <v>47</v>
      </c>
      <c r="W79" s="11" t="s">
        <v>47</v>
      </c>
      <c r="X79" s="8" t="s">
        <v>105</v>
      </c>
      <c r="Y79" s="8" t="s">
        <v>73</v>
      </c>
      <c r="Z79" s="8" t="s">
        <v>54</v>
      </c>
      <c r="AA79" s="8" t="s">
        <v>55</v>
      </c>
      <c r="AB79" s="8" t="s">
        <v>70</v>
      </c>
      <c r="AC79" s="8" t="s">
        <v>54</v>
      </c>
      <c r="AD79" s="11" t="s">
        <v>47</v>
      </c>
      <c r="AE79" s="8" t="s">
        <v>54</v>
      </c>
      <c r="AF79" s="11" t="s">
        <v>47</v>
      </c>
      <c r="AG79" s="15">
        <v>29575.0</v>
      </c>
      <c r="AH79" s="15">
        <v>50700.0</v>
      </c>
      <c r="AI79" s="15">
        <v>618.0</v>
      </c>
      <c r="AJ79" s="15">
        <f>34575+21816</f>
        <v>56391</v>
      </c>
      <c r="AK79" s="11" t="s">
        <v>47</v>
      </c>
      <c r="AL79" s="15">
        <v>80000.0</v>
      </c>
      <c r="AM79" s="15">
        <v>50000.0</v>
      </c>
      <c r="AN79" s="15">
        <v>108279.0</v>
      </c>
      <c r="AO79" s="15">
        <v>74975.0</v>
      </c>
      <c r="AP79" s="16">
        <f t="shared" si="2"/>
        <v>33304</v>
      </c>
      <c r="AQ79" s="15" t="s">
        <v>54</v>
      </c>
      <c r="AR79" s="31">
        <v>0.3</v>
      </c>
    </row>
    <row r="80">
      <c r="A80" s="8" t="s">
        <v>391</v>
      </c>
      <c r="B80" s="9">
        <v>112.0</v>
      </c>
      <c r="C80" s="10">
        <v>45900.0</v>
      </c>
      <c r="D80" s="8" t="str">
        <f t="shared" si="1"/>
        <v>新竹</v>
      </c>
      <c r="E80" s="8" t="s">
        <v>392</v>
      </c>
      <c r="F80" s="8" t="s">
        <v>133</v>
      </c>
      <c r="G80" s="9">
        <v>5.0</v>
      </c>
      <c r="H80" s="11" t="s">
        <v>47</v>
      </c>
      <c r="I80" s="11" t="s">
        <v>47</v>
      </c>
      <c r="J80" s="11" t="s">
        <v>47</v>
      </c>
      <c r="K80" s="17">
        <v>1110.0</v>
      </c>
      <c r="L80" s="17">
        <v>1110.0</v>
      </c>
      <c r="M80" s="13" t="s">
        <v>47</v>
      </c>
      <c r="N80" s="8" t="s">
        <v>48</v>
      </c>
      <c r="O80" s="8" t="s">
        <v>88</v>
      </c>
      <c r="P80" s="8" t="s">
        <v>61</v>
      </c>
      <c r="Q80" s="8" t="s">
        <v>393</v>
      </c>
      <c r="R80" s="8" t="s">
        <v>51</v>
      </c>
      <c r="S80" s="14"/>
      <c r="T80" s="8" t="s">
        <v>63</v>
      </c>
      <c r="U80" s="11" t="s">
        <v>47</v>
      </c>
      <c r="V80" s="11" t="s">
        <v>47</v>
      </c>
      <c r="W80" s="11" t="s">
        <v>47</v>
      </c>
      <c r="X80" s="8" t="s">
        <v>105</v>
      </c>
      <c r="Y80" s="8" t="s">
        <v>73</v>
      </c>
      <c r="Z80" s="8" t="s">
        <v>54</v>
      </c>
      <c r="AA80" s="8" t="s">
        <v>56</v>
      </c>
      <c r="AB80" s="8" t="s">
        <v>70</v>
      </c>
      <c r="AC80" s="8" t="s">
        <v>54</v>
      </c>
      <c r="AD80" s="8" t="s">
        <v>54</v>
      </c>
      <c r="AE80" s="8" t="s">
        <v>54</v>
      </c>
      <c r="AF80" s="8" t="s">
        <v>54</v>
      </c>
      <c r="AG80" s="15">
        <v>10780.0</v>
      </c>
      <c r="AH80" s="15">
        <v>19600.0</v>
      </c>
      <c r="AI80" s="9">
        <v>0.0</v>
      </c>
      <c r="AJ80" s="15">
        <v>35000.0</v>
      </c>
      <c r="AK80" s="11" t="s">
        <v>47</v>
      </c>
      <c r="AL80" s="15">
        <v>30000.0</v>
      </c>
      <c r="AM80" s="15">
        <v>20000.0</v>
      </c>
      <c r="AN80" s="15">
        <v>66890.0</v>
      </c>
      <c r="AO80" s="15">
        <v>33445.0</v>
      </c>
      <c r="AP80" s="16">
        <f t="shared" si="2"/>
        <v>33445</v>
      </c>
      <c r="AQ80" s="15" t="s">
        <v>54</v>
      </c>
      <c r="AR80" s="31">
        <v>0.5</v>
      </c>
    </row>
    <row r="81" hidden="1">
      <c r="A81" s="8" t="s">
        <v>394</v>
      </c>
      <c r="B81" s="9">
        <v>112.0</v>
      </c>
      <c r="C81" s="9"/>
      <c r="D81" s="8" t="str">
        <f t="shared" si="1"/>
        <v>新北</v>
      </c>
      <c r="E81" s="8" t="s">
        <v>144</v>
      </c>
      <c r="F81" s="8"/>
      <c r="G81" s="18"/>
      <c r="H81" s="11" t="s">
        <v>47</v>
      </c>
      <c r="I81" s="11" t="s">
        <v>47</v>
      </c>
      <c r="J81" s="11" t="s">
        <v>47</v>
      </c>
      <c r="K81" s="12"/>
      <c r="L81" s="12"/>
      <c r="M81" s="13" t="s">
        <v>47</v>
      </c>
      <c r="N81" s="8" t="s">
        <v>48</v>
      </c>
      <c r="O81" s="8" t="s">
        <v>48</v>
      </c>
      <c r="P81" s="8" t="s">
        <v>49</v>
      </c>
      <c r="Q81" s="8"/>
      <c r="R81" s="8"/>
      <c r="S81" s="14">
        <f t="shared" ref="S81:S96" si="9">T:T/1000</f>
        <v>0</v>
      </c>
      <c r="T81" s="8"/>
      <c r="U81" s="11" t="s">
        <v>47</v>
      </c>
      <c r="V81" s="11" t="s">
        <v>47</v>
      </c>
      <c r="W81" s="11" t="s">
        <v>47</v>
      </c>
      <c r="X81" s="8" t="s">
        <v>395</v>
      </c>
      <c r="Y81" s="8"/>
      <c r="Z81" s="8" t="s">
        <v>54</v>
      </c>
      <c r="AA81" s="11" t="s">
        <v>47</v>
      </c>
      <c r="AB81" s="11" t="s">
        <v>47</v>
      </c>
      <c r="AC81" s="8" t="s">
        <v>54</v>
      </c>
      <c r="AD81" s="8" t="s">
        <v>54</v>
      </c>
      <c r="AE81" s="8" t="s">
        <v>54</v>
      </c>
      <c r="AF81" s="8" t="s">
        <v>54</v>
      </c>
      <c r="AG81" s="17"/>
      <c r="AH81" s="17"/>
      <c r="AI81" s="17"/>
      <c r="AJ81" s="17"/>
      <c r="AK81" s="11" t="s">
        <v>47</v>
      </c>
      <c r="AL81" s="18"/>
      <c r="AM81" s="9" t="s">
        <v>396</v>
      </c>
      <c r="AN81" s="18"/>
      <c r="AO81" s="18"/>
      <c r="AP81" s="19">
        <f t="shared" si="2"/>
        <v>0</v>
      </c>
      <c r="AQ81" s="15" t="s">
        <v>54</v>
      </c>
    </row>
    <row r="82">
      <c r="A82" s="8" t="s">
        <v>397</v>
      </c>
      <c r="B82" s="9">
        <v>112.0</v>
      </c>
      <c r="C82" s="10">
        <v>45898.0</v>
      </c>
      <c r="D82" s="8" t="str">
        <f t="shared" si="1"/>
        <v>桃園</v>
      </c>
      <c r="E82" s="8" t="s">
        <v>398</v>
      </c>
      <c r="F82" s="8" t="s">
        <v>124</v>
      </c>
      <c r="G82" s="9">
        <v>2.0</v>
      </c>
      <c r="H82" s="11" t="s">
        <v>47</v>
      </c>
      <c r="I82" s="11" t="s">
        <v>47</v>
      </c>
      <c r="J82" s="11" t="s">
        <v>47</v>
      </c>
      <c r="K82" s="17">
        <v>5390.0</v>
      </c>
      <c r="L82" s="17">
        <v>5390.0</v>
      </c>
      <c r="M82" s="9">
        <v>65.0</v>
      </c>
      <c r="N82" s="8" t="s">
        <v>48</v>
      </c>
      <c r="O82" s="8" t="s">
        <v>48</v>
      </c>
      <c r="P82" s="8" t="s">
        <v>49</v>
      </c>
      <c r="Q82" s="8" t="s">
        <v>399</v>
      </c>
      <c r="R82" s="8" t="s">
        <v>51</v>
      </c>
      <c r="S82" s="14">
        <f t="shared" si="9"/>
        <v>50</v>
      </c>
      <c r="T82" s="14">
        <v>50000.0</v>
      </c>
      <c r="U82" s="8" t="s">
        <v>47</v>
      </c>
      <c r="V82" s="8" t="s">
        <v>47</v>
      </c>
      <c r="W82" s="8" t="s">
        <v>47</v>
      </c>
      <c r="X82" s="8" t="s">
        <v>400</v>
      </c>
      <c r="Y82" s="8" t="s">
        <v>73</v>
      </c>
      <c r="Z82" s="8" t="s">
        <v>54</v>
      </c>
      <c r="AA82" s="20" t="s">
        <v>74</v>
      </c>
      <c r="AB82" s="20" t="s">
        <v>74</v>
      </c>
      <c r="AC82" s="8" t="s">
        <v>54</v>
      </c>
      <c r="AD82" s="8" t="s">
        <v>54</v>
      </c>
      <c r="AE82" s="8" t="s">
        <v>54</v>
      </c>
      <c r="AF82" s="8" t="s">
        <v>54</v>
      </c>
      <c r="AG82" s="17">
        <v>1105.0</v>
      </c>
      <c r="AH82" s="17">
        <v>11050.0</v>
      </c>
      <c r="AI82" s="17">
        <v>0.0</v>
      </c>
      <c r="AJ82" s="17">
        <v>0.0</v>
      </c>
      <c r="AK82" s="8" t="s">
        <v>47</v>
      </c>
      <c r="AL82" s="20" t="s">
        <v>170</v>
      </c>
      <c r="AM82" s="15">
        <v>100000.0</v>
      </c>
      <c r="AN82" s="15">
        <v>106495.0</v>
      </c>
      <c r="AO82" s="15">
        <v>60977.0</v>
      </c>
      <c r="AP82" s="16">
        <f t="shared" si="2"/>
        <v>45518</v>
      </c>
      <c r="AQ82" s="15" t="s">
        <v>54</v>
      </c>
      <c r="AR82" s="31">
        <v>0.35</v>
      </c>
    </row>
    <row r="83">
      <c r="A83" s="23" t="s">
        <v>401</v>
      </c>
      <c r="B83" s="9">
        <v>112.0</v>
      </c>
      <c r="C83" s="24">
        <v>45803.0</v>
      </c>
      <c r="D83" s="23" t="str">
        <f t="shared" si="1"/>
        <v>臺中</v>
      </c>
      <c r="E83" s="23" t="s">
        <v>402</v>
      </c>
      <c r="F83" s="25" t="s">
        <v>70</v>
      </c>
      <c r="G83" s="9">
        <v>3.0</v>
      </c>
      <c r="H83" s="11" t="s">
        <v>47</v>
      </c>
      <c r="I83" s="11" t="s">
        <v>47</v>
      </c>
      <c r="J83" s="11" t="s">
        <v>47</v>
      </c>
      <c r="K83" s="17">
        <v>124091.0</v>
      </c>
      <c r="L83" s="17">
        <v>124091.0</v>
      </c>
      <c r="M83" s="13" t="s">
        <v>47</v>
      </c>
      <c r="N83" s="26" t="s">
        <v>48</v>
      </c>
      <c r="O83" s="26" t="s">
        <v>48</v>
      </c>
      <c r="P83" s="8" t="s">
        <v>49</v>
      </c>
      <c r="Q83" s="25" t="s">
        <v>403</v>
      </c>
      <c r="R83" s="8" t="s">
        <v>51</v>
      </c>
      <c r="S83" s="14">
        <f t="shared" si="9"/>
        <v>90</v>
      </c>
      <c r="T83" s="14">
        <v>90000.0</v>
      </c>
      <c r="U83" s="26" t="s">
        <v>47</v>
      </c>
      <c r="V83" s="23" t="s">
        <v>404</v>
      </c>
      <c r="W83" s="26" t="s">
        <v>47</v>
      </c>
      <c r="X83" s="25" t="s">
        <v>405</v>
      </c>
      <c r="Y83" s="25" t="s">
        <v>53</v>
      </c>
      <c r="Z83" s="8" t="s">
        <v>54</v>
      </c>
      <c r="AA83" s="8" t="s">
        <v>55</v>
      </c>
      <c r="AB83" s="8" t="s">
        <v>56</v>
      </c>
      <c r="AC83" s="8" t="s">
        <v>54</v>
      </c>
      <c r="AD83" s="8" t="s">
        <v>54</v>
      </c>
      <c r="AE83" s="8" t="s">
        <v>54</v>
      </c>
      <c r="AF83" s="8" t="s">
        <v>54</v>
      </c>
      <c r="AG83" s="17">
        <v>4622.0</v>
      </c>
      <c r="AH83" s="17">
        <v>18490.0</v>
      </c>
      <c r="AI83" s="17">
        <v>0.0</v>
      </c>
      <c r="AJ83" s="17">
        <v>92655.0</v>
      </c>
      <c r="AK83" s="26" t="s">
        <v>47</v>
      </c>
      <c r="AL83" s="15">
        <v>50000.0</v>
      </c>
      <c r="AM83" s="15">
        <v>50000.0</v>
      </c>
      <c r="AN83" s="27">
        <v>271368.0</v>
      </c>
      <c r="AO83" s="27">
        <v>209552.0</v>
      </c>
      <c r="AP83" s="16">
        <f t="shared" si="2"/>
        <v>61816</v>
      </c>
      <c r="AQ83" s="15" t="s">
        <v>47</v>
      </c>
      <c r="AR83" s="15" t="s">
        <v>47</v>
      </c>
    </row>
    <row r="84">
      <c r="A84" s="8" t="s">
        <v>406</v>
      </c>
      <c r="B84" s="9">
        <v>112.0</v>
      </c>
      <c r="C84" s="10">
        <v>45879.0</v>
      </c>
      <c r="D84" s="8" t="str">
        <f t="shared" si="1"/>
        <v>新北</v>
      </c>
      <c r="E84" s="8" t="s">
        <v>407</v>
      </c>
      <c r="F84" s="8" t="s">
        <v>46</v>
      </c>
      <c r="G84" s="9">
        <v>3.0</v>
      </c>
      <c r="H84" s="11" t="s">
        <v>47</v>
      </c>
      <c r="I84" s="11" t="s">
        <v>47</v>
      </c>
      <c r="J84" s="11" t="s">
        <v>47</v>
      </c>
      <c r="K84" s="17">
        <v>1460.0</v>
      </c>
      <c r="L84" s="17">
        <v>144549.0</v>
      </c>
      <c r="M84" s="13" t="s">
        <v>47</v>
      </c>
      <c r="N84" s="8" t="s">
        <v>48</v>
      </c>
      <c r="O84" s="8" t="s">
        <v>88</v>
      </c>
      <c r="P84" s="8" t="s">
        <v>49</v>
      </c>
      <c r="Q84" s="8" t="s">
        <v>408</v>
      </c>
      <c r="R84" s="8" t="s">
        <v>51</v>
      </c>
      <c r="S84" s="14">
        <f t="shared" si="9"/>
        <v>50</v>
      </c>
      <c r="T84" s="14">
        <v>50000.0</v>
      </c>
      <c r="U84" s="11" t="s">
        <v>47</v>
      </c>
      <c r="V84" s="11" t="s">
        <v>47</v>
      </c>
      <c r="W84" s="11" t="s">
        <v>47</v>
      </c>
      <c r="X84" s="8" t="s">
        <v>409</v>
      </c>
      <c r="Y84" s="8" t="s">
        <v>53</v>
      </c>
      <c r="Z84" s="8" t="s">
        <v>54</v>
      </c>
      <c r="AA84" s="8" t="s">
        <v>70</v>
      </c>
      <c r="AB84" s="8" t="s">
        <v>70</v>
      </c>
      <c r="AC84" s="8" t="s">
        <v>54</v>
      </c>
      <c r="AD84" s="11" t="s">
        <v>47</v>
      </c>
      <c r="AE84" s="8" t="s">
        <v>54</v>
      </c>
      <c r="AF84" s="8" t="s">
        <v>54</v>
      </c>
      <c r="AG84" s="17">
        <v>0.0</v>
      </c>
      <c r="AH84" s="17">
        <v>0.0</v>
      </c>
      <c r="AI84" s="17">
        <v>0.0</v>
      </c>
      <c r="AJ84" s="17">
        <v>24000.0</v>
      </c>
      <c r="AK84" s="11" t="s">
        <v>47</v>
      </c>
      <c r="AL84" s="15">
        <v>1133741.0</v>
      </c>
      <c r="AM84" s="15">
        <v>100000.0</v>
      </c>
      <c r="AN84" s="15">
        <v>125460.0</v>
      </c>
      <c r="AO84" s="15">
        <v>62730.0</v>
      </c>
      <c r="AP84" s="16">
        <f t="shared" si="2"/>
        <v>62730</v>
      </c>
      <c r="AQ84" s="15" t="s">
        <v>54</v>
      </c>
      <c r="AR84" s="31">
        <v>0.5</v>
      </c>
    </row>
    <row r="85">
      <c r="A85" s="8" t="s">
        <v>410</v>
      </c>
      <c r="B85" s="9">
        <v>112.0</v>
      </c>
      <c r="C85" s="10">
        <v>45858.0</v>
      </c>
      <c r="D85" s="8" t="str">
        <f t="shared" si="1"/>
        <v>桃園</v>
      </c>
      <c r="E85" s="8" t="s">
        <v>411</v>
      </c>
      <c r="F85" s="8" t="s">
        <v>56</v>
      </c>
      <c r="G85" s="9">
        <v>5.0</v>
      </c>
      <c r="H85" s="11" t="s">
        <v>47</v>
      </c>
      <c r="I85" s="11" t="s">
        <v>47</v>
      </c>
      <c r="J85" s="11" t="s">
        <v>47</v>
      </c>
      <c r="K85" s="12">
        <v>930.0</v>
      </c>
      <c r="L85" s="12">
        <v>930.0</v>
      </c>
      <c r="M85" s="13" t="s">
        <v>47</v>
      </c>
      <c r="N85" s="8" t="s">
        <v>48</v>
      </c>
      <c r="O85" s="8" t="s">
        <v>48</v>
      </c>
      <c r="P85" s="8" t="s">
        <v>49</v>
      </c>
      <c r="Q85" s="8" t="s">
        <v>412</v>
      </c>
      <c r="R85" s="8" t="s">
        <v>51</v>
      </c>
      <c r="S85" s="14">
        <f t="shared" si="9"/>
        <v>10</v>
      </c>
      <c r="T85" s="14">
        <v>10000.0</v>
      </c>
      <c r="U85" s="8" t="s">
        <v>47</v>
      </c>
      <c r="V85" s="8" t="s">
        <v>47</v>
      </c>
      <c r="W85" s="8" t="s">
        <v>47</v>
      </c>
      <c r="X85" s="8" t="s">
        <v>413</v>
      </c>
      <c r="Y85" s="8" t="s">
        <v>53</v>
      </c>
      <c r="Z85" s="8" t="s">
        <v>54</v>
      </c>
      <c r="AA85" s="20" t="s">
        <v>74</v>
      </c>
      <c r="AB85" s="20" t="s">
        <v>74</v>
      </c>
      <c r="AC85" s="8" t="s">
        <v>54</v>
      </c>
      <c r="AD85" s="8" t="s">
        <v>54</v>
      </c>
      <c r="AE85" s="8" t="s">
        <v>54</v>
      </c>
      <c r="AF85" s="8" t="s">
        <v>54</v>
      </c>
      <c r="AG85" s="17">
        <v>75461.0</v>
      </c>
      <c r="AH85" s="17">
        <v>135570.0</v>
      </c>
      <c r="AI85" s="17">
        <v>0.0</v>
      </c>
      <c r="AJ85" s="17">
        <v>0.0</v>
      </c>
      <c r="AK85" s="8" t="s">
        <v>47</v>
      </c>
      <c r="AL85" s="15">
        <v>120000.0</v>
      </c>
      <c r="AM85" s="15">
        <v>30000.0</v>
      </c>
      <c r="AN85" s="15">
        <v>106391.0</v>
      </c>
      <c r="AO85" s="15">
        <v>42556.0</v>
      </c>
      <c r="AP85" s="16">
        <f t="shared" si="2"/>
        <v>63835</v>
      </c>
      <c r="AQ85" s="15" t="s">
        <v>54</v>
      </c>
      <c r="AR85" s="8" t="s">
        <v>414</v>
      </c>
    </row>
    <row r="86">
      <c r="A86" s="8" t="s">
        <v>415</v>
      </c>
      <c r="B86" s="9">
        <v>112.0</v>
      </c>
      <c r="C86" s="10">
        <v>45883.0</v>
      </c>
      <c r="D86" s="8" t="str">
        <f t="shared" si="1"/>
        <v>屏東</v>
      </c>
      <c r="E86" s="8" t="s">
        <v>416</v>
      </c>
      <c r="F86" s="8" t="s">
        <v>73</v>
      </c>
      <c r="G86" s="9">
        <v>2.0</v>
      </c>
      <c r="H86" s="11" t="s">
        <v>47</v>
      </c>
      <c r="I86" s="11" t="s">
        <v>47</v>
      </c>
      <c r="J86" s="11" t="s">
        <v>47</v>
      </c>
      <c r="K86" s="17">
        <v>189041.0</v>
      </c>
      <c r="L86" s="17">
        <v>189041.0</v>
      </c>
      <c r="M86" s="13" t="s">
        <v>47</v>
      </c>
      <c r="N86" s="8" t="s">
        <v>88</v>
      </c>
      <c r="O86" s="8" t="s">
        <v>48</v>
      </c>
      <c r="P86" s="8" t="s">
        <v>49</v>
      </c>
      <c r="Q86" s="8" t="s">
        <v>417</v>
      </c>
      <c r="R86" s="8" t="s">
        <v>51</v>
      </c>
      <c r="S86" s="14">
        <f t="shared" si="9"/>
        <v>120</v>
      </c>
      <c r="T86" s="14">
        <v>120000.0</v>
      </c>
      <c r="U86" s="11" t="s">
        <v>47</v>
      </c>
      <c r="V86" s="11" t="s">
        <v>47</v>
      </c>
      <c r="W86" s="11" t="s">
        <v>47</v>
      </c>
      <c r="X86" s="8" t="s">
        <v>418</v>
      </c>
      <c r="Y86" s="8" t="s">
        <v>53</v>
      </c>
      <c r="Z86" s="8" t="s">
        <v>54</v>
      </c>
      <c r="AA86" s="8" t="s">
        <v>56</v>
      </c>
      <c r="AB86" s="8" t="s">
        <v>56</v>
      </c>
      <c r="AC86" s="8" t="s">
        <v>54</v>
      </c>
      <c r="AD86" s="8" t="s">
        <v>54</v>
      </c>
      <c r="AE86" s="8" t="s">
        <v>54</v>
      </c>
      <c r="AF86" s="8" t="s">
        <v>54</v>
      </c>
      <c r="AG86" s="15">
        <v>0.0</v>
      </c>
      <c r="AH86" s="9">
        <v>0.0</v>
      </c>
      <c r="AI86" s="9">
        <v>0.0</v>
      </c>
      <c r="AJ86" s="15">
        <v>140558.0</v>
      </c>
      <c r="AK86" s="11" t="s">
        <v>47</v>
      </c>
      <c r="AL86" s="15">
        <v>268427.0</v>
      </c>
      <c r="AM86" s="15">
        <v>150000.0</v>
      </c>
      <c r="AN86" s="15">
        <v>479599.0</v>
      </c>
      <c r="AO86" s="15">
        <v>412611.0</v>
      </c>
      <c r="AP86" s="16">
        <f t="shared" si="2"/>
        <v>66988</v>
      </c>
      <c r="AQ86" s="15" t="s">
        <v>47</v>
      </c>
      <c r="AR86" s="15" t="s">
        <v>47</v>
      </c>
    </row>
    <row r="87">
      <c r="A87" s="8" t="s">
        <v>419</v>
      </c>
      <c r="B87" s="9">
        <v>112.0</v>
      </c>
      <c r="C87" s="10">
        <v>45897.0</v>
      </c>
      <c r="D87" s="8" t="str">
        <f t="shared" si="1"/>
        <v>高雄</v>
      </c>
      <c r="E87" s="8" t="s">
        <v>420</v>
      </c>
      <c r="F87" s="8" t="s">
        <v>73</v>
      </c>
      <c r="G87" s="9">
        <v>3.0</v>
      </c>
      <c r="H87" s="11" t="s">
        <v>47</v>
      </c>
      <c r="I87" s="11" t="s">
        <v>47</v>
      </c>
      <c r="J87" s="11" t="s">
        <v>47</v>
      </c>
      <c r="K87" s="17">
        <v>249611.0</v>
      </c>
      <c r="L87" s="17">
        <v>249611.0</v>
      </c>
      <c r="M87" s="13" t="s">
        <v>47</v>
      </c>
      <c r="N87" s="8" t="s">
        <v>48</v>
      </c>
      <c r="O87" s="8" t="s">
        <v>48</v>
      </c>
      <c r="P87" s="8" t="s">
        <v>49</v>
      </c>
      <c r="Q87" s="8" t="s">
        <v>421</v>
      </c>
      <c r="R87" s="8" t="s">
        <v>51</v>
      </c>
      <c r="S87" s="14">
        <f t="shared" si="9"/>
        <v>60</v>
      </c>
      <c r="T87" s="14">
        <v>60000.0</v>
      </c>
      <c r="U87" s="11" t="s">
        <v>47</v>
      </c>
      <c r="V87" s="11" t="s">
        <v>47</v>
      </c>
      <c r="W87" s="11" t="s">
        <v>47</v>
      </c>
      <c r="X87" s="8" t="s">
        <v>422</v>
      </c>
      <c r="Y87" s="8" t="s">
        <v>344</v>
      </c>
      <c r="Z87" s="8" t="s">
        <v>54</v>
      </c>
      <c r="AA87" s="20" t="s">
        <v>74</v>
      </c>
      <c r="AB87" s="20" t="s">
        <v>74</v>
      </c>
      <c r="AC87" s="8" t="s">
        <v>54</v>
      </c>
      <c r="AD87" s="8" t="s">
        <v>54</v>
      </c>
      <c r="AE87" s="8" t="s">
        <v>54</v>
      </c>
      <c r="AF87" s="8" t="s">
        <v>54</v>
      </c>
      <c r="AG87" s="15">
        <v>0.0</v>
      </c>
      <c r="AH87" s="15">
        <v>0.0</v>
      </c>
      <c r="AI87" s="15">
        <f>14000+36000</f>
        <v>50000</v>
      </c>
      <c r="AJ87" s="15">
        <v>155000.0</v>
      </c>
      <c r="AK87" s="11" t="s">
        <v>47</v>
      </c>
      <c r="AL87" s="15">
        <v>300000.0</v>
      </c>
      <c r="AM87" s="15">
        <v>250000.0</v>
      </c>
      <c r="AN87" s="15">
        <v>723941.0</v>
      </c>
      <c r="AO87" s="15">
        <v>654683.0</v>
      </c>
      <c r="AP87" s="16">
        <f t="shared" si="2"/>
        <v>69258</v>
      </c>
      <c r="AQ87" s="15" t="s">
        <v>47</v>
      </c>
      <c r="AR87" s="15" t="s">
        <v>47</v>
      </c>
    </row>
    <row r="88" hidden="1">
      <c r="A88" s="8" t="s">
        <v>423</v>
      </c>
      <c r="B88" s="9">
        <v>112.0</v>
      </c>
      <c r="C88" s="9"/>
      <c r="D88" s="8" t="str">
        <f t="shared" si="1"/>
        <v>新北</v>
      </c>
      <c r="E88" s="8" t="s">
        <v>346</v>
      </c>
      <c r="F88" s="8"/>
      <c r="G88" s="18"/>
      <c r="K88" s="12"/>
      <c r="L88" s="12"/>
      <c r="M88" s="18"/>
      <c r="P88" s="8" t="s">
        <v>49</v>
      </c>
      <c r="S88" s="14">
        <f t="shared" si="9"/>
        <v>0</v>
      </c>
      <c r="Z88" s="8" t="s">
        <v>54</v>
      </c>
      <c r="AC88" s="8" t="s">
        <v>54</v>
      </c>
      <c r="AD88" s="8" t="s">
        <v>54</v>
      </c>
      <c r="AE88" s="8" t="s">
        <v>54</v>
      </c>
      <c r="AF88" s="8" t="s">
        <v>54</v>
      </c>
      <c r="AG88" s="17"/>
      <c r="AH88" s="17"/>
      <c r="AI88" s="17"/>
      <c r="AJ88" s="17"/>
      <c r="AL88" s="18"/>
      <c r="AM88" s="18"/>
      <c r="AN88" s="18"/>
      <c r="AO88" s="18"/>
      <c r="AP88" s="19">
        <f t="shared" si="2"/>
        <v>0</v>
      </c>
      <c r="AQ88" s="18"/>
    </row>
    <row r="89">
      <c r="A89" s="8" t="s">
        <v>424</v>
      </c>
      <c r="B89" s="9">
        <v>112.0</v>
      </c>
      <c r="C89" s="10">
        <v>45863.0</v>
      </c>
      <c r="D89" s="8" t="str">
        <f t="shared" si="1"/>
        <v>嘉義</v>
      </c>
      <c r="E89" s="8" t="s">
        <v>425</v>
      </c>
      <c r="F89" s="8" t="s">
        <v>124</v>
      </c>
      <c r="G89" s="9">
        <v>3.0</v>
      </c>
      <c r="H89" s="8" t="s">
        <v>426</v>
      </c>
      <c r="I89" s="11" t="s">
        <v>47</v>
      </c>
      <c r="J89" s="11" t="s">
        <v>47</v>
      </c>
      <c r="K89" s="17">
        <v>66107.0</v>
      </c>
      <c r="L89" s="17">
        <v>66107.0</v>
      </c>
      <c r="M89" s="9" t="s">
        <v>427</v>
      </c>
      <c r="N89" s="8" t="s">
        <v>48</v>
      </c>
      <c r="O89" s="8" t="s">
        <v>48</v>
      </c>
      <c r="P89" s="8" t="s">
        <v>49</v>
      </c>
      <c r="Q89" s="8" t="s">
        <v>428</v>
      </c>
      <c r="R89" s="8" t="s">
        <v>51</v>
      </c>
      <c r="S89" s="14">
        <f t="shared" si="9"/>
        <v>90</v>
      </c>
      <c r="T89" s="14">
        <v>90000.0</v>
      </c>
      <c r="U89" s="11" t="s">
        <v>47</v>
      </c>
      <c r="V89" s="8" t="s">
        <v>90</v>
      </c>
      <c r="W89" s="8" t="s">
        <v>429</v>
      </c>
      <c r="X89" s="8" t="s">
        <v>100</v>
      </c>
      <c r="Y89" s="8" t="s">
        <v>56</v>
      </c>
      <c r="Z89" s="8" t="s">
        <v>54</v>
      </c>
      <c r="AA89" s="8" t="s">
        <v>55</v>
      </c>
      <c r="AB89" s="8" t="s">
        <v>55</v>
      </c>
      <c r="AC89" s="8" t="s">
        <v>54</v>
      </c>
      <c r="AD89" s="8" t="s">
        <v>54</v>
      </c>
      <c r="AE89" s="8" t="s">
        <v>54</v>
      </c>
      <c r="AF89" s="8" t="s">
        <v>54</v>
      </c>
      <c r="AG89" s="15">
        <v>2450.0</v>
      </c>
      <c r="AH89" s="15">
        <v>5300.0</v>
      </c>
      <c r="AI89" s="15">
        <f>78200+12115</f>
        <v>90315</v>
      </c>
      <c r="AJ89" s="15">
        <f>304374+10602</f>
        <v>314976</v>
      </c>
      <c r="AK89" s="11" t="s">
        <v>47</v>
      </c>
      <c r="AL89" s="15">
        <v>300000.0</v>
      </c>
      <c r="AM89" s="15">
        <v>120000.0</v>
      </c>
      <c r="AN89" s="15">
        <v>697459.0</v>
      </c>
      <c r="AO89" s="15">
        <v>627672.0</v>
      </c>
      <c r="AP89" s="16">
        <f t="shared" si="2"/>
        <v>69787</v>
      </c>
      <c r="AQ89" s="15" t="s">
        <v>47</v>
      </c>
      <c r="AR89" s="15" t="s">
        <v>47</v>
      </c>
    </row>
    <row r="90" hidden="1">
      <c r="A90" s="8" t="s">
        <v>430</v>
      </c>
      <c r="B90" s="9">
        <v>112.0</v>
      </c>
      <c r="C90" s="9"/>
      <c r="D90" s="8" t="str">
        <f t="shared" si="1"/>
        <v>新北</v>
      </c>
      <c r="E90" s="8" t="s">
        <v>431</v>
      </c>
      <c r="F90" s="8"/>
      <c r="G90" s="9"/>
      <c r="H90" s="11" t="s">
        <v>47</v>
      </c>
      <c r="I90" s="11" t="s">
        <v>47</v>
      </c>
      <c r="J90" s="11" t="s">
        <v>47</v>
      </c>
      <c r="K90" s="12"/>
      <c r="L90" s="12"/>
      <c r="M90" s="13" t="s">
        <v>47</v>
      </c>
      <c r="N90" s="8" t="s">
        <v>88</v>
      </c>
      <c r="O90" s="8" t="s">
        <v>48</v>
      </c>
      <c r="P90" s="8" t="s">
        <v>49</v>
      </c>
      <c r="Q90" s="8"/>
      <c r="R90" s="8"/>
      <c r="S90" s="14">
        <f t="shared" si="9"/>
        <v>0</v>
      </c>
      <c r="T90" s="8"/>
      <c r="U90" s="11" t="s">
        <v>47</v>
      </c>
      <c r="V90" s="11" t="s">
        <v>47</v>
      </c>
      <c r="W90" s="11" t="s">
        <v>47</v>
      </c>
      <c r="X90" s="8" t="s">
        <v>432</v>
      </c>
      <c r="Y90" s="8"/>
      <c r="Z90" s="8" t="s">
        <v>54</v>
      </c>
      <c r="AA90" s="20" t="s">
        <v>74</v>
      </c>
      <c r="AB90" s="20" t="s">
        <v>74</v>
      </c>
      <c r="AC90" s="8" t="s">
        <v>54</v>
      </c>
      <c r="AD90" s="20" t="s">
        <v>74</v>
      </c>
      <c r="AE90" s="8" t="s">
        <v>54</v>
      </c>
      <c r="AF90" s="8" t="s">
        <v>54</v>
      </c>
      <c r="AG90" s="17"/>
      <c r="AH90" s="17"/>
      <c r="AI90" s="17"/>
      <c r="AJ90" s="17"/>
      <c r="AK90" s="11" t="s">
        <v>47</v>
      </c>
      <c r="AL90" s="18"/>
      <c r="AM90" s="15">
        <v>20000.0</v>
      </c>
      <c r="AN90" s="18"/>
      <c r="AO90" s="18"/>
      <c r="AP90" s="19">
        <f t="shared" si="2"/>
        <v>0</v>
      </c>
      <c r="AQ90" s="18"/>
    </row>
    <row r="91">
      <c r="A91" s="8" t="s">
        <v>433</v>
      </c>
      <c r="B91" s="9">
        <v>112.0</v>
      </c>
      <c r="C91" s="10">
        <v>45834.0</v>
      </c>
      <c r="D91" s="8" t="str">
        <f t="shared" si="1"/>
        <v>南投</v>
      </c>
      <c r="E91" s="8" t="s">
        <v>434</v>
      </c>
      <c r="F91" s="8" t="s">
        <v>46</v>
      </c>
      <c r="G91" s="9">
        <v>3.0</v>
      </c>
      <c r="H91" s="8" t="s">
        <v>435</v>
      </c>
      <c r="I91" s="11" t="s">
        <v>47</v>
      </c>
      <c r="J91" s="11" t="s">
        <v>47</v>
      </c>
      <c r="K91" s="17">
        <v>230762.0</v>
      </c>
      <c r="L91" s="17">
        <v>230762.0</v>
      </c>
      <c r="M91" s="13" t="s">
        <v>47</v>
      </c>
      <c r="N91" s="8" t="s">
        <v>88</v>
      </c>
      <c r="O91" s="8" t="s">
        <v>48</v>
      </c>
      <c r="P91" s="8" t="s">
        <v>49</v>
      </c>
      <c r="Q91" s="8" t="s">
        <v>436</v>
      </c>
      <c r="R91" s="8" t="s">
        <v>51</v>
      </c>
      <c r="S91" s="14">
        <f t="shared" si="9"/>
        <v>60</v>
      </c>
      <c r="T91" s="14">
        <v>60000.0</v>
      </c>
      <c r="U91" s="8" t="s">
        <v>437</v>
      </c>
      <c r="V91" s="11" t="s">
        <v>47</v>
      </c>
      <c r="W91" s="11" t="s">
        <v>47</v>
      </c>
      <c r="X91" s="8" t="s">
        <v>438</v>
      </c>
      <c r="Y91" s="8" t="s">
        <v>56</v>
      </c>
      <c r="Z91" s="8" t="s">
        <v>54</v>
      </c>
      <c r="AA91" s="8" t="s">
        <v>70</v>
      </c>
      <c r="AB91" s="8" t="s">
        <v>55</v>
      </c>
      <c r="AC91" s="8" t="s">
        <v>54</v>
      </c>
      <c r="AD91" s="8" t="s">
        <v>54</v>
      </c>
      <c r="AE91" s="8" t="s">
        <v>54</v>
      </c>
      <c r="AF91" s="8" t="s">
        <v>54</v>
      </c>
      <c r="AG91" s="17">
        <v>28397.0</v>
      </c>
      <c r="AH91" s="17">
        <v>28397.0</v>
      </c>
      <c r="AI91" s="17">
        <f>96126+ 12000</f>
        <v>108126</v>
      </c>
      <c r="AJ91" s="17">
        <f>159567+0</f>
        <v>159567</v>
      </c>
      <c r="AK91" s="11" t="s">
        <v>47</v>
      </c>
      <c r="AL91" s="15">
        <v>500000.0</v>
      </c>
      <c r="AM91" s="15">
        <v>60000.0</v>
      </c>
      <c r="AN91" s="15">
        <v>807425.0</v>
      </c>
      <c r="AO91" s="15">
        <v>736748.0</v>
      </c>
      <c r="AP91" s="16">
        <f t="shared" si="2"/>
        <v>70677</v>
      </c>
      <c r="AQ91" s="15" t="s">
        <v>47</v>
      </c>
      <c r="AR91" s="15" t="s">
        <v>47</v>
      </c>
    </row>
    <row r="92">
      <c r="A92" s="8" t="s">
        <v>439</v>
      </c>
      <c r="B92" s="9">
        <v>112.0</v>
      </c>
      <c r="C92" s="10">
        <v>45890.0</v>
      </c>
      <c r="D92" s="8" t="str">
        <f t="shared" si="1"/>
        <v>南投</v>
      </c>
      <c r="E92" s="8" t="s">
        <v>440</v>
      </c>
      <c r="F92" s="8" t="s">
        <v>133</v>
      </c>
      <c r="G92" s="9">
        <v>3.0</v>
      </c>
      <c r="H92" s="11" t="s">
        <v>47</v>
      </c>
      <c r="I92" s="11" t="s">
        <v>47</v>
      </c>
      <c r="J92" s="11" t="s">
        <v>47</v>
      </c>
      <c r="K92" s="17">
        <v>104603.0</v>
      </c>
      <c r="L92" s="17">
        <v>104603.0</v>
      </c>
      <c r="M92" s="13" t="s">
        <v>47</v>
      </c>
      <c r="N92" s="8" t="s">
        <v>88</v>
      </c>
      <c r="O92" s="8" t="s">
        <v>88</v>
      </c>
      <c r="P92" s="8" t="s">
        <v>49</v>
      </c>
      <c r="Q92" s="8" t="s">
        <v>441</v>
      </c>
      <c r="R92" s="8" t="s">
        <v>51</v>
      </c>
      <c r="S92" s="14">
        <f t="shared" si="9"/>
        <v>50</v>
      </c>
      <c r="T92" s="14">
        <v>50000.0</v>
      </c>
      <c r="U92" s="11" t="s">
        <v>47</v>
      </c>
      <c r="V92" s="11" t="s">
        <v>47</v>
      </c>
      <c r="W92" s="11" t="s">
        <v>47</v>
      </c>
      <c r="X92" s="8" t="s">
        <v>442</v>
      </c>
      <c r="Y92" s="8" t="s">
        <v>73</v>
      </c>
      <c r="Z92" s="8" t="s">
        <v>54</v>
      </c>
      <c r="AA92" s="8" t="s">
        <v>73</v>
      </c>
      <c r="AB92" s="8" t="s">
        <v>70</v>
      </c>
      <c r="AC92" s="8" t="s">
        <v>54</v>
      </c>
      <c r="AD92" s="11" t="s">
        <v>47</v>
      </c>
      <c r="AE92" s="8" t="s">
        <v>54</v>
      </c>
      <c r="AF92" s="11" t="s">
        <v>47</v>
      </c>
      <c r="AG92" s="17">
        <v>18798.0</v>
      </c>
      <c r="AH92" s="17">
        <v>29250.0</v>
      </c>
      <c r="AI92" s="17">
        <f>2620+166000</f>
        <v>168620</v>
      </c>
      <c r="AJ92" s="17">
        <v>0.0</v>
      </c>
      <c r="AK92" s="11" t="s">
        <v>47</v>
      </c>
      <c r="AL92" s="15">
        <v>100000.0</v>
      </c>
      <c r="AM92" s="15">
        <v>100000.0</v>
      </c>
      <c r="AN92" s="15">
        <v>399454.0</v>
      </c>
      <c r="AO92" s="15">
        <v>328481.0</v>
      </c>
      <c r="AP92" s="16">
        <f t="shared" si="2"/>
        <v>70973</v>
      </c>
      <c r="AQ92" s="15" t="s">
        <v>47</v>
      </c>
      <c r="AR92" s="15" t="s">
        <v>47</v>
      </c>
    </row>
    <row r="93">
      <c r="A93" s="8" t="s">
        <v>443</v>
      </c>
      <c r="B93" s="9">
        <v>112.0</v>
      </c>
      <c r="C93" s="10">
        <v>45828.0</v>
      </c>
      <c r="D93" s="8" t="str">
        <f t="shared" si="1"/>
        <v>嘉義</v>
      </c>
      <c r="E93" s="8" t="s">
        <v>444</v>
      </c>
      <c r="F93" s="8" t="s">
        <v>73</v>
      </c>
      <c r="G93" s="9">
        <v>2.0</v>
      </c>
      <c r="H93" s="8" t="s">
        <v>426</v>
      </c>
      <c r="I93" s="8" t="s">
        <v>49</v>
      </c>
      <c r="J93" s="11" t="s">
        <v>47</v>
      </c>
      <c r="K93" s="17">
        <v>421064.0</v>
      </c>
      <c r="L93" s="17">
        <v>421424.0</v>
      </c>
      <c r="M93" s="13" t="s">
        <v>47</v>
      </c>
      <c r="N93" s="8" t="s">
        <v>48</v>
      </c>
      <c r="O93" s="8" t="s">
        <v>88</v>
      </c>
      <c r="P93" s="8" t="s">
        <v>49</v>
      </c>
      <c r="Q93" s="8" t="s">
        <v>445</v>
      </c>
      <c r="R93" s="8" t="s">
        <v>51</v>
      </c>
      <c r="S93" s="14">
        <f t="shared" si="9"/>
        <v>90</v>
      </c>
      <c r="T93" s="14">
        <v>90000.0</v>
      </c>
      <c r="U93" s="11" t="s">
        <v>47</v>
      </c>
      <c r="V93" s="11" t="s">
        <v>47</v>
      </c>
      <c r="W93" s="11" t="s">
        <v>47</v>
      </c>
      <c r="X93" s="8" t="s">
        <v>446</v>
      </c>
      <c r="Y93" s="8" t="s">
        <v>73</v>
      </c>
      <c r="Z93" s="8" t="s">
        <v>54</v>
      </c>
      <c r="AA93" s="20" t="s">
        <v>74</v>
      </c>
      <c r="AB93" s="20" t="s">
        <v>74</v>
      </c>
      <c r="AC93" s="8" t="s">
        <v>54</v>
      </c>
      <c r="AD93" s="8" t="s">
        <v>54</v>
      </c>
      <c r="AE93" s="8" t="s">
        <v>54</v>
      </c>
      <c r="AF93" s="8" t="s">
        <v>54</v>
      </c>
      <c r="AG93" s="15">
        <v>2900.0</v>
      </c>
      <c r="AH93" s="15">
        <v>11600.0</v>
      </c>
      <c r="AI93" s="15">
        <f>8000+216000</f>
        <v>224000</v>
      </c>
      <c r="AJ93" s="15">
        <v>0.0</v>
      </c>
      <c r="AK93" s="11" t="s">
        <v>47</v>
      </c>
      <c r="AL93" s="15">
        <v>556711.0</v>
      </c>
      <c r="AM93" s="15">
        <v>300000.0</v>
      </c>
      <c r="AN93" s="15">
        <v>282844.0</v>
      </c>
      <c r="AO93" s="15">
        <v>208991.0</v>
      </c>
      <c r="AP93" s="16">
        <f t="shared" si="2"/>
        <v>73853</v>
      </c>
      <c r="AQ93" s="15" t="s">
        <v>54</v>
      </c>
      <c r="AR93" s="8" t="s">
        <v>447</v>
      </c>
    </row>
    <row r="94">
      <c r="A94" s="8" t="s">
        <v>448</v>
      </c>
      <c r="B94" s="9">
        <v>112.0</v>
      </c>
      <c r="C94" s="10">
        <v>45803.0</v>
      </c>
      <c r="D94" s="8" t="str">
        <f t="shared" si="1"/>
        <v>新北</v>
      </c>
      <c r="E94" s="8" t="s">
        <v>449</v>
      </c>
      <c r="F94" s="8" t="s">
        <v>70</v>
      </c>
      <c r="G94" s="9">
        <v>3.0</v>
      </c>
      <c r="H94" s="11" t="s">
        <v>47</v>
      </c>
      <c r="I94" s="11" t="s">
        <v>47</v>
      </c>
      <c r="J94" s="11" t="s">
        <v>47</v>
      </c>
      <c r="K94" s="17">
        <v>101960.0</v>
      </c>
      <c r="L94" s="17">
        <v>102000.0</v>
      </c>
      <c r="M94" s="13" t="s">
        <v>47</v>
      </c>
      <c r="N94" s="8" t="s">
        <v>48</v>
      </c>
      <c r="O94" s="8" t="s">
        <v>48</v>
      </c>
      <c r="P94" s="8" t="s">
        <v>49</v>
      </c>
      <c r="Q94" s="8" t="s">
        <v>450</v>
      </c>
      <c r="R94" s="8" t="s">
        <v>51</v>
      </c>
      <c r="S94" s="14">
        <f t="shared" si="9"/>
        <v>20</v>
      </c>
      <c r="T94" s="14">
        <v>20000.0</v>
      </c>
      <c r="U94" s="11" t="s">
        <v>47</v>
      </c>
      <c r="V94" s="11" t="s">
        <v>47</v>
      </c>
      <c r="W94" s="11" t="s">
        <v>47</v>
      </c>
      <c r="X94" s="8" t="s">
        <v>451</v>
      </c>
      <c r="Y94" s="8" t="s">
        <v>73</v>
      </c>
      <c r="Z94" s="8" t="s">
        <v>54</v>
      </c>
      <c r="AA94" s="20" t="s">
        <v>74</v>
      </c>
      <c r="AB94" s="20" t="s">
        <v>74</v>
      </c>
      <c r="AC94" s="8" t="s">
        <v>54</v>
      </c>
      <c r="AD94" s="8" t="s">
        <v>54</v>
      </c>
      <c r="AE94" s="8" t="s">
        <v>54</v>
      </c>
      <c r="AF94" s="8" t="s">
        <v>54</v>
      </c>
      <c r="AG94" s="17">
        <v>0.0</v>
      </c>
      <c r="AH94" s="17">
        <v>0.0</v>
      </c>
      <c r="AI94" s="17">
        <v>90000.0</v>
      </c>
      <c r="AJ94" s="17">
        <v>195000.0</v>
      </c>
      <c r="AK94" s="11" t="s">
        <v>47</v>
      </c>
      <c r="AL94" s="15">
        <v>200000.0</v>
      </c>
      <c r="AM94" s="15">
        <v>150000.0</v>
      </c>
      <c r="AN94" s="15">
        <v>536960.0</v>
      </c>
      <c r="AO94" s="15">
        <v>461295.0</v>
      </c>
      <c r="AP94" s="16">
        <f t="shared" si="2"/>
        <v>75665</v>
      </c>
      <c r="AQ94" s="15" t="s">
        <v>47</v>
      </c>
      <c r="AR94" s="15" t="s">
        <v>47</v>
      </c>
    </row>
    <row r="95">
      <c r="A95" s="8" t="s">
        <v>452</v>
      </c>
      <c r="B95" s="9">
        <v>112.0</v>
      </c>
      <c r="C95" s="10">
        <v>45900.0</v>
      </c>
      <c r="D95" s="8" t="str">
        <f t="shared" si="1"/>
        <v>新北</v>
      </c>
      <c r="E95" s="8" t="s">
        <v>453</v>
      </c>
      <c r="F95" s="8" t="s">
        <v>70</v>
      </c>
      <c r="G95" s="9">
        <v>3.0</v>
      </c>
      <c r="H95" s="11" t="s">
        <v>47</v>
      </c>
      <c r="I95" s="11" t="s">
        <v>47</v>
      </c>
      <c r="J95" s="11" t="s">
        <v>47</v>
      </c>
      <c r="K95" s="17">
        <v>79394.0</v>
      </c>
      <c r="L95" s="17">
        <v>79394.0</v>
      </c>
      <c r="M95" s="9" t="s">
        <v>427</v>
      </c>
      <c r="N95" s="8" t="s">
        <v>48</v>
      </c>
      <c r="O95" s="8" t="s">
        <v>48</v>
      </c>
      <c r="P95" s="8" t="s">
        <v>49</v>
      </c>
      <c r="Q95" s="8" t="s">
        <v>454</v>
      </c>
      <c r="R95" s="8" t="s">
        <v>51</v>
      </c>
      <c r="S95" s="14">
        <f t="shared" si="9"/>
        <v>90</v>
      </c>
      <c r="T95" s="14">
        <v>90000.0</v>
      </c>
      <c r="U95" s="11" t="s">
        <v>47</v>
      </c>
      <c r="V95" s="8" t="s">
        <v>90</v>
      </c>
      <c r="W95" s="11" t="s">
        <v>47</v>
      </c>
      <c r="X95" s="8" t="s">
        <v>455</v>
      </c>
      <c r="Y95" s="8" t="s">
        <v>56</v>
      </c>
      <c r="Z95" s="8" t="s">
        <v>54</v>
      </c>
      <c r="AA95" s="20" t="s">
        <v>74</v>
      </c>
      <c r="AB95" s="20" t="s">
        <v>74</v>
      </c>
      <c r="AC95" s="8" t="s">
        <v>54</v>
      </c>
      <c r="AD95" s="8" t="s">
        <v>54</v>
      </c>
      <c r="AE95" s="8" t="s">
        <v>54</v>
      </c>
      <c r="AF95" s="8" t="s">
        <v>54</v>
      </c>
      <c r="AG95" s="17">
        <v>0.0</v>
      </c>
      <c r="AH95" s="17">
        <v>0.0</v>
      </c>
      <c r="AI95" s="17">
        <v>79200.0</v>
      </c>
      <c r="AJ95" s="17">
        <v>3000.0</v>
      </c>
      <c r="AK95" s="11" t="s">
        <v>47</v>
      </c>
      <c r="AL95" s="15">
        <v>500000.0</v>
      </c>
      <c r="AM95" s="15">
        <v>150000.0</v>
      </c>
      <c r="AN95" s="18">
        <f>79394+79200+300+150000</f>
        <v>308894</v>
      </c>
      <c r="AO95" s="15">
        <v>232669.0</v>
      </c>
      <c r="AP95" s="16">
        <f t="shared" si="2"/>
        <v>76225</v>
      </c>
      <c r="AQ95" s="15" t="s">
        <v>47</v>
      </c>
      <c r="AR95" s="15" t="s">
        <v>47</v>
      </c>
    </row>
    <row r="96" hidden="1">
      <c r="A96" s="8" t="s">
        <v>456</v>
      </c>
      <c r="B96" s="9">
        <v>112.0</v>
      </c>
      <c r="C96" s="9"/>
      <c r="D96" s="8" t="str">
        <f t="shared" si="1"/>
        <v>屏東</v>
      </c>
      <c r="E96" s="8" t="s">
        <v>144</v>
      </c>
      <c r="F96" s="8"/>
      <c r="G96" s="9"/>
      <c r="H96" s="11" t="s">
        <v>47</v>
      </c>
      <c r="I96" s="11" t="s">
        <v>47</v>
      </c>
      <c r="J96" s="11" t="s">
        <v>47</v>
      </c>
      <c r="K96" s="12"/>
      <c r="L96" s="12"/>
      <c r="M96" s="13" t="s">
        <v>47</v>
      </c>
      <c r="N96" s="8" t="s">
        <v>48</v>
      </c>
      <c r="O96" s="8" t="s">
        <v>48</v>
      </c>
      <c r="P96" s="8" t="s">
        <v>61</v>
      </c>
      <c r="Q96" s="8"/>
      <c r="R96" s="8"/>
      <c r="S96" s="14">
        <f t="shared" si="9"/>
        <v>0</v>
      </c>
      <c r="T96" s="8"/>
      <c r="U96" s="11" t="s">
        <v>47</v>
      </c>
      <c r="V96" s="11" t="s">
        <v>47</v>
      </c>
      <c r="W96" s="11" t="s">
        <v>47</v>
      </c>
      <c r="X96" s="8" t="s">
        <v>457</v>
      </c>
      <c r="Y96" s="8"/>
      <c r="Z96" s="8" t="s">
        <v>54</v>
      </c>
      <c r="AA96" s="11" t="s">
        <v>47</v>
      </c>
      <c r="AB96" s="11" t="s">
        <v>47</v>
      </c>
      <c r="AC96" s="8" t="s">
        <v>54</v>
      </c>
      <c r="AD96" s="8" t="s">
        <v>54</v>
      </c>
      <c r="AE96" s="8" t="s">
        <v>54</v>
      </c>
      <c r="AF96" s="8" t="s">
        <v>54</v>
      </c>
      <c r="AG96" s="17"/>
      <c r="AH96" s="17"/>
      <c r="AI96" s="17"/>
      <c r="AJ96" s="17"/>
      <c r="AK96" s="11" t="s">
        <v>47</v>
      </c>
      <c r="AL96" s="18"/>
      <c r="AM96" s="9" t="s">
        <v>396</v>
      </c>
      <c r="AN96" s="18"/>
      <c r="AO96" s="18"/>
      <c r="AP96" s="19">
        <f t="shared" si="2"/>
        <v>0</v>
      </c>
      <c r="AQ96" s="18"/>
    </row>
    <row r="97">
      <c r="A97" s="8" t="s">
        <v>458</v>
      </c>
      <c r="B97" s="9">
        <v>112.0</v>
      </c>
      <c r="C97" s="10">
        <v>45848.0</v>
      </c>
      <c r="D97" s="8" t="str">
        <f t="shared" si="1"/>
        <v>屏東</v>
      </c>
      <c r="E97" s="8" t="s">
        <v>459</v>
      </c>
      <c r="F97" s="8" t="s">
        <v>124</v>
      </c>
      <c r="G97" s="9">
        <v>3.0</v>
      </c>
      <c r="H97" s="8" t="s">
        <v>460</v>
      </c>
      <c r="I97" s="11" t="s">
        <v>47</v>
      </c>
      <c r="J97" s="11" t="s">
        <v>47</v>
      </c>
      <c r="K97" s="17">
        <v>66288.0</v>
      </c>
      <c r="L97" s="17">
        <v>66288.0</v>
      </c>
      <c r="M97" s="13" t="s">
        <v>47</v>
      </c>
      <c r="N97" s="8" t="s">
        <v>48</v>
      </c>
      <c r="O97" s="8" t="s">
        <v>48</v>
      </c>
      <c r="P97" s="8" t="s">
        <v>49</v>
      </c>
      <c r="Q97" s="8" t="s">
        <v>461</v>
      </c>
      <c r="R97" s="8" t="s">
        <v>51</v>
      </c>
      <c r="S97" s="14">
        <v>90.0</v>
      </c>
      <c r="T97" s="14">
        <v>90000.0</v>
      </c>
      <c r="U97" s="11" t="s">
        <v>47</v>
      </c>
      <c r="V97" s="11" t="s">
        <v>47</v>
      </c>
      <c r="W97" s="11" t="s">
        <v>47</v>
      </c>
      <c r="X97" s="8" t="s">
        <v>462</v>
      </c>
      <c r="Y97" s="8" t="s">
        <v>56</v>
      </c>
      <c r="Z97" s="8" t="s">
        <v>54</v>
      </c>
      <c r="AA97" s="20" t="s">
        <v>74</v>
      </c>
      <c r="AB97" s="20" t="s">
        <v>74</v>
      </c>
      <c r="AC97" s="8" t="s">
        <v>54</v>
      </c>
      <c r="AD97" s="8" t="s">
        <v>54</v>
      </c>
      <c r="AE97" s="8" t="s">
        <v>54</v>
      </c>
      <c r="AF97" s="8" t="s">
        <v>54</v>
      </c>
      <c r="AG97" s="15">
        <v>21525.0</v>
      </c>
      <c r="AH97" s="15">
        <v>46500.0</v>
      </c>
      <c r="AI97" s="15">
        <v>66000.0</v>
      </c>
      <c r="AJ97" s="15">
        <v>242455.0</v>
      </c>
      <c r="AK97" s="11" t="s">
        <v>47</v>
      </c>
      <c r="AL97" s="15">
        <v>350000.0</v>
      </c>
      <c r="AM97" s="15">
        <v>250000.0</v>
      </c>
      <c r="AN97" s="15">
        <v>1016238.0</v>
      </c>
      <c r="AO97" s="15">
        <v>939106.0</v>
      </c>
      <c r="AP97" s="16">
        <f t="shared" si="2"/>
        <v>77132</v>
      </c>
      <c r="AQ97" s="15" t="s">
        <v>47</v>
      </c>
      <c r="AR97" s="15" t="s">
        <v>47</v>
      </c>
    </row>
    <row r="98" hidden="1">
      <c r="A98" s="8" t="s">
        <v>463</v>
      </c>
      <c r="B98" s="9">
        <v>112.0</v>
      </c>
      <c r="C98" s="9"/>
      <c r="D98" s="8" t="str">
        <f t="shared" si="1"/>
        <v>屏東</v>
      </c>
      <c r="E98" s="8" t="s">
        <v>346</v>
      </c>
      <c r="F98" s="8"/>
      <c r="G98" s="9"/>
      <c r="K98" s="12"/>
      <c r="L98" s="12"/>
      <c r="M98" s="18"/>
      <c r="S98" s="14">
        <f t="shared" ref="S98:S108" si="10">T:T/1000</f>
        <v>0</v>
      </c>
      <c r="Z98" s="8" t="s">
        <v>54</v>
      </c>
      <c r="AA98" s="8" t="s">
        <v>63</v>
      </c>
      <c r="AC98" s="8" t="s">
        <v>54</v>
      </c>
      <c r="AD98" s="8" t="s">
        <v>54</v>
      </c>
      <c r="AE98" s="8" t="s">
        <v>54</v>
      </c>
      <c r="AF98" s="8" t="s">
        <v>54</v>
      </c>
      <c r="AG98" s="17"/>
      <c r="AH98" s="17"/>
      <c r="AI98" s="17"/>
      <c r="AJ98" s="17"/>
      <c r="AK98" s="11" t="s">
        <v>47</v>
      </c>
      <c r="AL98" s="18"/>
      <c r="AM98" s="18"/>
      <c r="AN98" s="18"/>
      <c r="AO98" s="18"/>
      <c r="AP98" s="19">
        <f t="shared" si="2"/>
        <v>0</v>
      </c>
      <c r="AQ98" s="18"/>
    </row>
    <row r="99" hidden="1">
      <c r="A99" s="8" t="s">
        <v>464</v>
      </c>
      <c r="B99" s="9">
        <v>112.0</v>
      </c>
      <c r="C99" s="9"/>
      <c r="D99" s="8" t="str">
        <f t="shared" si="1"/>
        <v>臺中</v>
      </c>
      <c r="E99" s="8" t="s">
        <v>144</v>
      </c>
      <c r="F99" s="8"/>
      <c r="G99" s="9"/>
      <c r="H99" s="11" t="s">
        <v>47</v>
      </c>
      <c r="I99" s="11" t="s">
        <v>47</v>
      </c>
      <c r="J99" s="11" t="s">
        <v>47</v>
      </c>
      <c r="K99" s="12"/>
      <c r="L99" s="12"/>
      <c r="M99" s="13" t="s">
        <v>47</v>
      </c>
      <c r="N99" s="8" t="s">
        <v>48</v>
      </c>
      <c r="O99" s="8" t="s">
        <v>48</v>
      </c>
      <c r="P99" s="8" t="s">
        <v>61</v>
      </c>
      <c r="Q99" s="8"/>
      <c r="R99" s="8"/>
      <c r="S99" s="14">
        <f t="shared" si="10"/>
        <v>0</v>
      </c>
      <c r="T99" s="8"/>
      <c r="U99" s="11" t="s">
        <v>47</v>
      </c>
      <c r="V99" s="11" t="s">
        <v>47</v>
      </c>
      <c r="W99" s="11" t="s">
        <v>47</v>
      </c>
      <c r="X99" s="11" t="s">
        <v>47</v>
      </c>
      <c r="Y99" s="11"/>
      <c r="Z99" s="8" t="s">
        <v>54</v>
      </c>
      <c r="AA99" s="8" t="s">
        <v>63</v>
      </c>
      <c r="AB99" s="11" t="s">
        <v>47</v>
      </c>
      <c r="AC99" s="8" t="s">
        <v>54</v>
      </c>
      <c r="AD99" s="8" t="s">
        <v>54</v>
      </c>
      <c r="AE99" s="8" t="s">
        <v>54</v>
      </c>
      <c r="AF99" s="8" t="s">
        <v>54</v>
      </c>
      <c r="AG99" s="17"/>
      <c r="AH99" s="17"/>
      <c r="AI99" s="17"/>
      <c r="AJ99" s="17"/>
      <c r="AK99" s="11" t="s">
        <v>47</v>
      </c>
      <c r="AL99" s="18"/>
      <c r="AM99" s="9" t="s">
        <v>396</v>
      </c>
      <c r="AN99" s="18"/>
      <c r="AO99" s="18"/>
      <c r="AP99" s="19">
        <f t="shared" si="2"/>
        <v>0</v>
      </c>
      <c r="AQ99" s="18"/>
    </row>
    <row r="100" hidden="1">
      <c r="A100" s="8" t="s">
        <v>465</v>
      </c>
      <c r="B100" s="9">
        <v>112.0</v>
      </c>
      <c r="C100" s="9"/>
      <c r="D100" s="8" t="str">
        <f t="shared" si="1"/>
        <v>臺中</v>
      </c>
      <c r="G100" s="9"/>
      <c r="K100" s="12"/>
      <c r="L100" s="12"/>
      <c r="M100" s="18"/>
      <c r="N100" s="8" t="s">
        <v>48</v>
      </c>
      <c r="O100" s="8" t="s">
        <v>88</v>
      </c>
      <c r="S100" s="14">
        <f t="shared" si="10"/>
        <v>0</v>
      </c>
      <c r="X100" s="8" t="s">
        <v>466</v>
      </c>
      <c r="Y100" s="8"/>
      <c r="Z100" s="8" t="s">
        <v>54</v>
      </c>
      <c r="AA100" s="8" t="s">
        <v>63</v>
      </c>
      <c r="AC100" s="8" t="s">
        <v>54</v>
      </c>
      <c r="AD100" s="8" t="s">
        <v>54</v>
      </c>
      <c r="AE100" s="8" t="s">
        <v>54</v>
      </c>
      <c r="AF100" s="8" t="s">
        <v>54</v>
      </c>
      <c r="AG100" s="17"/>
      <c r="AH100" s="17"/>
      <c r="AI100" s="17"/>
      <c r="AJ100" s="17"/>
      <c r="AL100" s="18"/>
      <c r="AM100" s="18"/>
      <c r="AN100" s="18"/>
      <c r="AO100" s="18"/>
      <c r="AP100" s="19">
        <f t="shared" si="2"/>
        <v>0</v>
      </c>
      <c r="AQ100" s="18"/>
    </row>
    <row r="101" hidden="1">
      <c r="A101" s="23" t="s">
        <v>467</v>
      </c>
      <c r="B101" s="9">
        <v>112.0</v>
      </c>
      <c r="C101" s="34"/>
      <c r="D101" s="23" t="str">
        <f t="shared" si="1"/>
        <v>臺中</v>
      </c>
      <c r="E101" s="35" t="s">
        <v>468</v>
      </c>
      <c r="F101" s="35"/>
      <c r="G101" s="9"/>
      <c r="H101" s="36"/>
      <c r="I101" s="36"/>
      <c r="J101" s="36"/>
      <c r="K101" s="12"/>
      <c r="L101" s="12"/>
      <c r="M101" s="32"/>
      <c r="N101" s="36"/>
      <c r="O101" s="36"/>
      <c r="P101" s="36"/>
      <c r="Q101" s="36"/>
      <c r="R101" s="36"/>
      <c r="S101" s="14">
        <f t="shared" si="10"/>
        <v>0</v>
      </c>
      <c r="T101" s="36"/>
      <c r="U101" s="36"/>
      <c r="V101" s="36"/>
      <c r="W101" s="36"/>
      <c r="X101" s="36"/>
      <c r="Y101" s="36"/>
      <c r="Z101" s="8" t="s">
        <v>54</v>
      </c>
      <c r="AA101" s="8" t="s">
        <v>63</v>
      </c>
      <c r="AB101" s="36"/>
      <c r="AC101" s="8" t="s">
        <v>54</v>
      </c>
      <c r="AD101" s="8" t="s">
        <v>54</v>
      </c>
      <c r="AE101" s="8" t="s">
        <v>54</v>
      </c>
      <c r="AF101" s="8" t="s">
        <v>54</v>
      </c>
      <c r="AG101" s="17"/>
      <c r="AH101" s="17"/>
      <c r="AI101" s="17"/>
      <c r="AJ101" s="17"/>
      <c r="AK101" s="36"/>
      <c r="AL101" s="32"/>
      <c r="AM101" s="32"/>
      <c r="AN101" s="32"/>
      <c r="AO101" s="32"/>
      <c r="AP101" s="19">
        <f t="shared" si="2"/>
        <v>0</v>
      </c>
      <c r="AQ101" s="32"/>
      <c r="AR101" s="36"/>
    </row>
    <row r="102" hidden="1">
      <c r="A102" s="23" t="s">
        <v>469</v>
      </c>
      <c r="B102" s="9">
        <v>112.0</v>
      </c>
      <c r="C102" s="34"/>
      <c r="D102" s="23" t="str">
        <f t="shared" si="1"/>
        <v>臺中</v>
      </c>
      <c r="E102" s="35" t="s">
        <v>468</v>
      </c>
      <c r="F102" s="35"/>
      <c r="G102" s="9"/>
      <c r="H102" s="36"/>
      <c r="I102" s="36"/>
      <c r="J102" s="36"/>
      <c r="K102" s="12"/>
      <c r="L102" s="12"/>
      <c r="M102" s="32"/>
      <c r="N102" s="36"/>
      <c r="O102" s="36"/>
      <c r="P102" s="36"/>
      <c r="Q102" s="36"/>
      <c r="R102" s="36"/>
      <c r="S102" s="14">
        <f t="shared" si="10"/>
        <v>0</v>
      </c>
      <c r="T102" s="36"/>
      <c r="U102" s="36"/>
      <c r="V102" s="36"/>
      <c r="W102" s="36"/>
      <c r="X102" s="36"/>
      <c r="Y102" s="36"/>
      <c r="Z102" s="8" t="s">
        <v>54</v>
      </c>
      <c r="AA102" s="8" t="s">
        <v>63</v>
      </c>
      <c r="AB102" s="36"/>
      <c r="AC102" s="8" t="s">
        <v>54</v>
      </c>
      <c r="AD102" s="8" t="s">
        <v>54</v>
      </c>
      <c r="AE102" s="8" t="s">
        <v>54</v>
      </c>
      <c r="AF102" s="8" t="s">
        <v>54</v>
      </c>
      <c r="AG102" s="17"/>
      <c r="AH102" s="17"/>
      <c r="AI102" s="17"/>
      <c r="AJ102" s="17"/>
      <c r="AK102" s="36"/>
      <c r="AL102" s="32"/>
      <c r="AM102" s="32"/>
      <c r="AN102" s="32"/>
      <c r="AO102" s="32"/>
      <c r="AP102" s="19">
        <f t="shared" si="2"/>
        <v>0</v>
      </c>
      <c r="AQ102" s="32"/>
      <c r="AR102" s="36"/>
    </row>
    <row r="103" hidden="1">
      <c r="A103" s="23" t="s">
        <v>470</v>
      </c>
      <c r="B103" s="9">
        <v>112.0</v>
      </c>
      <c r="C103" s="34"/>
      <c r="D103" s="23" t="str">
        <f t="shared" si="1"/>
        <v>新北</v>
      </c>
      <c r="E103" s="35" t="s">
        <v>468</v>
      </c>
      <c r="F103" s="35"/>
      <c r="G103" s="9"/>
      <c r="H103" s="36"/>
      <c r="I103" s="36"/>
      <c r="J103" s="36"/>
      <c r="K103" s="12"/>
      <c r="L103" s="12"/>
      <c r="M103" s="32"/>
      <c r="N103" s="36"/>
      <c r="O103" s="36"/>
      <c r="P103" s="36"/>
      <c r="Q103" s="36"/>
      <c r="R103" s="36"/>
      <c r="S103" s="14">
        <f t="shared" si="10"/>
        <v>0</v>
      </c>
      <c r="T103" s="36"/>
      <c r="U103" s="36"/>
      <c r="V103" s="36"/>
      <c r="W103" s="36"/>
      <c r="X103" s="36"/>
      <c r="Y103" s="36"/>
      <c r="Z103" s="8" t="s">
        <v>54</v>
      </c>
      <c r="AA103" s="8" t="s">
        <v>63</v>
      </c>
      <c r="AB103" s="36"/>
      <c r="AC103" s="8" t="s">
        <v>54</v>
      </c>
      <c r="AD103" s="8" t="s">
        <v>54</v>
      </c>
      <c r="AE103" s="8" t="s">
        <v>54</v>
      </c>
      <c r="AF103" s="8" t="s">
        <v>54</v>
      </c>
      <c r="AG103" s="17"/>
      <c r="AH103" s="17"/>
      <c r="AI103" s="17"/>
      <c r="AJ103" s="17"/>
      <c r="AK103" s="36"/>
      <c r="AL103" s="32"/>
      <c r="AM103" s="32"/>
      <c r="AN103" s="32"/>
      <c r="AO103" s="32"/>
      <c r="AP103" s="19">
        <f t="shared" si="2"/>
        <v>0</v>
      </c>
      <c r="AQ103" s="32"/>
      <c r="AR103" s="36"/>
    </row>
    <row r="104" hidden="1">
      <c r="A104" s="23" t="s">
        <v>471</v>
      </c>
      <c r="B104" s="9">
        <v>112.0</v>
      </c>
      <c r="C104" s="34"/>
      <c r="D104" s="23" t="str">
        <f t="shared" si="1"/>
        <v>士林</v>
      </c>
      <c r="E104" s="35" t="s">
        <v>468</v>
      </c>
      <c r="F104" s="35"/>
      <c r="G104" s="9"/>
      <c r="H104" s="36"/>
      <c r="I104" s="26"/>
      <c r="J104" s="26"/>
      <c r="K104" s="12"/>
      <c r="L104" s="12"/>
      <c r="M104" s="30"/>
      <c r="N104" s="36"/>
      <c r="O104" s="36"/>
      <c r="P104" s="36"/>
      <c r="Q104" s="36"/>
      <c r="R104" s="36"/>
      <c r="S104" s="14">
        <f t="shared" si="10"/>
        <v>0</v>
      </c>
      <c r="T104" s="36"/>
      <c r="U104" s="36"/>
      <c r="V104" s="36"/>
      <c r="W104" s="36"/>
      <c r="X104" s="36"/>
      <c r="Y104" s="36"/>
      <c r="Z104" s="8" t="s">
        <v>54</v>
      </c>
      <c r="AA104" s="8" t="s">
        <v>63</v>
      </c>
      <c r="AB104" s="36"/>
      <c r="AC104" s="8" t="s">
        <v>54</v>
      </c>
      <c r="AD104" s="8" t="s">
        <v>54</v>
      </c>
      <c r="AE104" s="8" t="s">
        <v>54</v>
      </c>
      <c r="AF104" s="8" t="s">
        <v>54</v>
      </c>
      <c r="AG104" s="17"/>
      <c r="AH104" s="17"/>
      <c r="AI104" s="17"/>
      <c r="AJ104" s="17"/>
      <c r="AK104" s="36"/>
      <c r="AL104" s="32"/>
      <c r="AM104" s="32"/>
      <c r="AN104" s="32"/>
      <c r="AO104" s="32"/>
      <c r="AP104" s="19">
        <f t="shared" si="2"/>
        <v>0</v>
      </c>
      <c r="AQ104" s="32"/>
      <c r="AR104" s="36"/>
    </row>
    <row r="105">
      <c r="A105" s="8" t="s">
        <v>472</v>
      </c>
      <c r="B105" s="9">
        <v>112.0</v>
      </c>
      <c r="C105" s="10">
        <v>45747.0</v>
      </c>
      <c r="D105" s="8" t="str">
        <f t="shared" si="1"/>
        <v>高雄</v>
      </c>
      <c r="E105" s="8" t="s">
        <v>473</v>
      </c>
      <c r="F105" s="8" t="s">
        <v>133</v>
      </c>
      <c r="G105" s="9">
        <v>3.0</v>
      </c>
      <c r="H105" s="11" t="s">
        <v>47</v>
      </c>
      <c r="I105" s="11" t="s">
        <v>47</v>
      </c>
      <c r="J105" s="11" t="s">
        <v>47</v>
      </c>
      <c r="K105" s="17">
        <v>189022.0</v>
      </c>
      <c r="L105" s="17">
        <v>189022.0</v>
      </c>
      <c r="M105" s="13" t="s">
        <v>47</v>
      </c>
      <c r="N105" s="8" t="s">
        <v>88</v>
      </c>
      <c r="O105" s="8" t="s">
        <v>88</v>
      </c>
      <c r="P105" s="8" t="s">
        <v>49</v>
      </c>
      <c r="Q105" s="8" t="s">
        <v>474</v>
      </c>
      <c r="R105" s="8" t="s">
        <v>51</v>
      </c>
      <c r="S105" s="14">
        <f t="shared" si="10"/>
        <v>90</v>
      </c>
      <c r="T105" s="14">
        <v>90000.0</v>
      </c>
      <c r="U105" s="11" t="s">
        <v>47</v>
      </c>
      <c r="V105" s="11" t="s">
        <v>47</v>
      </c>
      <c r="W105" s="11" t="s">
        <v>47</v>
      </c>
      <c r="X105" s="8" t="s">
        <v>475</v>
      </c>
      <c r="Y105" s="8" t="s">
        <v>73</v>
      </c>
      <c r="Z105" s="8" t="s">
        <v>54</v>
      </c>
      <c r="AA105" s="20" t="s">
        <v>74</v>
      </c>
      <c r="AB105" s="8" t="s">
        <v>70</v>
      </c>
      <c r="AC105" s="8" t="s">
        <v>54</v>
      </c>
      <c r="AD105" s="8" t="s">
        <v>54</v>
      </c>
      <c r="AE105" s="8" t="s">
        <v>54</v>
      </c>
      <c r="AF105" s="8" t="s">
        <v>54</v>
      </c>
      <c r="AG105" s="15">
        <v>32906.0</v>
      </c>
      <c r="AH105" s="15">
        <v>33950.0</v>
      </c>
      <c r="AI105" s="15">
        <v>0.0</v>
      </c>
      <c r="AJ105" s="15">
        <v>9000.0</v>
      </c>
      <c r="AK105" s="11" t="s">
        <v>47</v>
      </c>
      <c r="AL105" s="15">
        <v>267621.0</v>
      </c>
      <c r="AM105" s="15">
        <v>50000.0</v>
      </c>
      <c r="AN105" s="15">
        <v>224742.0</v>
      </c>
      <c r="AO105" s="15">
        <v>145149.0</v>
      </c>
      <c r="AP105" s="16">
        <f t="shared" si="2"/>
        <v>79593</v>
      </c>
      <c r="AQ105" s="15" t="s">
        <v>47</v>
      </c>
      <c r="AR105" s="15" t="s">
        <v>47</v>
      </c>
    </row>
    <row r="106">
      <c r="A106" s="8" t="s">
        <v>476</v>
      </c>
      <c r="B106" s="9">
        <v>112.0</v>
      </c>
      <c r="C106" s="10">
        <v>45865.0</v>
      </c>
      <c r="D106" s="8" t="str">
        <f t="shared" si="1"/>
        <v>新北</v>
      </c>
      <c r="E106" s="8" t="s">
        <v>477</v>
      </c>
      <c r="F106" s="8" t="s">
        <v>70</v>
      </c>
      <c r="G106" s="9">
        <v>3.0</v>
      </c>
      <c r="H106" s="8" t="s">
        <v>478</v>
      </c>
      <c r="I106" s="11" t="s">
        <v>47</v>
      </c>
      <c r="J106" s="11" t="s">
        <v>47</v>
      </c>
      <c r="K106" s="17">
        <v>94313.0</v>
      </c>
      <c r="L106" s="17">
        <v>95183.0</v>
      </c>
      <c r="M106" s="13" t="s">
        <v>47</v>
      </c>
      <c r="N106" s="8" t="s">
        <v>48</v>
      </c>
      <c r="O106" s="8" t="s">
        <v>48</v>
      </c>
      <c r="P106" s="8" t="s">
        <v>49</v>
      </c>
      <c r="Q106" s="8" t="s">
        <v>479</v>
      </c>
      <c r="R106" s="8" t="s">
        <v>51</v>
      </c>
      <c r="S106" s="14">
        <f t="shared" si="10"/>
        <v>40</v>
      </c>
      <c r="T106" s="14">
        <v>40000.0</v>
      </c>
      <c r="U106" s="11" t="s">
        <v>47</v>
      </c>
      <c r="V106" s="8" t="s">
        <v>90</v>
      </c>
      <c r="W106" s="11" t="s">
        <v>47</v>
      </c>
      <c r="X106" s="8" t="s">
        <v>480</v>
      </c>
      <c r="Y106" s="8" t="s">
        <v>73</v>
      </c>
      <c r="Z106" s="8" t="s">
        <v>54</v>
      </c>
      <c r="AA106" s="8" t="s">
        <v>56</v>
      </c>
      <c r="AB106" s="20" t="s">
        <v>74</v>
      </c>
      <c r="AC106" s="8" t="s">
        <v>54</v>
      </c>
      <c r="AD106" s="8" t="s">
        <v>54</v>
      </c>
      <c r="AE106" s="8" t="s">
        <v>54</v>
      </c>
      <c r="AF106" s="8" t="s">
        <v>54</v>
      </c>
      <c r="AG106" s="17">
        <v>0.0</v>
      </c>
      <c r="AH106" s="17">
        <v>0.0</v>
      </c>
      <c r="AI106" s="17">
        <f>2700+165000</f>
        <v>167700</v>
      </c>
      <c r="AJ106" s="17">
        <v>3000.0</v>
      </c>
      <c r="AK106" s="11" t="s">
        <v>47</v>
      </c>
      <c r="AL106" s="15">
        <v>150000.0</v>
      </c>
      <c r="AM106" s="15">
        <v>90000.0</v>
      </c>
      <c r="AN106" s="15">
        <v>352163.0</v>
      </c>
      <c r="AO106" s="15">
        <v>271340.0</v>
      </c>
      <c r="AP106" s="16">
        <f t="shared" si="2"/>
        <v>80823</v>
      </c>
      <c r="AQ106" s="15" t="s">
        <v>47</v>
      </c>
      <c r="AR106" s="15" t="s">
        <v>47</v>
      </c>
    </row>
    <row r="107">
      <c r="A107" s="8" t="s">
        <v>481</v>
      </c>
      <c r="B107" s="9">
        <v>112.0</v>
      </c>
      <c r="C107" s="10">
        <v>45844.0</v>
      </c>
      <c r="D107" s="8" t="str">
        <f t="shared" si="1"/>
        <v>桃園</v>
      </c>
      <c r="E107" s="8" t="s">
        <v>482</v>
      </c>
      <c r="F107" s="8" t="s">
        <v>133</v>
      </c>
      <c r="G107" s="9">
        <v>5.0</v>
      </c>
      <c r="H107" s="8" t="s">
        <v>61</v>
      </c>
      <c r="I107" s="8" t="s">
        <v>61</v>
      </c>
      <c r="J107" s="11" t="s">
        <v>47</v>
      </c>
      <c r="K107" s="17">
        <v>39162.0</v>
      </c>
      <c r="L107" s="17">
        <v>66362.0</v>
      </c>
      <c r="M107" s="13" t="s">
        <v>47</v>
      </c>
      <c r="N107" s="8" t="s">
        <v>48</v>
      </c>
      <c r="O107" s="8" t="s">
        <v>48</v>
      </c>
      <c r="P107" s="8" t="s">
        <v>49</v>
      </c>
      <c r="Q107" s="8" t="s">
        <v>483</v>
      </c>
      <c r="R107" s="8" t="s">
        <v>51</v>
      </c>
      <c r="S107" s="14">
        <f t="shared" si="10"/>
        <v>350</v>
      </c>
      <c r="T107" s="14">
        <v>350000.0</v>
      </c>
      <c r="U107" s="11" t="s">
        <v>47</v>
      </c>
      <c r="V107" s="11" t="s">
        <v>47</v>
      </c>
      <c r="W107" s="11" t="s">
        <v>47</v>
      </c>
      <c r="X107" s="8" t="s">
        <v>190</v>
      </c>
      <c r="Y107" s="8" t="s">
        <v>73</v>
      </c>
      <c r="Z107" s="11" t="s">
        <v>47</v>
      </c>
      <c r="AA107" s="11" t="s">
        <v>47</v>
      </c>
      <c r="AB107" s="11" t="s">
        <v>47</v>
      </c>
      <c r="AC107" s="8" t="s">
        <v>54</v>
      </c>
      <c r="AD107" s="8" t="s">
        <v>54</v>
      </c>
      <c r="AE107" s="8" t="s">
        <v>54</v>
      </c>
      <c r="AF107" s="8" t="s">
        <v>54</v>
      </c>
      <c r="AG107" s="15">
        <v>14000.0</v>
      </c>
      <c r="AH107" s="15">
        <v>14000.0</v>
      </c>
      <c r="AI107" s="15">
        <v>6920.0</v>
      </c>
      <c r="AJ107" s="15">
        <v>105561.0</v>
      </c>
      <c r="AK107" s="11" t="s">
        <v>47</v>
      </c>
      <c r="AL107" s="15">
        <v>100000.0</v>
      </c>
      <c r="AM107" s="15">
        <v>60000.0</v>
      </c>
      <c r="AN107" s="15">
        <v>287243.0</v>
      </c>
      <c r="AO107" s="15">
        <v>201070.0</v>
      </c>
      <c r="AP107" s="16">
        <f t="shared" si="2"/>
        <v>86173</v>
      </c>
      <c r="AQ107" s="15" t="s">
        <v>54</v>
      </c>
      <c r="AR107" s="31">
        <v>0.3</v>
      </c>
    </row>
    <row r="108">
      <c r="A108" s="8" t="s">
        <v>484</v>
      </c>
      <c r="B108" s="9">
        <v>112.0</v>
      </c>
      <c r="C108" s="10">
        <v>45774.0</v>
      </c>
      <c r="D108" s="8" t="str">
        <f t="shared" si="1"/>
        <v>桃園</v>
      </c>
      <c r="E108" s="8" t="s">
        <v>485</v>
      </c>
      <c r="F108" s="8" t="s">
        <v>56</v>
      </c>
      <c r="G108" s="9">
        <v>3.0</v>
      </c>
      <c r="H108" s="8" t="s">
        <v>181</v>
      </c>
      <c r="I108" s="11" t="s">
        <v>47</v>
      </c>
      <c r="J108" s="11" t="s">
        <v>47</v>
      </c>
      <c r="K108" s="17">
        <v>69657.0</v>
      </c>
      <c r="L108" s="17">
        <v>69657.0</v>
      </c>
      <c r="M108" s="13" t="s">
        <v>47</v>
      </c>
      <c r="N108" s="8" t="s">
        <v>48</v>
      </c>
      <c r="O108" s="8" t="s">
        <v>48</v>
      </c>
      <c r="P108" s="8" t="s">
        <v>49</v>
      </c>
      <c r="Q108" s="8" t="s">
        <v>486</v>
      </c>
      <c r="R108" s="8" t="s">
        <v>51</v>
      </c>
      <c r="S108" s="14">
        <f t="shared" si="10"/>
        <v>30</v>
      </c>
      <c r="T108" s="14">
        <v>30000.0</v>
      </c>
      <c r="U108" s="11" t="s">
        <v>47</v>
      </c>
      <c r="V108" s="11" t="s">
        <v>47</v>
      </c>
      <c r="W108" s="11" t="s">
        <v>47</v>
      </c>
      <c r="X108" s="8" t="s">
        <v>105</v>
      </c>
      <c r="Y108" s="8" t="s">
        <v>73</v>
      </c>
      <c r="Z108" s="11" t="s">
        <v>47</v>
      </c>
      <c r="AA108" s="11" t="s">
        <v>47</v>
      </c>
      <c r="AB108" s="11" t="s">
        <v>47</v>
      </c>
      <c r="AC108" s="8" t="s">
        <v>54</v>
      </c>
      <c r="AD108" s="11" t="s">
        <v>47</v>
      </c>
      <c r="AE108" s="8" t="s">
        <v>54</v>
      </c>
      <c r="AF108" s="11" t="s">
        <v>47</v>
      </c>
      <c r="AG108" s="15">
        <v>18655.0</v>
      </c>
      <c r="AH108" s="15">
        <v>18655.0</v>
      </c>
      <c r="AI108" s="15">
        <f>66000+28635</f>
        <v>94635</v>
      </c>
      <c r="AJ108" s="15">
        <f>333658+6980</f>
        <v>340638</v>
      </c>
      <c r="AK108" s="11" t="s">
        <v>47</v>
      </c>
      <c r="AL108" s="15">
        <v>500000.0</v>
      </c>
      <c r="AM108" s="15">
        <v>300000.0</v>
      </c>
      <c r="AN108" s="15">
        <v>816605.0</v>
      </c>
      <c r="AO108" s="15">
        <v>727178.0</v>
      </c>
      <c r="AP108" s="16">
        <f t="shared" si="2"/>
        <v>89427</v>
      </c>
      <c r="AQ108" s="15" t="s">
        <v>47</v>
      </c>
      <c r="AR108" s="15" t="s">
        <v>47</v>
      </c>
    </row>
    <row r="109">
      <c r="A109" s="8" t="s">
        <v>487</v>
      </c>
      <c r="B109" s="9">
        <v>112.0</v>
      </c>
      <c r="C109" s="10">
        <v>45866.0</v>
      </c>
      <c r="D109" s="8" t="str">
        <f t="shared" si="1"/>
        <v>花蓮</v>
      </c>
      <c r="E109" s="8" t="s">
        <v>488</v>
      </c>
      <c r="F109" s="8" t="s">
        <v>70</v>
      </c>
      <c r="G109" s="9">
        <v>3.0</v>
      </c>
      <c r="H109" s="11" t="s">
        <v>47</v>
      </c>
      <c r="I109" s="11" t="s">
        <v>47</v>
      </c>
      <c r="J109" s="11" t="s">
        <v>47</v>
      </c>
      <c r="K109" s="17">
        <v>123256.0</v>
      </c>
      <c r="L109" s="17">
        <v>123256.0</v>
      </c>
      <c r="M109" s="9" t="s">
        <v>489</v>
      </c>
      <c r="N109" s="8" t="s">
        <v>88</v>
      </c>
      <c r="O109" s="8" t="s">
        <v>48</v>
      </c>
      <c r="P109" s="8" t="s">
        <v>61</v>
      </c>
      <c r="Q109" s="8"/>
      <c r="R109" s="8"/>
      <c r="S109" s="14"/>
      <c r="T109" s="8"/>
      <c r="U109" s="11" t="s">
        <v>47</v>
      </c>
      <c r="V109" s="11" t="s">
        <v>47</v>
      </c>
      <c r="W109" s="11" t="s">
        <v>47</v>
      </c>
      <c r="X109" s="8" t="s">
        <v>490</v>
      </c>
      <c r="Y109" s="8" t="s">
        <v>73</v>
      </c>
      <c r="Z109" s="11" t="s">
        <v>47</v>
      </c>
      <c r="AA109" s="11" t="s">
        <v>47</v>
      </c>
      <c r="AB109" s="11" t="s">
        <v>47</v>
      </c>
      <c r="AC109" s="11" t="s">
        <v>47</v>
      </c>
      <c r="AD109" s="11" t="s">
        <v>47</v>
      </c>
      <c r="AE109" s="11" t="s">
        <v>47</v>
      </c>
      <c r="AF109" s="11" t="s">
        <v>47</v>
      </c>
      <c r="AG109" s="15">
        <v>10500.0</v>
      </c>
      <c r="AH109" s="15">
        <v>10500.0</v>
      </c>
      <c r="AI109" s="15">
        <f>75600+19300</f>
        <v>94900</v>
      </c>
      <c r="AJ109" s="15">
        <v>0.0</v>
      </c>
      <c r="AK109" s="11" t="s">
        <v>47</v>
      </c>
      <c r="AL109" s="15">
        <v>150000.0</v>
      </c>
      <c r="AM109" s="15">
        <v>80000.0</v>
      </c>
      <c r="AN109" s="15">
        <v>309131.0</v>
      </c>
      <c r="AO109" s="15">
        <v>216392.0</v>
      </c>
      <c r="AP109" s="16">
        <f t="shared" si="2"/>
        <v>92739</v>
      </c>
      <c r="AQ109" s="15" t="s">
        <v>54</v>
      </c>
      <c r="AR109" s="31">
        <v>0.3</v>
      </c>
    </row>
    <row r="110">
      <c r="A110" s="8" t="s">
        <v>491</v>
      </c>
      <c r="B110" s="9">
        <v>112.0</v>
      </c>
      <c r="C110" s="10">
        <v>45898.0</v>
      </c>
      <c r="D110" s="8" t="str">
        <f t="shared" si="1"/>
        <v>新北</v>
      </c>
      <c r="E110" s="8" t="s">
        <v>492</v>
      </c>
      <c r="F110" s="8" t="s">
        <v>70</v>
      </c>
      <c r="G110" s="9">
        <v>3.0</v>
      </c>
      <c r="H110" s="11" t="s">
        <v>47</v>
      </c>
      <c r="I110" s="11" t="s">
        <v>47</v>
      </c>
      <c r="J110" s="11" t="s">
        <v>47</v>
      </c>
      <c r="K110" s="17">
        <v>93610.0</v>
      </c>
      <c r="L110" s="17">
        <v>93610.0</v>
      </c>
      <c r="M110" s="13" t="s">
        <v>47</v>
      </c>
      <c r="N110" s="8" t="s">
        <v>48</v>
      </c>
      <c r="O110" s="8" t="s">
        <v>88</v>
      </c>
      <c r="P110" s="8" t="s">
        <v>49</v>
      </c>
      <c r="Q110" s="8" t="s">
        <v>493</v>
      </c>
      <c r="R110" s="8" t="s">
        <v>51</v>
      </c>
      <c r="S110" s="14">
        <f t="shared" ref="S110:S117" si="11">T:T/1000</f>
        <v>40</v>
      </c>
      <c r="T110" s="14">
        <v>40000.0</v>
      </c>
      <c r="U110" s="11" t="s">
        <v>47</v>
      </c>
      <c r="V110" s="8" t="s">
        <v>90</v>
      </c>
      <c r="W110" s="11" t="s">
        <v>47</v>
      </c>
      <c r="X110" s="8" t="s">
        <v>494</v>
      </c>
      <c r="Y110" s="8" t="s">
        <v>53</v>
      </c>
      <c r="Z110" s="8" t="s">
        <v>54</v>
      </c>
      <c r="AA110" s="20" t="s">
        <v>74</v>
      </c>
      <c r="AB110" s="20" t="s">
        <v>74</v>
      </c>
      <c r="AC110" s="8" t="s">
        <v>54</v>
      </c>
      <c r="AD110" s="8" t="s">
        <v>54</v>
      </c>
      <c r="AE110" s="8" t="s">
        <v>54</v>
      </c>
      <c r="AF110" s="8" t="s">
        <v>54</v>
      </c>
      <c r="AG110" s="17">
        <v>0.0</v>
      </c>
      <c r="AH110" s="17">
        <v>0.0</v>
      </c>
      <c r="AI110" s="17">
        <v>324000.0</v>
      </c>
      <c r="AJ110" s="17">
        <v>0.0</v>
      </c>
      <c r="AK110" s="11" t="s">
        <v>47</v>
      </c>
      <c r="AL110" s="15">
        <v>160000.0</v>
      </c>
      <c r="AM110" s="15">
        <v>100000.0</v>
      </c>
      <c r="AN110" s="15">
        <f>448030+95130</f>
        <v>543160</v>
      </c>
      <c r="AO110" s="15">
        <v>448030.0</v>
      </c>
      <c r="AP110" s="16">
        <f t="shared" si="2"/>
        <v>95130</v>
      </c>
      <c r="AQ110" s="15" t="s">
        <v>47</v>
      </c>
      <c r="AR110" s="15" t="s">
        <v>47</v>
      </c>
    </row>
    <row r="111">
      <c r="A111" s="8" t="s">
        <v>495</v>
      </c>
      <c r="B111" s="9">
        <v>112.0</v>
      </c>
      <c r="C111" s="10">
        <v>45843.0</v>
      </c>
      <c r="D111" s="8" t="str">
        <f t="shared" si="1"/>
        <v>高雄</v>
      </c>
      <c r="E111" s="8" t="s">
        <v>496</v>
      </c>
      <c r="F111" s="8" t="s">
        <v>124</v>
      </c>
      <c r="G111" s="9">
        <v>2.0</v>
      </c>
      <c r="H111" s="11" t="s">
        <v>47</v>
      </c>
      <c r="I111" s="11" t="s">
        <v>47</v>
      </c>
      <c r="J111" s="11" t="s">
        <v>47</v>
      </c>
      <c r="K111" s="17">
        <v>227610.0</v>
      </c>
      <c r="L111" s="17">
        <v>227610.0</v>
      </c>
      <c r="M111" s="13" t="s">
        <v>47</v>
      </c>
      <c r="N111" s="8" t="s">
        <v>48</v>
      </c>
      <c r="O111" s="8" t="s">
        <v>48</v>
      </c>
      <c r="P111" s="8" t="s">
        <v>49</v>
      </c>
      <c r="Q111" s="8" t="s">
        <v>497</v>
      </c>
      <c r="R111" s="8" t="s">
        <v>51</v>
      </c>
      <c r="S111" s="14">
        <f t="shared" si="11"/>
        <v>120</v>
      </c>
      <c r="T111" s="14">
        <v>120000.0</v>
      </c>
      <c r="U111" s="11" t="s">
        <v>47</v>
      </c>
      <c r="V111" s="8" t="s">
        <v>90</v>
      </c>
      <c r="W111" s="11" t="s">
        <v>47</v>
      </c>
      <c r="X111" s="8" t="s">
        <v>498</v>
      </c>
      <c r="Y111" s="8" t="s">
        <v>56</v>
      </c>
      <c r="Z111" s="8" t="s">
        <v>54</v>
      </c>
      <c r="AA111" s="20" t="s">
        <v>74</v>
      </c>
      <c r="AB111" s="20" t="s">
        <v>74</v>
      </c>
      <c r="AC111" s="8" t="s">
        <v>54</v>
      </c>
      <c r="AD111" s="8" t="s">
        <v>54</v>
      </c>
      <c r="AE111" s="8" t="s">
        <v>54</v>
      </c>
      <c r="AF111" s="8" t="s">
        <v>54</v>
      </c>
      <c r="AG111" s="15">
        <v>32143.0</v>
      </c>
      <c r="AH111" s="15">
        <v>38266.0</v>
      </c>
      <c r="AI111" s="15">
        <f>1105+103200</f>
        <v>104305</v>
      </c>
      <c r="AJ111" s="15">
        <v>157073.0</v>
      </c>
      <c r="AK111" s="11" t="s">
        <v>47</v>
      </c>
      <c r="AL111" s="20" t="s">
        <v>170</v>
      </c>
      <c r="AM111" s="15">
        <v>10000.0</v>
      </c>
      <c r="AN111" s="18">
        <f>227610+1105+103200+32143+157073+100000</f>
        <v>621131</v>
      </c>
      <c r="AO111" s="15">
        <v>525214.0</v>
      </c>
      <c r="AP111" s="16">
        <f t="shared" si="2"/>
        <v>95917</v>
      </c>
      <c r="AQ111" s="15" t="s">
        <v>47</v>
      </c>
      <c r="AR111" s="15" t="s">
        <v>47</v>
      </c>
    </row>
    <row r="112" hidden="1">
      <c r="A112" s="23" t="s">
        <v>499</v>
      </c>
      <c r="B112" s="9">
        <v>112.0</v>
      </c>
      <c r="C112" s="34"/>
      <c r="D112" s="23" t="str">
        <f t="shared" si="1"/>
        <v>臺南</v>
      </c>
      <c r="E112" s="35" t="s">
        <v>500</v>
      </c>
      <c r="F112" s="35"/>
      <c r="G112" s="9"/>
      <c r="H112" s="11" t="s">
        <v>47</v>
      </c>
      <c r="I112" s="36"/>
      <c r="J112" s="36"/>
      <c r="K112" s="12"/>
      <c r="L112" s="12"/>
      <c r="M112" s="32"/>
      <c r="N112" s="36"/>
      <c r="O112" s="36"/>
      <c r="P112" s="36"/>
      <c r="Q112" s="36"/>
      <c r="R112" s="36"/>
      <c r="S112" s="14">
        <f t="shared" si="11"/>
        <v>0</v>
      </c>
      <c r="T112" s="36"/>
      <c r="U112" s="36"/>
      <c r="V112" s="36"/>
      <c r="W112" s="36"/>
      <c r="X112" s="23"/>
      <c r="Y112" s="23"/>
      <c r="Z112" s="8" t="s">
        <v>54</v>
      </c>
      <c r="AA112" s="36"/>
      <c r="AB112" s="36"/>
      <c r="AC112" s="8" t="s">
        <v>54</v>
      </c>
      <c r="AD112" s="8" t="s">
        <v>54</v>
      </c>
      <c r="AE112" s="8" t="s">
        <v>54</v>
      </c>
      <c r="AF112" s="8" t="s">
        <v>54</v>
      </c>
      <c r="AG112" s="17"/>
      <c r="AH112" s="17"/>
      <c r="AI112" s="17"/>
      <c r="AJ112" s="17"/>
      <c r="AK112" s="36"/>
      <c r="AL112" s="32"/>
      <c r="AM112" s="15"/>
      <c r="AN112" s="32"/>
      <c r="AO112" s="32"/>
      <c r="AP112" s="19">
        <f t="shared" si="2"/>
        <v>0</v>
      </c>
      <c r="AQ112" s="32"/>
      <c r="AR112" s="36"/>
    </row>
    <row r="113">
      <c r="A113" s="8" t="s">
        <v>501</v>
      </c>
      <c r="B113" s="9">
        <v>112.0</v>
      </c>
      <c r="C113" s="10">
        <v>45747.0</v>
      </c>
      <c r="D113" s="8" t="str">
        <f t="shared" si="1"/>
        <v>嘉義</v>
      </c>
      <c r="E113" s="8" t="s">
        <v>502</v>
      </c>
      <c r="F113" s="8" t="s">
        <v>133</v>
      </c>
      <c r="G113" s="9">
        <v>3.0</v>
      </c>
      <c r="H113" s="11" t="s">
        <v>47</v>
      </c>
      <c r="I113" s="11" t="s">
        <v>47</v>
      </c>
      <c r="J113" s="11" t="s">
        <v>47</v>
      </c>
      <c r="K113" s="17">
        <v>362813.0</v>
      </c>
      <c r="L113" s="17">
        <v>362813.0</v>
      </c>
      <c r="M113" s="13" t="s">
        <v>47</v>
      </c>
      <c r="N113" s="8" t="s">
        <v>48</v>
      </c>
      <c r="O113" s="8" t="s">
        <v>48</v>
      </c>
      <c r="P113" s="8" t="s">
        <v>49</v>
      </c>
      <c r="Q113" s="8" t="s">
        <v>503</v>
      </c>
      <c r="R113" s="8" t="s">
        <v>51</v>
      </c>
      <c r="S113" s="14">
        <f t="shared" si="11"/>
        <v>150</v>
      </c>
      <c r="T113" s="14">
        <v>150000.0</v>
      </c>
      <c r="U113" s="11" t="s">
        <v>47</v>
      </c>
      <c r="V113" s="11" t="s">
        <v>47</v>
      </c>
      <c r="W113" s="11" t="s">
        <v>47</v>
      </c>
      <c r="X113" s="8" t="s">
        <v>504</v>
      </c>
      <c r="Y113" s="8" t="s">
        <v>53</v>
      </c>
      <c r="Z113" s="8" t="s">
        <v>54</v>
      </c>
      <c r="AA113" s="20" t="s">
        <v>74</v>
      </c>
      <c r="AB113" s="20" t="s">
        <v>74</v>
      </c>
      <c r="AC113" s="8" t="s">
        <v>54</v>
      </c>
      <c r="AD113" s="8" t="s">
        <v>54</v>
      </c>
      <c r="AE113" s="8" t="s">
        <v>54</v>
      </c>
      <c r="AF113" s="8" t="s">
        <v>54</v>
      </c>
      <c r="AG113" s="15">
        <v>0.0</v>
      </c>
      <c r="AH113" s="15">
        <v>0.0</v>
      </c>
      <c r="AI113" s="15">
        <v>0.0</v>
      </c>
      <c r="AJ113" s="15">
        <v>0.0</v>
      </c>
      <c r="AK113" s="11" t="s">
        <v>47</v>
      </c>
      <c r="AL113" s="15">
        <v>400000.0</v>
      </c>
      <c r="AM113" s="15">
        <v>200000.0</v>
      </c>
      <c r="AN113" s="15">
        <v>562813.0</v>
      </c>
      <c r="AO113" s="15">
        <v>457813.0</v>
      </c>
      <c r="AP113" s="16">
        <f t="shared" si="2"/>
        <v>105000</v>
      </c>
      <c r="AQ113" s="15" t="s">
        <v>47</v>
      </c>
      <c r="AR113" s="15" t="s">
        <v>47</v>
      </c>
    </row>
    <row r="114">
      <c r="A114" s="8" t="s">
        <v>505</v>
      </c>
      <c r="B114" s="9">
        <v>112.0</v>
      </c>
      <c r="C114" s="10">
        <v>45887.0</v>
      </c>
      <c r="D114" s="8" t="str">
        <f t="shared" si="1"/>
        <v>桃園</v>
      </c>
      <c r="E114" s="8" t="s">
        <v>506</v>
      </c>
      <c r="F114" s="8" t="s">
        <v>124</v>
      </c>
      <c r="G114" s="9">
        <v>5.0</v>
      </c>
      <c r="H114" s="11" t="s">
        <v>47</v>
      </c>
      <c r="I114" s="11" t="s">
        <v>47</v>
      </c>
      <c r="J114" s="8" t="s">
        <v>507</v>
      </c>
      <c r="K114" s="17">
        <v>24320.0</v>
      </c>
      <c r="L114" s="17">
        <v>24320.0</v>
      </c>
      <c r="M114" s="13" t="s">
        <v>47</v>
      </c>
      <c r="N114" s="8" t="s">
        <v>88</v>
      </c>
      <c r="O114" s="8" t="s">
        <v>88</v>
      </c>
      <c r="P114" s="8" t="s">
        <v>49</v>
      </c>
      <c r="Q114" s="25" t="s">
        <v>508</v>
      </c>
      <c r="R114" s="8" t="s">
        <v>51</v>
      </c>
      <c r="S114" s="14">
        <f t="shared" si="11"/>
        <v>40</v>
      </c>
      <c r="T114" s="14">
        <v>40000.0</v>
      </c>
      <c r="U114" s="8" t="s">
        <v>47</v>
      </c>
      <c r="V114" s="8" t="s">
        <v>47</v>
      </c>
      <c r="W114" s="8" t="s">
        <v>47</v>
      </c>
      <c r="X114" s="8" t="s">
        <v>509</v>
      </c>
      <c r="Y114" s="8" t="s">
        <v>73</v>
      </c>
      <c r="Z114" s="8" t="s">
        <v>54</v>
      </c>
      <c r="AA114" s="20" t="s">
        <v>74</v>
      </c>
      <c r="AB114" s="20" t="s">
        <v>74</v>
      </c>
      <c r="AC114" s="8" t="s">
        <v>54</v>
      </c>
      <c r="AD114" s="8" t="s">
        <v>54</v>
      </c>
      <c r="AE114" s="8" t="s">
        <v>54</v>
      </c>
      <c r="AF114" s="8" t="s">
        <v>54</v>
      </c>
      <c r="AG114" s="17">
        <v>8940.0</v>
      </c>
      <c r="AH114" s="17">
        <v>18300.0</v>
      </c>
      <c r="AI114" s="17">
        <f>60000+10752+1295</f>
        <v>72047</v>
      </c>
      <c r="AJ114" s="17">
        <v>0.0</v>
      </c>
      <c r="AK114" s="8" t="s">
        <v>47</v>
      </c>
      <c r="AL114" s="15">
        <v>200000.0</v>
      </c>
      <c r="AM114" s="15">
        <v>200000.0</v>
      </c>
      <c r="AN114" s="15">
        <v>304012.0</v>
      </c>
      <c r="AO114" s="15">
        <v>197608.0</v>
      </c>
      <c r="AP114" s="16">
        <f t="shared" si="2"/>
        <v>106404</v>
      </c>
      <c r="AQ114" s="15" t="s">
        <v>54</v>
      </c>
      <c r="AR114" s="31">
        <v>0.35</v>
      </c>
    </row>
    <row r="115">
      <c r="A115" s="23" t="s">
        <v>510</v>
      </c>
      <c r="B115" s="9">
        <v>112.0</v>
      </c>
      <c r="C115" s="24">
        <v>45829.0</v>
      </c>
      <c r="D115" s="23" t="str">
        <f t="shared" si="1"/>
        <v>臺南</v>
      </c>
      <c r="E115" s="37" t="s">
        <v>511</v>
      </c>
      <c r="F115" s="38" t="s">
        <v>70</v>
      </c>
      <c r="G115" s="39">
        <v>3.0</v>
      </c>
      <c r="H115" s="11" t="s">
        <v>47</v>
      </c>
      <c r="I115" s="11" t="s">
        <v>47</v>
      </c>
      <c r="J115" s="11" t="s">
        <v>47</v>
      </c>
      <c r="K115" s="17">
        <v>21994.0</v>
      </c>
      <c r="L115" s="17">
        <v>21994.0</v>
      </c>
      <c r="M115" s="30">
        <v>70.0</v>
      </c>
      <c r="N115" s="26" t="s">
        <v>48</v>
      </c>
      <c r="O115" s="26" t="s">
        <v>48</v>
      </c>
      <c r="P115" s="8" t="s">
        <v>49</v>
      </c>
      <c r="Q115" s="25" t="s">
        <v>512</v>
      </c>
      <c r="R115" s="8" t="s">
        <v>51</v>
      </c>
      <c r="S115" s="14">
        <f t="shared" si="11"/>
        <v>60</v>
      </c>
      <c r="T115" s="14">
        <v>60000.0</v>
      </c>
      <c r="U115" s="26" t="s">
        <v>47</v>
      </c>
      <c r="V115" s="26" t="s">
        <v>513</v>
      </c>
      <c r="W115" s="26" t="s">
        <v>47</v>
      </c>
      <c r="X115" s="25" t="s">
        <v>514</v>
      </c>
      <c r="Y115" s="25" t="s">
        <v>53</v>
      </c>
      <c r="Z115" s="8" t="s">
        <v>54</v>
      </c>
      <c r="AA115" s="20" t="s">
        <v>74</v>
      </c>
      <c r="AB115" s="20" t="s">
        <v>74</v>
      </c>
      <c r="AC115" s="8" t="s">
        <v>54</v>
      </c>
      <c r="AD115" s="8" t="s">
        <v>54</v>
      </c>
      <c r="AE115" s="8" t="s">
        <v>54</v>
      </c>
      <c r="AF115" s="8" t="s">
        <v>54</v>
      </c>
      <c r="AG115" s="17">
        <v>0.0</v>
      </c>
      <c r="AH115" s="17">
        <v>0.0</v>
      </c>
      <c r="AI115" s="17">
        <f>86400+2900</f>
        <v>89300</v>
      </c>
      <c r="AJ115" s="17">
        <v>2400.0</v>
      </c>
      <c r="AK115" s="26" t="s">
        <v>47</v>
      </c>
      <c r="AL115" s="27">
        <v>800000.0</v>
      </c>
      <c r="AM115" s="15">
        <v>300000.0</v>
      </c>
      <c r="AN115" s="32">
        <f>113694+300000</f>
        <v>413694</v>
      </c>
      <c r="AO115" s="27">
        <v>289586.0</v>
      </c>
      <c r="AP115" s="16">
        <f t="shared" si="2"/>
        <v>124108</v>
      </c>
      <c r="AQ115" s="15" t="s">
        <v>54</v>
      </c>
      <c r="AR115" s="31">
        <v>0.3</v>
      </c>
    </row>
    <row r="116" hidden="1">
      <c r="A116" s="25" t="s">
        <v>515</v>
      </c>
      <c r="B116" s="9">
        <v>112.0</v>
      </c>
      <c r="C116" s="28"/>
      <c r="D116" s="25" t="str">
        <f t="shared" si="1"/>
        <v>臺中</v>
      </c>
      <c r="E116" s="23" t="s">
        <v>516</v>
      </c>
      <c r="F116" s="23"/>
      <c r="G116" s="9"/>
      <c r="H116" s="11" t="s">
        <v>47</v>
      </c>
      <c r="I116" s="11" t="s">
        <v>47</v>
      </c>
      <c r="J116" s="11" t="s">
        <v>47</v>
      </c>
      <c r="K116" s="12"/>
      <c r="L116" s="12"/>
      <c r="M116" s="30" t="s">
        <v>47</v>
      </c>
      <c r="N116" s="26" t="s">
        <v>48</v>
      </c>
      <c r="O116" s="26" t="s">
        <v>48</v>
      </c>
      <c r="P116" s="8" t="s">
        <v>61</v>
      </c>
      <c r="Q116" s="8"/>
      <c r="R116" s="8"/>
      <c r="S116" s="14">
        <f t="shared" si="11"/>
        <v>0</v>
      </c>
      <c r="T116" s="8"/>
      <c r="U116" s="26" t="s">
        <v>47</v>
      </c>
      <c r="V116" s="23" t="s">
        <v>517</v>
      </c>
      <c r="W116" s="26" t="s">
        <v>47</v>
      </c>
      <c r="X116" s="23" t="s">
        <v>518</v>
      </c>
      <c r="Y116" s="23"/>
      <c r="Z116" s="8" t="s">
        <v>54</v>
      </c>
      <c r="AA116" s="8" t="s">
        <v>63</v>
      </c>
      <c r="AB116" s="8" t="s">
        <v>63</v>
      </c>
      <c r="AC116" s="8" t="s">
        <v>54</v>
      </c>
      <c r="AD116" s="8" t="s">
        <v>54</v>
      </c>
      <c r="AE116" s="8" t="s">
        <v>54</v>
      </c>
      <c r="AF116" s="8" t="s">
        <v>54</v>
      </c>
      <c r="AG116" s="17"/>
      <c r="AH116" s="17"/>
      <c r="AI116" s="17"/>
      <c r="AJ116" s="17"/>
      <c r="AK116" s="23" t="s">
        <v>519</v>
      </c>
      <c r="AL116" s="32"/>
      <c r="AM116" s="15">
        <v>500000.0</v>
      </c>
      <c r="AN116" s="32"/>
      <c r="AO116" s="32"/>
      <c r="AP116" s="19">
        <f t="shared" si="2"/>
        <v>0</v>
      </c>
      <c r="AQ116" s="32"/>
      <c r="AR116" s="36"/>
    </row>
    <row r="117" hidden="1">
      <c r="A117" s="23" t="s">
        <v>520</v>
      </c>
      <c r="B117" s="9">
        <v>112.0</v>
      </c>
      <c r="C117" s="34"/>
      <c r="D117" s="23" t="str">
        <f t="shared" si="1"/>
        <v>臺中</v>
      </c>
      <c r="E117" s="35" t="s">
        <v>521</v>
      </c>
      <c r="F117" s="35"/>
      <c r="G117" s="9"/>
      <c r="H117" s="36"/>
      <c r="I117" s="36"/>
      <c r="J117" s="36"/>
      <c r="K117" s="12"/>
      <c r="L117" s="12"/>
      <c r="M117" s="32"/>
      <c r="N117" s="36"/>
      <c r="O117" s="36"/>
      <c r="P117" s="36"/>
      <c r="Q117" s="36"/>
      <c r="R117" s="36"/>
      <c r="S117" s="14">
        <f t="shared" si="11"/>
        <v>0</v>
      </c>
      <c r="T117" s="36"/>
      <c r="U117" s="36"/>
      <c r="V117" s="36"/>
      <c r="W117" s="36"/>
      <c r="X117" s="36"/>
      <c r="Y117" s="36"/>
      <c r="Z117" s="8" t="s">
        <v>54</v>
      </c>
      <c r="AA117" s="8" t="s">
        <v>63</v>
      </c>
      <c r="AB117" s="8" t="s">
        <v>63</v>
      </c>
      <c r="AC117" s="8" t="s">
        <v>54</v>
      </c>
      <c r="AD117" s="8" t="s">
        <v>54</v>
      </c>
      <c r="AE117" s="8" t="s">
        <v>54</v>
      </c>
      <c r="AF117" s="8" t="s">
        <v>54</v>
      </c>
      <c r="AG117" s="17"/>
      <c r="AH117" s="17"/>
      <c r="AI117" s="17"/>
      <c r="AJ117" s="17"/>
      <c r="AK117" s="36"/>
      <c r="AL117" s="32"/>
      <c r="AM117" s="15"/>
      <c r="AN117" s="32"/>
      <c r="AO117" s="32"/>
      <c r="AP117" s="19">
        <f t="shared" si="2"/>
        <v>0</v>
      </c>
      <c r="AQ117" s="32"/>
      <c r="AR117" s="36"/>
    </row>
    <row r="118">
      <c r="A118" s="8" t="s">
        <v>522</v>
      </c>
      <c r="B118" s="9">
        <v>112.0</v>
      </c>
      <c r="C118" s="10">
        <v>45789.0</v>
      </c>
      <c r="D118" s="8" t="str">
        <f t="shared" si="1"/>
        <v>高雄</v>
      </c>
      <c r="E118" s="8" t="s">
        <v>523</v>
      </c>
      <c r="F118" s="8" t="s">
        <v>46</v>
      </c>
      <c r="G118" s="9">
        <v>3.0</v>
      </c>
      <c r="H118" s="11" t="s">
        <v>47</v>
      </c>
      <c r="I118" s="11" t="s">
        <v>47</v>
      </c>
      <c r="J118" s="11" t="s">
        <v>47</v>
      </c>
      <c r="K118" s="17">
        <v>199729.0</v>
      </c>
      <c r="L118" s="17">
        <v>199729.0</v>
      </c>
      <c r="M118" s="13" t="s">
        <v>47</v>
      </c>
      <c r="N118" s="8" t="s">
        <v>48</v>
      </c>
      <c r="O118" s="8" t="s">
        <v>48</v>
      </c>
      <c r="P118" s="8" t="s">
        <v>61</v>
      </c>
      <c r="Q118" s="8"/>
      <c r="R118" s="8"/>
      <c r="S118" s="14"/>
      <c r="T118" s="8"/>
      <c r="U118" s="11" t="s">
        <v>47</v>
      </c>
      <c r="V118" s="11" t="s">
        <v>47</v>
      </c>
      <c r="W118" s="11" t="s">
        <v>47</v>
      </c>
      <c r="X118" s="8" t="s">
        <v>524</v>
      </c>
      <c r="Y118" s="8" t="s">
        <v>53</v>
      </c>
      <c r="Z118" s="8" t="s">
        <v>54</v>
      </c>
      <c r="AA118" s="20" t="s">
        <v>74</v>
      </c>
      <c r="AB118" s="20" t="s">
        <v>74</v>
      </c>
      <c r="AC118" s="8" t="s">
        <v>54</v>
      </c>
      <c r="AD118" s="8" t="s">
        <v>54</v>
      </c>
      <c r="AE118" s="8" t="s">
        <v>54</v>
      </c>
      <c r="AF118" s="8" t="s">
        <v>54</v>
      </c>
      <c r="AG118" s="15">
        <v>41053.0</v>
      </c>
      <c r="AH118" s="15">
        <v>130000.0</v>
      </c>
      <c r="AI118" s="15">
        <v>1060.0</v>
      </c>
      <c r="AJ118" s="15">
        <v>2000.0</v>
      </c>
      <c r="AK118" s="11" t="s">
        <v>47</v>
      </c>
      <c r="AL118" s="15">
        <v>201500.0</v>
      </c>
      <c r="AM118" s="15">
        <v>10000.0</v>
      </c>
      <c r="AN118" s="15">
        <v>240689.0</v>
      </c>
      <c r="AO118" s="15">
        <v>66680.0</v>
      </c>
      <c r="AP118" s="16">
        <f t="shared" si="2"/>
        <v>174009</v>
      </c>
      <c r="AQ118" s="15" t="s">
        <v>47</v>
      </c>
      <c r="AR118" s="15" t="s">
        <v>47</v>
      </c>
    </row>
    <row r="119">
      <c r="A119" s="23" t="s">
        <v>525</v>
      </c>
      <c r="B119" s="9">
        <v>112.0</v>
      </c>
      <c r="C119" s="24">
        <v>45866.0</v>
      </c>
      <c r="D119" s="23" t="str">
        <f t="shared" si="1"/>
        <v>臺南</v>
      </c>
      <c r="E119" s="23" t="s">
        <v>526</v>
      </c>
      <c r="F119" s="25" t="s">
        <v>124</v>
      </c>
      <c r="G119" s="9">
        <v>2.0</v>
      </c>
      <c r="H119" s="11" t="s">
        <v>47</v>
      </c>
      <c r="I119" s="11" t="s">
        <v>47</v>
      </c>
      <c r="J119" s="11" t="s">
        <v>47</v>
      </c>
      <c r="K119" s="17">
        <v>105526.0</v>
      </c>
      <c r="L119" s="17">
        <v>105526.0</v>
      </c>
      <c r="M119" s="28" t="s">
        <v>527</v>
      </c>
      <c r="N119" s="26" t="s">
        <v>88</v>
      </c>
      <c r="O119" s="26" t="s">
        <v>48</v>
      </c>
      <c r="P119" s="8" t="s">
        <v>49</v>
      </c>
      <c r="Q119" s="25" t="s">
        <v>528</v>
      </c>
      <c r="R119" s="8" t="s">
        <v>51</v>
      </c>
      <c r="S119" s="14">
        <f t="shared" ref="S119:S136" si="12">T:T/1000</f>
        <v>50</v>
      </c>
      <c r="T119" s="14">
        <v>50000.0</v>
      </c>
      <c r="U119" s="26" t="s">
        <v>47</v>
      </c>
      <c r="V119" s="26" t="s">
        <v>47</v>
      </c>
      <c r="W119" s="26" t="s">
        <v>47</v>
      </c>
      <c r="X119" s="25" t="s">
        <v>529</v>
      </c>
      <c r="Y119" s="25" t="s">
        <v>53</v>
      </c>
      <c r="Z119" s="11" t="s">
        <v>47</v>
      </c>
      <c r="AA119" s="11" t="s">
        <v>47</v>
      </c>
      <c r="AB119" s="11" t="s">
        <v>47</v>
      </c>
      <c r="AC119" s="8" t="s">
        <v>54</v>
      </c>
      <c r="AD119" s="8" t="s">
        <v>54</v>
      </c>
      <c r="AE119" s="8" t="s">
        <v>54</v>
      </c>
      <c r="AF119" s="8" t="s">
        <v>54</v>
      </c>
      <c r="AG119" s="17">
        <v>0.0</v>
      </c>
      <c r="AH119" s="17">
        <v>0.0</v>
      </c>
      <c r="AI119" s="17">
        <v>75000.0</v>
      </c>
      <c r="AJ119" s="17">
        <v>0.0</v>
      </c>
      <c r="AK119" s="26" t="s">
        <v>47</v>
      </c>
      <c r="AL119" s="27">
        <v>300000.0</v>
      </c>
      <c r="AM119" s="15">
        <v>200000.0</v>
      </c>
      <c r="AN119" s="27">
        <v>305526.0</v>
      </c>
      <c r="AO119" s="27">
        <v>122210.0</v>
      </c>
      <c r="AP119" s="16">
        <f t="shared" si="2"/>
        <v>183316</v>
      </c>
      <c r="AQ119" s="15" t="s">
        <v>54</v>
      </c>
      <c r="AR119" s="31">
        <v>0.6</v>
      </c>
    </row>
    <row r="120">
      <c r="A120" s="8" t="s">
        <v>530</v>
      </c>
      <c r="B120" s="9">
        <v>112.0</v>
      </c>
      <c r="C120" s="10">
        <v>45869.0</v>
      </c>
      <c r="D120" s="8" t="str">
        <f t="shared" si="1"/>
        <v>嘉義</v>
      </c>
      <c r="E120" s="8" t="s">
        <v>531</v>
      </c>
      <c r="F120" s="8" t="s">
        <v>186</v>
      </c>
      <c r="G120" s="9">
        <v>5.0</v>
      </c>
      <c r="H120" s="11" t="s">
        <v>47</v>
      </c>
      <c r="I120" s="11" t="s">
        <v>47</v>
      </c>
      <c r="J120" s="11" t="s">
        <v>47</v>
      </c>
      <c r="K120" s="17">
        <v>34772.0</v>
      </c>
      <c r="L120" s="17">
        <v>34772.0</v>
      </c>
      <c r="M120" s="13" t="s">
        <v>47</v>
      </c>
      <c r="N120" s="8" t="s">
        <v>48</v>
      </c>
      <c r="O120" s="8" t="s">
        <v>48</v>
      </c>
      <c r="P120" s="8" t="s">
        <v>49</v>
      </c>
      <c r="Q120" s="8" t="s">
        <v>532</v>
      </c>
      <c r="R120" s="8" t="s">
        <v>51</v>
      </c>
      <c r="S120" s="14">
        <f t="shared" si="12"/>
        <v>60</v>
      </c>
      <c r="T120" s="14">
        <v>60000.0</v>
      </c>
      <c r="U120" s="11" t="s">
        <v>47</v>
      </c>
      <c r="V120" s="8" t="s">
        <v>90</v>
      </c>
      <c r="W120" s="8" t="s">
        <v>533</v>
      </c>
      <c r="X120" s="8" t="s">
        <v>534</v>
      </c>
      <c r="Y120" s="8" t="s">
        <v>56</v>
      </c>
      <c r="Z120" s="8" t="s">
        <v>54</v>
      </c>
      <c r="AA120" s="8" t="s">
        <v>55</v>
      </c>
      <c r="AB120" s="8" t="s">
        <v>55</v>
      </c>
      <c r="AC120" s="8" t="s">
        <v>54</v>
      </c>
      <c r="AD120" s="11" t="s">
        <v>47</v>
      </c>
      <c r="AE120" s="8" t="s">
        <v>54</v>
      </c>
      <c r="AF120" s="11" t="s">
        <v>47</v>
      </c>
      <c r="AG120" s="15">
        <v>0.0</v>
      </c>
      <c r="AH120" s="15">
        <v>0.0</v>
      </c>
      <c r="AI120" s="15">
        <f>36000+15800</f>
        <v>51800</v>
      </c>
      <c r="AJ120" s="15">
        <v>160000.0</v>
      </c>
      <c r="AK120" s="11" t="s">
        <v>47</v>
      </c>
      <c r="AL120" s="15">
        <v>1200000.0</v>
      </c>
      <c r="AM120" s="15">
        <v>150000.0</v>
      </c>
      <c r="AN120" s="15">
        <v>396372.0</v>
      </c>
      <c r="AO120" s="15">
        <v>204768.0</v>
      </c>
      <c r="AP120" s="16">
        <f t="shared" si="2"/>
        <v>191604</v>
      </c>
      <c r="AQ120" s="15" t="s">
        <v>54</v>
      </c>
      <c r="AR120" s="31">
        <v>0.3</v>
      </c>
    </row>
    <row r="121">
      <c r="A121" s="8" t="s">
        <v>535</v>
      </c>
      <c r="B121" s="9">
        <v>112.0</v>
      </c>
      <c r="C121" s="10">
        <v>45865.0</v>
      </c>
      <c r="D121" s="8" t="str">
        <f t="shared" si="1"/>
        <v>基隆</v>
      </c>
      <c r="E121" s="8" t="s">
        <v>536</v>
      </c>
      <c r="F121" s="8" t="s">
        <v>46</v>
      </c>
      <c r="G121" s="9">
        <v>3.0</v>
      </c>
      <c r="H121" s="8" t="s">
        <v>537</v>
      </c>
      <c r="I121" s="11" t="s">
        <v>47</v>
      </c>
      <c r="J121" s="11" t="s">
        <v>47</v>
      </c>
      <c r="K121" s="17">
        <v>109810.0</v>
      </c>
      <c r="L121" s="17">
        <v>118630.0</v>
      </c>
      <c r="M121" s="13" t="s">
        <v>47</v>
      </c>
      <c r="N121" s="8" t="s">
        <v>88</v>
      </c>
      <c r="O121" s="8" t="s">
        <v>48</v>
      </c>
      <c r="P121" s="8" t="s">
        <v>49</v>
      </c>
      <c r="Q121" s="8" t="s">
        <v>267</v>
      </c>
      <c r="R121" s="8" t="s">
        <v>51</v>
      </c>
      <c r="S121" s="14">
        <f t="shared" si="12"/>
        <v>150</v>
      </c>
      <c r="T121" s="14">
        <v>150000.0</v>
      </c>
      <c r="U121" s="11" t="s">
        <v>47</v>
      </c>
      <c r="V121" s="11" t="s">
        <v>47</v>
      </c>
      <c r="W121" s="11" t="s">
        <v>47</v>
      </c>
      <c r="X121" s="8" t="s">
        <v>538</v>
      </c>
      <c r="Y121" s="8" t="s">
        <v>73</v>
      </c>
      <c r="Z121" s="8" t="s">
        <v>54</v>
      </c>
      <c r="AA121" s="8" t="s">
        <v>73</v>
      </c>
      <c r="AB121" s="8" t="s">
        <v>70</v>
      </c>
      <c r="AC121" s="8" t="s">
        <v>54</v>
      </c>
      <c r="AD121" s="8" t="s">
        <v>54</v>
      </c>
      <c r="AE121" s="8" t="s">
        <v>54</v>
      </c>
      <c r="AF121" s="8" t="s">
        <v>54</v>
      </c>
      <c r="AG121" s="15">
        <v>0.0</v>
      </c>
      <c r="AH121" s="15">
        <v>0.0</v>
      </c>
      <c r="AI121" s="15">
        <f>8625+17500</f>
        <v>26125</v>
      </c>
      <c r="AJ121" s="15">
        <f>210700+624048</f>
        <v>834748</v>
      </c>
      <c r="AK121" s="11" t="s">
        <v>47</v>
      </c>
      <c r="AL121" s="15">
        <v>500000.0</v>
      </c>
      <c r="AM121" s="15">
        <v>100000.0</v>
      </c>
      <c r="AN121" s="15">
        <v>1070683.0</v>
      </c>
      <c r="AO121" s="15">
        <v>862348.0</v>
      </c>
      <c r="AP121" s="16">
        <f t="shared" si="2"/>
        <v>208335</v>
      </c>
      <c r="AQ121" s="15" t="s">
        <v>47</v>
      </c>
      <c r="AR121" s="15" t="s">
        <v>47</v>
      </c>
    </row>
    <row r="122">
      <c r="A122" s="8" t="s">
        <v>539</v>
      </c>
      <c r="B122" s="9">
        <v>112.0</v>
      </c>
      <c r="C122" s="10">
        <v>45873.0</v>
      </c>
      <c r="D122" s="8" t="str">
        <f t="shared" si="1"/>
        <v>桃園</v>
      </c>
      <c r="E122" s="8" t="s">
        <v>540</v>
      </c>
      <c r="F122" s="8" t="s">
        <v>46</v>
      </c>
      <c r="G122" s="9">
        <v>2.0</v>
      </c>
      <c r="H122" s="11" t="s">
        <v>47</v>
      </c>
      <c r="I122" s="8" t="s">
        <v>61</v>
      </c>
      <c r="J122" s="11" t="s">
        <v>47</v>
      </c>
      <c r="K122" s="17">
        <v>7455.0</v>
      </c>
      <c r="L122" s="17">
        <v>7455.0</v>
      </c>
      <c r="M122" s="13" t="s">
        <v>47</v>
      </c>
      <c r="N122" s="8" t="s">
        <v>88</v>
      </c>
      <c r="O122" s="8" t="s">
        <v>88</v>
      </c>
      <c r="P122" s="8" t="s">
        <v>49</v>
      </c>
      <c r="Q122" s="8" t="s">
        <v>541</v>
      </c>
      <c r="R122" s="8" t="s">
        <v>51</v>
      </c>
      <c r="S122" s="14">
        <f t="shared" si="12"/>
        <v>150</v>
      </c>
      <c r="T122" s="14">
        <v>150000.0</v>
      </c>
      <c r="U122" s="11" t="s">
        <v>47</v>
      </c>
      <c r="V122" s="11" t="s">
        <v>47</v>
      </c>
      <c r="W122" s="11" t="s">
        <v>47</v>
      </c>
      <c r="X122" s="8" t="s">
        <v>542</v>
      </c>
      <c r="Y122" s="8" t="s">
        <v>53</v>
      </c>
      <c r="Z122" s="11" t="s">
        <v>47</v>
      </c>
      <c r="AA122" s="11" t="s">
        <v>47</v>
      </c>
      <c r="AB122" s="11" t="s">
        <v>47</v>
      </c>
      <c r="AC122" s="8" t="s">
        <v>54</v>
      </c>
      <c r="AD122" s="11" t="s">
        <v>47</v>
      </c>
      <c r="AE122" s="8" t="s">
        <v>54</v>
      </c>
      <c r="AF122" s="11" t="s">
        <v>47</v>
      </c>
      <c r="AG122" s="9">
        <v>0.0</v>
      </c>
      <c r="AH122" s="9">
        <v>0.0</v>
      </c>
      <c r="AI122" s="9">
        <v>0.0</v>
      </c>
      <c r="AJ122" s="15">
        <v>147200.0</v>
      </c>
      <c r="AK122" s="11" t="s">
        <v>47</v>
      </c>
      <c r="AL122" s="15">
        <v>1000000.0</v>
      </c>
      <c r="AM122" s="15">
        <v>250000.0</v>
      </c>
      <c r="AN122" s="15">
        <v>354655.0</v>
      </c>
      <c r="AO122" s="15">
        <v>121367.0</v>
      </c>
      <c r="AP122" s="16">
        <f t="shared" si="2"/>
        <v>233288</v>
      </c>
      <c r="AQ122" s="15" t="s">
        <v>54</v>
      </c>
      <c r="AR122" s="31">
        <v>0.7</v>
      </c>
    </row>
    <row r="123">
      <c r="A123" s="8" t="s">
        <v>543</v>
      </c>
      <c r="B123" s="9">
        <v>112.0</v>
      </c>
      <c r="C123" s="10">
        <v>45879.0</v>
      </c>
      <c r="D123" s="8" t="str">
        <f t="shared" si="1"/>
        <v>高雄</v>
      </c>
      <c r="E123" s="8" t="s">
        <v>544</v>
      </c>
      <c r="F123" s="8" t="s">
        <v>124</v>
      </c>
      <c r="G123" s="9">
        <v>2.0</v>
      </c>
      <c r="H123" s="8" t="s">
        <v>537</v>
      </c>
      <c r="I123" s="11" t="s">
        <v>47</v>
      </c>
      <c r="J123" s="11" t="s">
        <v>47</v>
      </c>
      <c r="K123" s="17">
        <v>110862.0</v>
      </c>
      <c r="L123" s="17">
        <v>110862.0</v>
      </c>
      <c r="M123" s="13" t="s">
        <v>47</v>
      </c>
      <c r="N123" s="8" t="s">
        <v>48</v>
      </c>
      <c r="O123" s="8" t="s">
        <v>48</v>
      </c>
      <c r="P123" s="8" t="s">
        <v>49</v>
      </c>
      <c r="Q123" s="8" t="s">
        <v>545</v>
      </c>
      <c r="R123" s="8" t="s">
        <v>51</v>
      </c>
      <c r="S123" s="14">
        <f t="shared" si="12"/>
        <v>120</v>
      </c>
      <c r="T123" s="14">
        <v>120000.0</v>
      </c>
      <c r="U123" s="11" t="s">
        <v>47</v>
      </c>
      <c r="V123" s="8" t="s">
        <v>90</v>
      </c>
      <c r="W123" s="11" t="s">
        <v>47</v>
      </c>
      <c r="X123" s="8" t="s">
        <v>105</v>
      </c>
      <c r="Y123" s="8" t="s">
        <v>73</v>
      </c>
      <c r="Z123" s="8" t="s">
        <v>54</v>
      </c>
      <c r="AA123" s="8" t="s">
        <v>70</v>
      </c>
      <c r="AB123" s="8" t="s">
        <v>55</v>
      </c>
      <c r="AC123" s="8" t="s">
        <v>54</v>
      </c>
      <c r="AD123" s="8" t="s">
        <v>54</v>
      </c>
      <c r="AE123" s="8" t="s">
        <v>54</v>
      </c>
      <c r="AF123" s="8" t="s">
        <v>54</v>
      </c>
      <c r="AG123" s="15">
        <v>0.0</v>
      </c>
      <c r="AH123" s="15">
        <v>45000.0</v>
      </c>
      <c r="AI123" s="15">
        <v>194000.0</v>
      </c>
      <c r="AJ123" s="15">
        <v>104880.0</v>
      </c>
      <c r="AK123" s="11" t="s">
        <v>47</v>
      </c>
      <c r="AL123" s="15">
        <v>200000.0</v>
      </c>
      <c r="AM123" s="15">
        <v>185000.0</v>
      </c>
      <c r="AN123" s="15">
        <v>594742.0</v>
      </c>
      <c r="AO123" s="15">
        <v>345234.0</v>
      </c>
      <c r="AP123" s="16">
        <f t="shared" si="2"/>
        <v>249508</v>
      </c>
      <c r="AQ123" s="15" t="s">
        <v>54</v>
      </c>
      <c r="AR123" s="31">
        <v>0.3</v>
      </c>
    </row>
    <row r="124">
      <c r="A124" s="8" t="s">
        <v>546</v>
      </c>
      <c r="B124" s="9">
        <v>112.0</v>
      </c>
      <c r="C124" s="10">
        <v>45807.0</v>
      </c>
      <c r="D124" s="8" t="str">
        <f t="shared" si="1"/>
        <v>臺北</v>
      </c>
      <c r="E124" s="40" t="s">
        <v>547</v>
      </c>
      <c r="F124" s="41" t="s">
        <v>70</v>
      </c>
      <c r="G124" s="42">
        <v>3.0</v>
      </c>
      <c r="H124" s="11" t="s">
        <v>47</v>
      </c>
      <c r="I124" s="11" t="s">
        <v>47</v>
      </c>
      <c r="J124" s="11" t="s">
        <v>47</v>
      </c>
      <c r="K124" s="17">
        <v>116487.0</v>
      </c>
      <c r="L124" s="17">
        <v>116487.0</v>
      </c>
      <c r="M124" s="13" t="s">
        <v>47</v>
      </c>
      <c r="N124" s="8" t="s">
        <v>48</v>
      </c>
      <c r="O124" s="8" t="s">
        <v>48</v>
      </c>
      <c r="P124" s="8" t="s">
        <v>49</v>
      </c>
      <c r="Q124" s="25" t="s">
        <v>548</v>
      </c>
      <c r="R124" s="8" t="s">
        <v>51</v>
      </c>
      <c r="S124" s="14">
        <f t="shared" si="12"/>
        <v>60</v>
      </c>
      <c r="T124" s="14">
        <v>60000.0</v>
      </c>
      <c r="U124" s="8" t="s">
        <v>47</v>
      </c>
      <c r="V124" s="8" t="s">
        <v>47</v>
      </c>
      <c r="W124" s="8" t="s">
        <v>47</v>
      </c>
      <c r="X124" s="8" t="s">
        <v>549</v>
      </c>
      <c r="Y124" s="8" t="s">
        <v>73</v>
      </c>
      <c r="Z124" s="8" t="s">
        <v>54</v>
      </c>
      <c r="AA124" s="20" t="s">
        <v>74</v>
      </c>
      <c r="AB124" s="20" t="s">
        <v>74</v>
      </c>
      <c r="AC124" s="8" t="s">
        <v>54</v>
      </c>
      <c r="AD124" s="8" t="s">
        <v>54</v>
      </c>
      <c r="AE124" s="8" t="s">
        <v>54</v>
      </c>
      <c r="AF124" s="8" t="s">
        <v>54</v>
      </c>
      <c r="AG124" s="17">
        <v>19703.0</v>
      </c>
      <c r="AH124" s="17">
        <v>23150.0</v>
      </c>
      <c r="AI124" s="17">
        <f>36000+245</f>
        <v>36245</v>
      </c>
      <c r="AJ124" s="17">
        <f>4950+19703+364000</f>
        <v>388653</v>
      </c>
      <c r="AK124" s="8" t="s">
        <v>47</v>
      </c>
      <c r="AL124" s="15">
        <v>300000.0</v>
      </c>
      <c r="AM124" s="15">
        <v>300000.0</v>
      </c>
      <c r="AN124" s="15">
        <v>839427.0</v>
      </c>
      <c r="AO124" s="15">
        <v>587599.0</v>
      </c>
      <c r="AP124" s="16">
        <f t="shared" si="2"/>
        <v>251828</v>
      </c>
      <c r="AQ124" s="15" t="s">
        <v>54</v>
      </c>
      <c r="AR124" s="31">
        <v>0.3</v>
      </c>
    </row>
    <row r="125" hidden="1">
      <c r="A125" s="23" t="s">
        <v>550</v>
      </c>
      <c r="B125" s="9">
        <v>112.0</v>
      </c>
      <c r="C125" s="34"/>
      <c r="D125" s="23" t="str">
        <f t="shared" si="1"/>
        <v>臺南</v>
      </c>
      <c r="E125" s="26" t="s">
        <v>468</v>
      </c>
      <c r="F125" s="26"/>
      <c r="G125" s="32"/>
      <c r="H125" s="11" t="s">
        <v>47</v>
      </c>
      <c r="I125" s="36"/>
      <c r="J125" s="36"/>
      <c r="K125" s="12"/>
      <c r="L125" s="12"/>
      <c r="M125" s="32"/>
      <c r="N125" s="36"/>
      <c r="O125" s="36"/>
      <c r="P125" s="36"/>
      <c r="Q125" s="36"/>
      <c r="R125" s="36"/>
      <c r="S125" s="14">
        <f t="shared" si="12"/>
        <v>0</v>
      </c>
      <c r="T125" s="36"/>
      <c r="U125" s="36"/>
      <c r="V125" s="36"/>
      <c r="W125" s="36"/>
      <c r="X125" s="36"/>
      <c r="Y125" s="36"/>
      <c r="Z125" s="8" t="s">
        <v>54</v>
      </c>
      <c r="AA125" s="36"/>
      <c r="AB125" s="36"/>
      <c r="AC125" s="8" t="s">
        <v>54</v>
      </c>
      <c r="AD125" s="8" t="s">
        <v>54</v>
      </c>
      <c r="AE125" s="8" t="s">
        <v>54</v>
      </c>
      <c r="AF125" s="8" t="s">
        <v>54</v>
      </c>
      <c r="AG125" s="17"/>
      <c r="AH125" s="17"/>
      <c r="AI125" s="17"/>
      <c r="AJ125" s="17"/>
      <c r="AK125" s="36"/>
      <c r="AL125" s="32"/>
      <c r="AM125" s="15"/>
      <c r="AN125" s="32"/>
      <c r="AO125" s="32"/>
      <c r="AP125" s="19">
        <f t="shared" si="2"/>
        <v>0</v>
      </c>
      <c r="AQ125" s="32"/>
      <c r="AR125" s="36"/>
    </row>
    <row r="126" hidden="1">
      <c r="A126" s="26" t="s">
        <v>551</v>
      </c>
      <c r="B126" s="9">
        <v>112.0</v>
      </c>
      <c r="C126" s="30"/>
      <c r="D126" s="26" t="str">
        <f t="shared" si="1"/>
        <v>臺南</v>
      </c>
      <c r="E126" s="35" t="s">
        <v>552</v>
      </c>
      <c r="F126" s="35"/>
      <c r="G126" s="32"/>
      <c r="H126" s="11" t="s">
        <v>47</v>
      </c>
      <c r="I126" s="36"/>
      <c r="J126" s="36"/>
      <c r="K126" s="12"/>
      <c r="L126" s="12"/>
      <c r="M126" s="32"/>
      <c r="N126" s="36"/>
      <c r="O126" s="36"/>
      <c r="P126" s="36"/>
      <c r="Q126" s="36"/>
      <c r="R126" s="36"/>
      <c r="S126" s="14">
        <f t="shared" si="12"/>
        <v>0</v>
      </c>
      <c r="T126" s="36"/>
      <c r="U126" s="36"/>
      <c r="V126" s="36"/>
      <c r="W126" s="36"/>
      <c r="X126" s="36"/>
      <c r="Y126" s="36"/>
      <c r="Z126" s="8" t="s">
        <v>54</v>
      </c>
      <c r="AA126" s="36"/>
      <c r="AB126" s="36"/>
      <c r="AC126" s="8" t="s">
        <v>54</v>
      </c>
      <c r="AD126" s="8" t="s">
        <v>54</v>
      </c>
      <c r="AE126" s="8" t="s">
        <v>54</v>
      </c>
      <c r="AF126" s="8" t="s">
        <v>54</v>
      </c>
      <c r="AG126" s="17"/>
      <c r="AH126" s="17"/>
      <c r="AI126" s="17"/>
      <c r="AJ126" s="17"/>
      <c r="AK126" s="36"/>
      <c r="AL126" s="32"/>
      <c r="AM126" s="15"/>
      <c r="AN126" s="32"/>
      <c r="AO126" s="32"/>
      <c r="AP126" s="19">
        <f t="shared" si="2"/>
        <v>0</v>
      </c>
      <c r="AQ126" s="32"/>
      <c r="AR126" s="36"/>
    </row>
    <row r="127" hidden="1">
      <c r="A127" s="26" t="s">
        <v>553</v>
      </c>
      <c r="B127" s="9">
        <v>112.0</v>
      </c>
      <c r="C127" s="30"/>
      <c r="D127" s="26" t="str">
        <f t="shared" si="1"/>
        <v>臺北</v>
      </c>
      <c r="E127" s="35" t="s">
        <v>468</v>
      </c>
      <c r="F127" s="35"/>
      <c r="G127" s="32"/>
      <c r="H127" s="36"/>
      <c r="I127" s="36"/>
      <c r="J127" s="36"/>
      <c r="K127" s="12"/>
      <c r="L127" s="12"/>
      <c r="M127" s="32"/>
      <c r="N127" s="36"/>
      <c r="O127" s="36"/>
      <c r="P127" s="36"/>
      <c r="Q127" s="36"/>
      <c r="R127" s="36"/>
      <c r="S127" s="14">
        <f t="shared" si="12"/>
        <v>0</v>
      </c>
      <c r="T127" s="36"/>
      <c r="U127" s="36"/>
      <c r="V127" s="36"/>
      <c r="W127" s="36"/>
      <c r="X127" s="36"/>
      <c r="Y127" s="36"/>
      <c r="Z127" s="8" t="s">
        <v>54</v>
      </c>
      <c r="AA127" s="36"/>
      <c r="AB127" s="36"/>
      <c r="AC127" s="8" t="s">
        <v>54</v>
      </c>
      <c r="AD127" s="8" t="s">
        <v>54</v>
      </c>
      <c r="AE127" s="8" t="s">
        <v>54</v>
      </c>
      <c r="AF127" s="8" t="s">
        <v>54</v>
      </c>
      <c r="AG127" s="17"/>
      <c r="AH127" s="17"/>
      <c r="AI127" s="17"/>
      <c r="AJ127" s="17"/>
      <c r="AK127" s="36"/>
      <c r="AL127" s="32"/>
      <c r="AM127" s="15"/>
      <c r="AN127" s="32"/>
      <c r="AO127" s="32"/>
      <c r="AP127" s="19">
        <f t="shared" si="2"/>
        <v>0</v>
      </c>
      <c r="AQ127" s="32"/>
      <c r="AR127" s="36"/>
    </row>
    <row r="128">
      <c r="A128" s="8" t="s">
        <v>554</v>
      </c>
      <c r="B128" s="9">
        <v>112.0</v>
      </c>
      <c r="C128" s="10">
        <v>45859.0</v>
      </c>
      <c r="D128" s="8" t="str">
        <f t="shared" si="1"/>
        <v>屏東</v>
      </c>
      <c r="E128" s="8" t="s">
        <v>555</v>
      </c>
      <c r="F128" s="8" t="s">
        <v>70</v>
      </c>
      <c r="G128" s="9">
        <v>3.0</v>
      </c>
      <c r="H128" s="8" t="s">
        <v>537</v>
      </c>
      <c r="I128" s="11" t="s">
        <v>47</v>
      </c>
      <c r="J128" s="11" t="s">
        <v>47</v>
      </c>
      <c r="K128" s="17">
        <v>84866.0</v>
      </c>
      <c r="L128" s="17">
        <v>84900.0</v>
      </c>
      <c r="M128" s="13" t="s">
        <v>47</v>
      </c>
      <c r="N128" s="8" t="s">
        <v>88</v>
      </c>
      <c r="O128" s="8" t="s">
        <v>48</v>
      </c>
      <c r="P128" s="8" t="s">
        <v>49</v>
      </c>
      <c r="Q128" s="8" t="s">
        <v>556</v>
      </c>
      <c r="R128" s="8" t="s">
        <v>51</v>
      </c>
      <c r="S128" s="14">
        <f t="shared" si="12"/>
        <v>60</v>
      </c>
      <c r="T128" s="14">
        <v>60000.0</v>
      </c>
      <c r="U128" s="11" t="s">
        <v>47</v>
      </c>
      <c r="V128" s="8" t="s">
        <v>90</v>
      </c>
      <c r="W128" s="11" t="s">
        <v>47</v>
      </c>
      <c r="X128" s="8" t="s">
        <v>557</v>
      </c>
      <c r="Y128" s="8" t="s">
        <v>558</v>
      </c>
      <c r="Z128" s="8" t="s">
        <v>54</v>
      </c>
      <c r="AA128" s="8" t="s">
        <v>55</v>
      </c>
      <c r="AB128" s="8" t="s">
        <v>56</v>
      </c>
      <c r="AC128" s="8" t="s">
        <v>54</v>
      </c>
      <c r="AD128" s="8" t="s">
        <v>54</v>
      </c>
      <c r="AE128" s="8" t="s">
        <v>54</v>
      </c>
      <c r="AF128" s="8" t="s">
        <v>54</v>
      </c>
      <c r="AG128" s="9">
        <v>0.0</v>
      </c>
      <c r="AH128" s="9">
        <v>0.0</v>
      </c>
      <c r="AI128" s="15">
        <v>213400.0</v>
      </c>
      <c r="AJ128" s="15">
        <v>91200.0</v>
      </c>
      <c r="AK128" s="11" t="s">
        <v>47</v>
      </c>
      <c r="AL128" s="15">
        <v>506880.0</v>
      </c>
      <c r="AM128" s="15">
        <v>200000.0</v>
      </c>
      <c r="AN128" s="15">
        <v>589466.0</v>
      </c>
      <c r="AO128" s="15">
        <v>315337.0</v>
      </c>
      <c r="AP128" s="16">
        <f t="shared" si="2"/>
        <v>274129</v>
      </c>
      <c r="AQ128" s="15" t="s">
        <v>54</v>
      </c>
      <c r="AR128" s="31">
        <v>0.3</v>
      </c>
    </row>
    <row r="129" hidden="1">
      <c r="A129" s="26" t="s">
        <v>559</v>
      </c>
      <c r="B129" s="9">
        <v>112.0</v>
      </c>
      <c r="C129" s="30"/>
      <c r="D129" s="26" t="str">
        <f t="shared" si="1"/>
        <v>臺北</v>
      </c>
      <c r="E129" s="35" t="s">
        <v>468</v>
      </c>
      <c r="F129" s="35"/>
      <c r="G129" s="32"/>
      <c r="H129" s="36"/>
      <c r="I129" s="36"/>
      <c r="J129" s="36"/>
      <c r="K129" s="12"/>
      <c r="L129" s="12"/>
      <c r="M129" s="32"/>
      <c r="N129" s="36"/>
      <c r="O129" s="36"/>
      <c r="P129" s="36"/>
      <c r="Q129" s="36"/>
      <c r="R129" s="36"/>
      <c r="S129" s="14">
        <f t="shared" si="12"/>
        <v>0</v>
      </c>
      <c r="T129" s="36"/>
      <c r="U129" s="36"/>
      <c r="V129" s="36"/>
      <c r="W129" s="36"/>
      <c r="X129" s="36"/>
      <c r="Y129" s="36"/>
      <c r="Z129" s="8" t="s">
        <v>54</v>
      </c>
      <c r="AA129" s="36"/>
      <c r="AB129" s="36"/>
      <c r="AC129" s="8" t="s">
        <v>54</v>
      </c>
      <c r="AD129" s="8" t="s">
        <v>54</v>
      </c>
      <c r="AE129" s="8" t="s">
        <v>54</v>
      </c>
      <c r="AF129" s="8" t="s">
        <v>54</v>
      </c>
      <c r="AG129" s="17"/>
      <c r="AH129" s="17"/>
      <c r="AI129" s="17"/>
      <c r="AJ129" s="17"/>
      <c r="AK129" s="36"/>
      <c r="AL129" s="32"/>
      <c r="AM129" s="15"/>
      <c r="AN129" s="32"/>
      <c r="AO129" s="32"/>
      <c r="AP129" s="19">
        <f t="shared" si="2"/>
        <v>0</v>
      </c>
      <c r="AQ129" s="32"/>
      <c r="AR129" s="36"/>
    </row>
    <row r="130">
      <c r="A130" s="25" t="s">
        <v>560</v>
      </c>
      <c r="B130" s="9">
        <v>112.0</v>
      </c>
      <c r="C130" s="24">
        <v>45795.0</v>
      </c>
      <c r="D130" s="23" t="str">
        <f t="shared" si="1"/>
        <v>臺北</v>
      </c>
      <c r="E130" s="25" t="s">
        <v>561</v>
      </c>
      <c r="F130" s="25" t="s">
        <v>70</v>
      </c>
      <c r="G130" s="9">
        <v>3.0</v>
      </c>
      <c r="H130" s="11" t="s">
        <v>47</v>
      </c>
      <c r="I130" s="11" t="s">
        <v>47</v>
      </c>
      <c r="J130" s="11" t="s">
        <v>47</v>
      </c>
      <c r="K130" s="17">
        <v>94258.0</v>
      </c>
      <c r="L130" s="17">
        <v>94258.0</v>
      </c>
      <c r="M130" s="13" t="s">
        <v>47</v>
      </c>
      <c r="N130" s="26" t="s">
        <v>48</v>
      </c>
      <c r="O130" s="26" t="s">
        <v>48</v>
      </c>
      <c r="P130" s="8" t="s">
        <v>49</v>
      </c>
      <c r="Q130" s="25" t="s">
        <v>562</v>
      </c>
      <c r="R130" s="8" t="s">
        <v>51</v>
      </c>
      <c r="S130" s="14">
        <f t="shared" si="12"/>
        <v>1</v>
      </c>
      <c r="T130" s="14">
        <v>1000.0</v>
      </c>
      <c r="U130" s="26" t="s">
        <v>47</v>
      </c>
      <c r="V130" s="26" t="s">
        <v>47</v>
      </c>
      <c r="W130" s="20" t="s">
        <v>74</v>
      </c>
      <c r="X130" s="25" t="s">
        <v>563</v>
      </c>
      <c r="Y130" s="25" t="s">
        <v>53</v>
      </c>
      <c r="Z130" s="8" t="s">
        <v>54</v>
      </c>
      <c r="AA130" s="20" t="s">
        <v>74</v>
      </c>
      <c r="AB130" s="20" t="s">
        <v>74</v>
      </c>
      <c r="AC130" s="8" t="s">
        <v>54</v>
      </c>
      <c r="AD130" s="8" t="s">
        <v>54</v>
      </c>
      <c r="AE130" s="8" t="s">
        <v>54</v>
      </c>
      <c r="AF130" s="8" t="s">
        <v>54</v>
      </c>
      <c r="AG130" s="17">
        <v>1350.0</v>
      </c>
      <c r="AH130" s="17">
        <v>13500.0</v>
      </c>
      <c r="AI130" s="17">
        <v>66000.0</v>
      </c>
      <c r="AJ130" s="17">
        <v>68800.0</v>
      </c>
      <c r="AK130" s="26" t="s">
        <v>47</v>
      </c>
      <c r="AL130" s="27">
        <v>220000.0</v>
      </c>
      <c r="AM130" s="15">
        <v>100000.0</v>
      </c>
      <c r="AN130" s="27">
        <v>330408.0</v>
      </c>
      <c r="AO130" s="27">
        <v>34763.0</v>
      </c>
      <c r="AP130" s="16">
        <f t="shared" si="2"/>
        <v>295645</v>
      </c>
      <c r="AQ130" s="15" t="s">
        <v>54</v>
      </c>
      <c r="AR130" s="31">
        <v>0.7</v>
      </c>
    </row>
    <row r="131">
      <c r="A131" s="8" t="s">
        <v>564</v>
      </c>
      <c r="B131" s="9">
        <v>112.0</v>
      </c>
      <c r="C131" s="10">
        <v>45787.0</v>
      </c>
      <c r="D131" s="8" t="str">
        <f t="shared" si="1"/>
        <v>南投</v>
      </c>
      <c r="E131" s="8" t="s">
        <v>565</v>
      </c>
      <c r="F131" s="8" t="s">
        <v>70</v>
      </c>
      <c r="G131" s="9">
        <v>3.0</v>
      </c>
      <c r="H131" s="11" t="s">
        <v>47</v>
      </c>
      <c r="I131" s="11" t="s">
        <v>47</v>
      </c>
      <c r="J131" s="11" t="s">
        <v>47</v>
      </c>
      <c r="K131" s="17">
        <v>151080.0</v>
      </c>
      <c r="L131" s="17">
        <v>151080.0</v>
      </c>
      <c r="M131" s="13" t="s">
        <v>47</v>
      </c>
      <c r="N131" s="8" t="s">
        <v>48</v>
      </c>
      <c r="O131" s="8" t="s">
        <v>48</v>
      </c>
      <c r="P131" s="8" t="s">
        <v>49</v>
      </c>
      <c r="Q131" s="8" t="s">
        <v>566</v>
      </c>
      <c r="R131" s="8" t="s">
        <v>51</v>
      </c>
      <c r="S131" s="14">
        <f t="shared" si="12"/>
        <v>55</v>
      </c>
      <c r="T131" s="14">
        <v>55000.0</v>
      </c>
      <c r="U131" s="11" t="s">
        <v>47</v>
      </c>
      <c r="V131" s="11" t="s">
        <v>47</v>
      </c>
      <c r="W131" s="11" t="s">
        <v>47</v>
      </c>
      <c r="X131" s="8" t="s">
        <v>567</v>
      </c>
      <c r="Y131" s="8" t="s">
        <v>53</v>
      </c>
      <c r="Z131" s="8" t="s">
        <v>54</v>
      </c>
      <c r="AA131" s="8" t="s">
        <v>70</v>
      </c>
      <c r="AB131" s="8" t="s">
        <v>70</v>
      </c>
      <c r="AC131" s="8" t="s">
        <v>54</v>
      </c>
      <c r="AD131" s="11" t="s">
        <v>47</v>
      </c>
      <c r="AE131" s="8" t="s">
        <v>54</v>
      </c>
      <c r="AF131" s="11" t="s">
        <v>47</v>
      </c>
      <c r="AG131" s="17">
        <v>0.0</v>
      </c>
      <c r="AH131" s="17">
        <v>0.0</v>
      </c>
      <c r="AI131" s="17">
        <f>60000+36840</f>
        <v>96840</v>
      </c>
      <c r="AJ131" s="17">
        <v>140345.0</v>
      </c>
      <c r="AK131" s="11" t="s">
        <v>47</v>
      </c>
      <c r="AL131" s="15">
        <v>600000.0</v>
      </c>
      <c r="AM131" s="15">
        <v>250000.0</v>
      </c>
      <c r="AN131" s="15">
        <v>638265.0</v>
      </c>
      <c r="AO131" s="15">
        <v>342108.0</v>
      </c>
      <c r="AP131" s="16">
        <f t="shared" si="2"/>
        <v>296157</v>
      </c>
      <c r="AQ131" s="15" t="s">
        <v>54</v>
      </c>
      <c r="AR131" s="31">
        <v>0.3</v>
      </c>
    </row>
    <row r="132" hidden="1">
      <c r="A132" s="8" t="s">
        <v>568</v>
      </c>
      <c r="B132" s="9">
        <v>112.0</v>
      </c>
      <c r="C132" s="10">
        <v>45704.0</v>
      </c>
      <c r="D132" s="8" t="str">
        <f t="shared" si="1"/>
        <v>臺北</v>
      </c>
      <c r="E132" s="8" t="s">
        <v>569</v>
      </c>
      <c r="F132" s="8" t="s">
        <v>47</v>
      </c>
      <c r="G132" s="9">
        <v>5.0</v>
      </c>
      <c r="H132" s="11" t="s">
        <v>47</v>
      </c>
      <c r="I132" s="11" t="s">
        <v>47</v>
      </c>
      <c r="J132" s="11" t="s">
        <v>47</v>
      </c>
      <c r="K132" s="12">
        <v>0.0</v>
      </c>
      <c r="L132" s="12">
        <v>0.0</v>
      </c>
      <c r="M132" s="13" t="s">
        <v>47</v>
      </c>
      <c r="N132" s="8" t="s">
        <v>48</v>
      </c>
      <c r="O132" s="8" t="s">
        <v>48</v>
      </c>
      <c r="P132" s="8" t="s">
        <v>61</v>
      </c>
      <c r="Q132" s="8"/>
      <c r="R132" s="8"/>
      <c r="S132" s="14">
        <f t="shared" si="12"/>
        <v>0</v>
      </c>
      <c r="T132" s="8"/>
      <c r="U132" s="8" t="s">
        <v>570</v>
      </c>
      <c r="V132" s="8" t="s">
        <v>47</v>
      </c>
      <c r="W132" s="20" t="s">
        <v>74</v>
      </c>
      <c r="X132" s="8" t="s">
        <v>571</v>
      </c>
      <c r="Y132" s="8" t="s">
        <v>344</v>
      </c>
      <c r="Z132" s="8" t="s">
        <v>54</v>
      </c>
      <c r="AA132" s="8" t="s">
        <v>47</v>
      </c>
      <c r="AB132" s="8" t="s">
        <v>47</v>
      </c>
      <c r="AC132" s="8" t="s">
        <v>54</v>
      </c>
      <c r="AD132" s="8" t="s">
        <v>54</v>
      </c>
      <c r="AE132" s="8" t="s">
        <v>54</v>
      </c>
      <c r="AF132" s="8" t="s">
        <v>54</v>
      </c>
      <c r="AG132" s="17"/>
      <c r="AH132" s="17"/>
      <c r="AI132" s="17"/>
      <c r="AJ132" s="17"/>
      <c r="AK132" s="8" t="s">
        <v>47</v>
      </c>
      <c r="AL132" s="18"/>
      <c r="AM132" s="15">
        <v>6000.0</v>
      </c>
      <c r="AN132" s="18"/>
      <c r="AO132" s="18"/>
      <c r="AP132" s="19">
        <f t="shared" si="2"/>
        <v>0</v>
      </c>
      <c r="AQ132" s="18"/>
    </row>
    <row r="133">
      <c r="A133" s="8" t="s">
        <v>572</v>
      </c>
      <c r="B133" s="9">
        <v>112.0</v>
      </c>
      <c r="C133" s="10">
        <v>45866.0</v>
      </c>
      <c r="D133" s="8" t="str">
        <f t="shared" si="1"/>
        <v>南投</v>
      </c>
      <c r="E133" s="8" t="s">
        <v>573</v>
      </c>
      <c r="F133" s="8" t="s">
        <v>70</v>
      </c>
      <c r="G133" s="9">
        <v>5.0</v>
      </c>
      <c r="H133" s="11" t="s">
        <v>47</v>
      </c>
      <c r="I133" s="11" t="s">
        <v>47</v>
      </c>
      <c r="J133" s="11" t="s">
        <v>47</v>
      </c>
      <c r="K133" s="17">
        <v>14085.0</v>
      </c>
      <c r="L133" s="17">
        <v>14085.0</v>
      </c>
      <c r="M133" s="13" t="s">
        <v>47</v>
      </c>
      <c r="N133" s="8" t="s">
        <v>48</v>
      </c>
      <c r="O133" s="8" t="s">
        <v>88</v>
      </c>
      <c r="P133" s="8" t="s">
        <v>49</v>
      </c>
      <c r="Q133" s="8" t="s">
        <v>574</v>
      </c>
      <c r="R133" s="8" t="s">
        <v>51</v>
      </c>
      <c r="S133" s="14">
        <f t="shared" si="12"/>
        <v>30</v>
      </c>
      <c r="T133" s="14">
        <v>30000.0</v>
      </c>
      <c r="U133" s="11" t="s">
        <v>47</v>
      </c>
      <c r="V133" s="8" t="s">
        <v>90</v>
      </c>
      <c r="W133" s="11" t="s">
        <v>47</v>
      </c>
      <c r="X133" s="8" t="s">
        <v>575</v>
      </c>
      <c r="Y133" s="8" t="s">
        <v>73</v>
      </c>
      <c r="Z133" s="8" t="s">
        <v>54</v>
      </c>
      <c r="AA133" s="8" t="s">
        <v>56</v>
      </c>
      <c r="AB133" s="8" t="s">
        <v>55</v>
      </c>
      <c r="AC133" s="8" t="s">
        <v>54</v>
      </c>
      <c r="AD133" s="8" t="s">
        <v>54</v>
      </c>
      <c r="AE133" s="8" t="s">
        <v>54</v>
      </c>
      <c r="AF133" s="8" t="s">
        <v>54</v>
      </c>
      <c r="AG133" s="17">
        <v>47712.0</v>
      </c>
      <c r="AH133" s="17">
        <v>76330.0</v>
      </c>
      <c r="AI133" s="17">
        <v>75000.0</v>
      </c>
      <c r="AJ133" s="17">
        <v>240000.0</v>
      </c>
      <c r="AK133" s="11" t="s">
        <v>47</v>
      </c>
      <c r="AL133" s="15">
        <v>300000.0</v>
      </c>
      <c r="AM133" s="15">
        <v>130000.0</v>
      </c>
      <c r="AN133" s="15">
        <v>506797.0</v>
      </c>
      <c r="AO133" s="15">
        <v>189639.0</v>
      </c>
      <c r="AP133" s="16">
        <f t="shared" si="2"/>
        <v>317158</v>
      </c>
      <c r="AQ133" s="15" t="s">
        <v>54</v>
      </c>
      <c r="AR133" s="31">
        <v>0.5</v>
      </c>
    </row>
    <row r="134">
      <c r="A134" s="8" t="s">
        <v>576</v>
      </c>
      <c r="B134" s="9">
        <v>112.0</v>
      </c>
      <c r="C134" s="10">
        <v>45816.0</v>
      </c>
      <c r="D134" s="8" t="str">
        <f t="shared" si="1"/>
        <v>嘉義</v>
      </c>
      <c r="E134" s="8" t="s">
        <v>577</v>
      </c>
      <c r="F134" s="8" t="s">
        <v>70</v>
      </c>
      <c r="G134" s="9">
        <v>3.0</v>
      </c>
      <c r="H134" s="11" t="s">
        <v>47</v>
      </c>
      <c r="I134" s="11" t="s">
        <v>47</v>
      </c>
      <c r="J134" s="8" t="s">
        <v>578</v>
      </c>
      <c r="K134" s="15">
        <v>235709.0</v>
      </c>
      <c r="L134" s="15">
        <v>235709.0</v>
      </c>
      <c r="M134" s="13" t="s">
        <v>47</v>
      </c>
      <c r="N134" s="8" t="s">
        <v>48</v>
      </c>
      <c r="O134" s="8" t="s">
        <v>48</v>
      </c>
      <c r="P134" s="8" t="s">
        <v>49</v>
      </c>
      <c r="Q134" s="8" t="s">
        <v>579</v>
      </c>
      <c r="R134" s="8" t="s">
        <v>51</v>
      </c>
      <c r="S134" s="14">
        <f t="shared" si="12"/>
        <v>60</v>
      </c>
      <c r="T134" s="14">
        <v>60000.0</v>
      </c>
      <c r="U134" s="11" t="s">
        <v>47</v>
      </c>
      <c r="V134" s="11" t="s">
        <v>47</v>
      </c>
      <c r="W134" s="11" t="s">
        <v>47</v>
      </c>
      <c r="X134" s="8" t="s">
        <v>580</v>
      </c>
      <c r="Y134" s="8" t="s">
        <v>73</v>
      </c>
      <c r="Z134" s="11" t="s">
        <v>47</v>
      </c>
      <c r="AA134" s="11" t="s">
        <v>47</v>
      </c>
      <c r="AB134" s="11" t="s">
        <v>47</v>
      </c>
      <c r="AC134" s="8" t="s">
        <v>54</v>
      </c>
      <c r="AD134" s="8" t="s">
        <v>54</v>
      </c>
      <c r="AE134" s="8" t="s">
        <v>54</v>
      </c>
      <c r="AF134" s="8" t="s">
        <v>54</v>
      </c>
      <c r="AG134" s="15">
        <v>2000.0</v>
      </c>
      <c r="AH134" s="15">
        <v>9600.0</v>
      </c>
      <c r="AI134" s="15">
        <v>75000.0</v>
      </c>
      <c r="AJ134" s="15">
        <v>75750.0</v>
      </c>
      <c r="AK134" s="11" t="s">
        <v>47</v>
      </c>
      <c r="AL134" s="15">
        <v>100000.0</v>
      </c>
      <c r="AM134" s="15">
        <v>50000.0</v>
      </c>
      <c r="AN134" s="15">
        <v>466459.0</v>
      </c>
      <c r="AO134" s="15">
        <v>123350.0</v>
      </c>
      <c r="AP134" s="16">
        <f t="shared" si="2"/>
        <v>343109</v>
      </c>
      <c r="AQ134" s="15" t="s">
        <v>54</v>
      </c>
      <c r="AR134" s="31">
        <v>0.6</v>
      </c>
    </row>
    <row r="135">
      <c r="A135" s="8" t="s">
        <v>581</v>
      </c>
      <c r="B135" s="9">
        <v>112.0</v>
      </c>
      <c r="C135" s="10">
        <v>45761.0</v>
      </c>
      <c r="D135" s="8" t="str">
        <f t="shared" si="1"/>
        <v>嘉義</v>
      </c>
      <c r="E135" s="8" t="s">
        <v>582</v>
      </c>
      <c r="F135" s="8" t="s">
        <v>186</v>
      </c>
      <c r="G135" s="9">
        <v>3.0</v>
      </c>
      <c r="H135" s="11" t="s">
        <v>47</v>
      </c>
      <c r="I135" s="11" t="s">
        <v>47</v>
      </c>
      <c r="J135" s="11" t="s">
        <v>47</v>
      </c>
      <c r="K135" s="15">
        <v>374349.0</v>
      </c>
      <c r="L135" s="15">
        <v>374349.0</v>
      </c>
      <c r="M135" s="13" t="s">
        <v>47</v>
      </c>
      <c r="N135" s="8" t="s">
        <v>48</v>
      </c>
      <c r="O135" s="8" t="s">
        <v>48</v>
      </c>
      <c r="P135" s="8" t="s">
        <v>49</v>
      </c>
      <c r="Q135" s="8" t="s">
        <v>583</v>
      </c>
      <c r="R135" s="8" t="s">
        <v>51</v>
      </c>
      <c r="S135" s="14">
        <f t="shared" si="12"/>
        <v>90</v>
      </c>
      <c r="T135" s="14">
        <v>90000.0</v>
      </c>
      <c r="U135" s="11" t="s">
        <v>47</v>
      </c>
      <c r="V135" s="11" t="s">
        <v>47</v>
      </c>
      <c r="W135" s="11" t="s">
        <v>47</v>
      </c>
      <c r="X135" s="8" t="s">
        <v>105</v>
      </c>
      <c r="Y135" s="8" t="s">
        <v>73</v>
      </c>
      <c r="Z135" s="8" t="s">
        <v>54</v>
      </c>
      <c r="AA135" s="8" t="s">
        <v>70</v>
      </c>
      <c r="AB135" s="8" t="s">
        <v>56</v>
      </c>
      <c r="AC135" s="8" t="s">
        <v>54</v>
      </c>
      <c r="AD135" s="11" t="s">
        <v>47</v>
      </c>
      <c r="AE135" s="8" t="s">
        <v>54</v>
      </c>
      <c r="AF135" s="11" t="s">
        <v>47</v>
      </c>
      <c r="AG135" s="15">
        <v>11375.0</v>
      </c>
      <c r="AH135" s="15">
        <v>45500.0</v>
      </c>
      <c r="AI135" s="15">
        <v>1000.0</v>
      </c>
      <c r="AJ135" s="15">
        <v>144000.0</v>
      </c>
      <c r="AK135" s="11" t="s">
        <v>47</v>
      </c>
      <c r="AL135" s="15">
        <v>100000.0</v>
      </c>
      <c r="AM135" s="15">
        <v>100000.0</v>
      </c>
      <c r="AN135" s="15">
        <v>819724.0</v>
      </c>
      <c r="AO135" s="15">
        <v>471664.0</v>
      </c>
      <c r="AP135" s="16">
        <f t="shared" si="2"/>
        <v>348060</v>
      </c>
      <c r="AQ135" s="15" t="s">
        <v>54</v>
      </c>
      <c r="AR135" s="31">
        <v>0.3</v>
      </c>
    </row>
    <row r="136">
      <c r="A136" s="8" t="s">
        <v>584</v>
      </c>
      <c r="B136" s="9">
        <v>112.0</v>
      </c>
      <c r="C136" s="10">
        <v>45885.0</v>
      </c>
      <c r="D136" s="8" t="str">
        <f t="shared" si="1"/>
        <v>高雄</v>
      </c>
      <c r="E136" s="8" t="s">
        <v>585</v>
      </c>
      <c r="F136" s="8" t="s">
        <v>70</v>
      </c>
      <c r="G136" s="9">
        <v>3.0</v>
      </c>
      <c r="H136" s="11" t="s">
        <v>47</v>
      </c>
      <c r="I136" s="11" t="s">
        <v>47</v>
      </c>
      <c r="J136" s="11" t="s">
        <v>47</v>
      </c>
      <c r="K136" s="17">
        <v>186208.0</v>
      </c>
      <c r="L136" s="17">
        <v>186208.0</v>
      </c>
      <c r="M136" s="13" t="s">
        <v>47</v>
      </c>
      <c r="N136" s="8" t="s">
        <v>88</v>
      </c>
      <c r="O136" s="8" t="s">
        <v>48</v>
      </c>
      <c r="P136" s="8" t="s">
        <v>49</v>
      </c>
      <c r="Q136" s="8" t="s">
        <v>586</v>
      </c>
      <c r="R136" s="8" t="s">
        <v>51</v>
      </c>
      <c r="S136" s="14">
        <f t="shared" si="12"/>
        <v>150</v>
      </c>
      <c r="T136" s="14">
        <v>150000.0</v>
      </c>
      <c r="U136" s="11" t="s">
        <v>47</v>
      </c>
      <c r="V136" s="8" t="s">
        <v>90</v>
      </c>
      <c r="W136" s="11" t="s">
        <v>47</v>
      </c>
      <c r="X136" s="8" t="s">
        <v>587</v>
      </c>
      <c r="Y136" s="8" t="s">
        <v>53</v>
      </c>
      <c r="Z136" s="8" t="s">
        <v>54</v>
      </c>
      <c r="AA136" s="20" t="s">
        <v>74</v>
      </c>
      <c r="AB136" s="20" t="s">
        <v>74</v>
      </c>
      <c r="AC136" s="8" t="s">
        <v>54</v>
      </c>
      <c r="AD136" s="8" t="s">
        <v>54</v>
      </c>
      <c r="AE136" s="8" t="s">
        <v>54</v>
      </c>
      <c r="AF136" s="8" t="s">
        <v>54</v>
      </c>
      <c r="AG136" s="15">
        <v>0.0</v>
      </c>
      <c r="AH136" s="15">
        <v>0.0</v>
      </c>
      <c r="AI136" s="15">
        <f>216000+6800</f>
        <v>222800</v>
      </c>
      <c r="AJ136" s="15">
        <v>0.0</v>
      </c>
      <c r="AK136" s="11" t="s">
        <v>47</v>
      </c>
      <c r="AL136" s="20" t="s">
        <v>170</v>
      </c>
      <c r="AM136" s="15">
        <v>100000.0</v>
      </c>
      <c r="AN136" s="15">
        <v>510988.0</v>
      </c>
      <c r="AO136" s="15">
        <v>149426.0</v>
      </c>
      <c r="AP136" s="16">
        <f t="shared" si="2"/>
        <v>361562</v>
      </c>
      <c r="AQ136" s="15" t="s">
        <v>54</v>
      </c>
      <c r="AR136" s="31">
        <v>0.3</v>
      </c>
    </row>
    <row r="137">
      <c r="A137" s="8" t="s">
        <v>588</v>
      </c>
      <c r="B137" s="9">
        <v>112.0</v>
      </c>
      <c r="C137" s="10">
        <v>45787.0</v>
      </c>
      <c r="D137" s="8" t="str">
        <f t="shared" si="1"/>
        <v>屏東</v>
      </c>
      <c r="E137" s="8" t="s">
        <v>589</v>
      </c>
      <c r="F137" s="8" t="s">
        <v>70</v>
      </c>
      <c r="G137" s="9">
        <v>3.0</v>
      </c>
      <c r="H137" s="11" t="s">
        <v>47</v>
      </c>
      <c r="I137" s="11" t="s">
        <v>47</v>
      </c>
      <c r="J137" s="11" t="s">
        <v>47</v>
      </c>
      <c r="K137" s="17">
        <v>22999.0</v>
      </c>
      <c r="L137" s="17">
        <v>23388.0</v>
      </c>
      <c r="M137" s="13" t="s">
        <v>47</v>
      </c>
      <c r="N137" s="8" t="s">
        <v>88</v>
      </c>
      <c r="O137" s="8" t="s">
        <v>48</v>
      </c>
      <c r="P137" s="8" t="s">
        <v>49</v>
      </c>
      <c r="Q137" s="8" t="s">
        <v>590</v>
      </c>
      <c r="R137" s="8"/>
      <c r="S137" s="14">
        <v>50.0</v>
      </c>
      <c r="T137" s="14">
        <v>50000.0</v>
      </c>
      <c r="U137" s="11" t="s">
        <v>47</v>
      </c>
      <c r="V137" s="11" t="s">
        <v>47</v>
      </c>
      <c r="W137" s="11" t="s">
        <v>47</v>
      </c>
      <c r="X137" s="8" t="s">
        <v>591</v>
      </c>
      <c r="Y137" s="8" t="s">
        <v>73</v>
      </c>
      <c r="Z137" s="8" t="s">
        <v>54</v>
      </c>
      <c r="AA137" s="8" t="s">
        <v>70</v>
      </c>
      <c r="AB137" s="8" t="s">
        <v>56</v>
      </c>
      <c r="AC137" s="8" t="s">
        <v>54</v>
      </c>
      <c r="AD137" s="8" t="s">
        <v>54</v>
      </c>
      <c r="AE137" s="8" t="s">
        <v>54</v>
      </c>
      <c r="AF137" s="8" t="s">
        <v>54</v>
      </c>
      <c r="AG137" s="15">
        <v>41100.0</v>
      </c>
      <c r="AH137" s="15">
        <v>54800.0</v>
      </c>
      <c r="AI137" s="9">
        <v>0.0</v>
      </c>
      <c r="AJ137" s="15">
        <v>137400.0</v>
      </c>
      <c r="AK137" s="11" t="s">
        <v>47</v>
      </c>
      <c r="AL137" s="15">
        <v>2450000.0</v>
      </c>
      <c r="AM137" s="15">
        <v>300000.0</v>
      </c>
      <c r="AN137" s="15">
        <v>501499.0</v>
      </c>
      <c r="AO137" s="15">
        <v>120149.0</v>
      </c>
      <c r="AP137" s="16">
        <f t="shared" si="2"/>
        <v>381350</v>
      </c>
      <c r="AQ137" s="15" t="s">
        <v>54</v>
      </c>
      <c r="AR137" s="31">
        <v>0.7</v>
      </c>
    </row>
    <row r="138" hidden="1">
      <c r="A138" s="8" t="s">
        <v>592</v>
      </c>
      <c r="B138" s="9">
        <v>112.0</v>
      </c>
      <c r="C138" s="9"/>
      <c r="D138" s="8" t="str">
        <f t="shared" si="1"/>
        <v>臺北</v>
      </c>
      <c r="E138" s="43" t="s">
        <v>468</v>
      </c>
      <c r="F138" s="43"/>
      <c r="G138" s="18"/>
      <c r="H138" s="36"/>
      <c r="K138" s="12"/>
      <c r="L138" s="12"/>
      <c r="M138" s="18"/>
      <c r="S138" s="14">
        <f t="shared" ref="S138:S145" si="13">T:T/1000</f>
        <v>0</v>
      </c>
      <c r="Z138" s="8" t="s">
        <v>54</v>
      </c>
      <c r="AC138" s="8" t="s">
        <v>54</v>
      </c>
      <c r="AD138" s="8" t="s">
        <v>54</v>
      </c>
      <c r="AE138" s="8" t="s">
        <v>54</v>
      </c>
      <c r="AF138" s="8" t="s">
        <v>54</v>
      </c>
      <c r="AG138" s="17"/>
      <c r="AH138" s="17"/>
      <c r="AI138" s="17"/>
      <c r="AJ138" s="17"/>
      <c r="AL138" s="18"/>
      <c r="AM138" s="15"/>
      <c r="AN138" s="18"/>
      <c r="AO138" s="18"/>
      <c r="AP138" s="19">
        <f t="shared" si="2"/>
        <v>0</v>
      </c>
      <c r="AQ138" s="18"/>
    </row>
    <row r="139">
      <c r="A139" s="8" t="s">
        <v>593</v>
      </c>
      <c r="B139" s="9">
        <v>112.0</v>
      </c>
      <c r="C139" s="10">
        <v>45838.0</v>
      </c>
      <c r="D139" s="8" t="str">
        <f t="shared" si="1"/>
        <v>南投</v>
      </c>
      <c r="E139" s="8" t="s">
        <v>594</v>
      </c>
      <c r="F139" s="8" t="s">
        <v>46</v>
      </c>
      <c r="G139" s="9">
        <v>2.0</v>
      </c>
      <c r="H139" s="11" t="s">
        <v>47</v>
      </c>
      <c r="I139" s="11" t="s">
        <v>47</v>
      </c>
      <c r="J139" s="11" t="s">
        <v>47</v>
      </c>
      <c r="K139" s="17">
        <v>568406.0</v>
      </c>
      <c r="L139" s="17">
        <v>568406.0</v>
      </c>
      <c r="M139" s="13" t="s">
        <v>47</v>
      </c>
      <c r="N139" s="8" t="s">
        <v>88</v>
      </c>
      <c r="O139" s="8" t="s">
        <v>48</v>
      </c>
      <c r="P139" s="8" t="s">
        <v>49</v>
      </c>
      <c r="Q139" s="8" t="s">
        <v>595</v>
      </c>
      <c r="R139" s="8" t="s">
        <v>51</v>
      </c>
      <c r="S139" s="14">
        <f t="shared" si="13"/>
        <v>55</v>
      </c>
      <c r="T139" s="14">
        <v>55000.0</v>
      </c>
      <c r="U139" s="11" t="s">
        <v>47</v>
      </c>
      <c r="V139" s="11" t="s">
        <v>47</v>
      </c>
      <c r="W139" s="11" t="s">
        <v>47</v>
      </c>
      <c r="X139" s="8" t="s">
        <v>596</v>
      </c>
      <c r="Y139" s="8" t="s">
        <v>73</v>
      </c>
      <c r="Z139" s="8" t="s">
        <v>54</v>
      </c>
      <c r="AA139" s="20" t="s">
        <v>74</v>
      </c>
      <c r="AB139" s="20" t="s">
        <v>74</v>
      </c>
      <c r="AC139" s="8" t="s">
        <v>54</v>
      </c>
      <c r="AD139" s="8" t="s">
        <v>54</v>
      </c>
      <c r="AE139" s="8" t="s">
        <v>54</v>
      </c>
      <c r="AF139" s="8" t="s">
        <v>54</v>
      </c>
      <c r="AG139" s="17">
        <v>2708.0</v>
      </c>
      <c r="AH139" s="17">
        <v>27080.0</v>
      </c>
      <c r="AI139" s="17">
        <v>0.0</v>
      </c>
      <c r="AJ139" s="17">
        <v>79114.0</v>
      </c>
      <c r="AK139" s="11" t="s">
        <v>47</v>
      </c>
      <c r="AL139" s="15">
        <v>180000.0</v>
      </c>
      <c r="AM139" s="15">
        <v>180000.0</v>
      </c>
      <c r="AN139" s="15">
        <v>830228.0</v>
      </c>
      <c r="AO139" s="15">
        <v>426967.0</v>
      </c>
      <c r="AP139" s="16">
        <f t="shared" si="2"/>
        <v>403261</v>
      </c>
      <c r="AQ139" s="15" t="s">
        <v>54</v>
      </c>
      <c r="AR139" s="31">
        <v>0.4</v>
      </c>
    </row>
    <row r="140">
      <c r="A140" s="33" t="s">
        <v>597</v>
      </c>
      <c r="B140" s="9">
        <v>112.0</v>
      </c>
      <c r="C140" s="44">
        <v>45887.0</v>
      </c>
      <c r="D140" s="45" t="str">
        <f t="shared" si="1"/>
        <v>士林</v>
      </c>
      <c r="E140" s="25" t="s">
        <v>598</v>
      </c>
      <c r="F140" s="25" t="s">
        <v>56</v>
      </c>
      <c r="G140" s="9">
        <v>3.0</v>
      </c>
      <c r="H140" s="11" t="s">
        <v>47</v>
      </c>
      <c r="I140" s="11" t="s">
        <v>47</v>
      </c>
      <c r="J140" s="11" t="s">
        <v>47</v>
      </c>
      <c r="K140" s="17">
        <v>99227.0</v>
      </c>
      <c r="L140" s="17">
        <v>129866.0</v>
      </c>
      <c r="M140" s="13" t="s">
        <v>47</v>
      </c>
      <c r="N140" s="26" t="s">
        <v>48</v>
      </c>
      <c r="O140" s="26" t="s">
        <v>48</v>
      </c>
      <c r="P140" s="8" t="s">
        <v>49</v>
      </c>
      <c r="Q140" s="25" t="s">
        <v>599</v>
      </c>
      <c r="R140" s="8" t="s">
        <v>51</v>
      </c>
      <c r="S140" s="14">
        <f t="shared" si="13"/>
        <v>90</v>
      </c>
      <c r="T140" s="14">
        <v>90000.0</v>
      </c>
      <c r="U140" s="26" t="s">
        <v>47</v>
      </c>
      <c r="V140" s="26" t="s">
        <v>47</v>
      </c>
      <c r="W140" s="26" t="s">
        <v>47</v>
      </c>
      <c r="X140" s="26" t="s">
        <v>600</v>
      </c>
      <c r="Y140" s="26" t="s">
        <v>73</v>
      </c>
      <c r="Z140" s="8" t="s">
        <v>54</v>
      </c>
      <c r="AA140" s="8" t="s">
        <v>70</v>
      </c>
      <c r="AB140" s="8" t="s">
        <v>55</v>
      </c>
      <c r="AC140" s="8" t="s">
        <v>54</v>
      </c>
      <c r="AD140" s="8" t="s">
        <v>54</v>
      </c>
      <c r="AE140" s="8" t="s">
        <v>54</v>
      </c>
      <c r="AF140" s="8" t="s">
        <v>54</v>
      </c>
      <c r="AG140" s="17">
        <v>0.0</v>
      </c>
      <c r="AH140" s="17">
        <v>0.0</v>
      </c>
      <c r="AI140" s="17">
        <f>2715+24200</f>
        <v>26915</v>
      </c>
      <c r="AJ140" s="17">
        <f>468000+1202983+1600</f>
        <v>1672583</v>
      </c>
      <c r="AK140" s="26" t="s">
        <v>47</v>
      </c>
      <c r="AL140" s="27">
        <v>300000.0</v>
      </c>
      <c r="AM140" s="15">
        <v>100000.0</v>
      </c>
      <c r="AN140" s="15">
        <f>99227+2715+774+468000+1600+24200+1202983+100000</f>
        <v>1899499</v>
      </c>
      <c r="AO140" s="15">
        <v>1329649.0</v>
      </c>
      <c r="AP140" s="16">
        <f t="shared" si="2"/>
        <v>569850</v>
      </c>
      <c r="AQ140" s="15" t="s">
        <v>54</v>
      </c>
      <c r="AR140" s="31">
        <v>0.3</v>
      </c>
    </row>
    <row r="141" hidden="1">
      <c r="A141" s="8" t="s">
        <v>601</v>
      </c>
      <c r="B141" s="9">
        <v>112.0</v>
      </c>
      <c r="C141" s="9"/>
      <c r="D141" s="8" t="str">
        <f t="shared" si="1"/>
        <v>臺北</v>
      </c>
      <c r="E141" s="43" t="s">
        <v>468</v>
      </c>
      <c r="F141" s="43"/>
      <c r="G141" s="18"/>
      <c r="H141" s="36"/>
      <c r="K141" s="12"/>
      <c r="L141" s="12"/>
      <c r="M141" s="18"/>
      <c r="S141" s="14">
        <f t="shared" si="13"/>
        <v>0</v>
      </c>
      <c r="Z141" s="8" t="s">
        <v>54</v>
      </c>
      <c r="AC141" s="8" t="s">
        <v>54</v>
      </c>
      <c r="AD141" s="8" t="s">
        <v>54</v>
      </c>
      <c r="AE141" s="8" t="s">
        <v>54</v>
      </c>
      <c r="AF141" s="8" t="s">
        <v>54</v>
      </c>
      <c r="AG141" s="17"/>
      <c r="AH141" s="17"/>
      <c r="AI141" s="17"/>
      <c r="AJ141" s="17"/>
      <c r="AL141" s="18"/>
      <c r="AM141" s="15"/>
      <c r="AN141" s="18"/>
      <c r="AO141" s="18"/>
      <c r="AP141" s="19">
        <f t="shared" si="2"/>
        <v>0</v>
      </c>
      <c r="AQ141" s="18"/>
    </row>
    <row r="142">
      <c r="A142" s="8" t="s">
        <v>406</v>
      </c>
      <c r="B142" s="9">
        <v>112.0</v>
      </c>
      <c r="C142" s="10">
        <v>45898.0</v>
      </c>
      <c r="D142" s="8" t="str">
        <f t="shared" si="1"/>
        <v>新北</v>
      </c>
      <c r="E142" s="8" t="s">
        <v>602</v>
      </c>
      <c r="F142" s="8" t="s">
        <v>46</v>
      </c>
      <c r="G142" s="9">
        <v>2.0</v>
      </c>
      <c r="H142" s="11" t="s">
        <v>47</v>
      </c>
      <c r="I142" s="11" t="s">
        <v>47</v>
      </c>
      <c r="J142" s="11" t="s">
        <v>47</v>
      </c>
      <c r="K142" s="12">
        <v>0.0</v>
      </c>
      <c r="L142" s="12">
        <v>0.0</v>
      </c>
      <c r="M142" s="9" t="s">
        <v>427</v>
      </c>
      <c r="N142" s="8" t="s">
        <v>88</v>
      </c>
      <c r="O142" s="8" t="s">
        <v>48</v>
      </c>
      <c r="P142" s="8" t="s">
        <v>49</v>
      </c>
      <c r="Q142" s="8" t="s">
        <v>603</v>
      </c>
      <c r="R142" s="8" t="s">
        <v>51</v>
      </c>
      <c r="S142" s="14">
        <f t="shared" si="13"/>
        <v>150</v>
      </c>
      <c r="T142" s="14">
        <v>150000.0</v>
      </c>
      <c r="U142" s="11" t="s">
        <v>47</v>
      </c>
      <c r="V142" s="11" t="s">
        <v>47</v>
      </c>
      <c r="W142" s="11" t="s">
        <v>47</v>
      </c>
      <c r="X142" s="8" t="s">
        <v>438</v>
      </c>
      <c r="Y142" s="8" t="s">
        <v>56</v>
      </c>
      <c r="Z142" s="8" t="s">
        <v>54</v>
      </c>
      <c r="AA142" s="20" t="s">
        <v>74</v>
      </c>
      <c r="AB142" s="20" t="s">
        <v>74</v>
      </c>
      <c r="AC142" s="8" t="s">
        <v>54</v>
      </c>
      <c r="AD142" s="8" t="s">
        <v>54</v>
      </c>
      <c r="AE142" s="8" t="s">
        <v>54</v>
      </c>
      <c r="AF142" s="8" t="s">
        <v>54</v>
      </c>
      <c r="AG142" s="17">
        <v>7750.0</v>
      </c>
      <c r="AH142" s="17">
        <v>7750.0</v>
      </c>
      <c r="AI142" s="17">
        <v>0.0</v>
      </c>
      <c r="AJ142" s="17">
        <f>33300+582260</f>
        <v>615560</v>
      </c>
      <c r="AK142" s="11" t="s">
        <v>47</v>
      </c>
      <c r="AL142" s="15">
        <v>2000000.0</v>
      </c>
      <c r="AM142" s="15">
        <v>600000.0</v>
      </c>
      <c r="AN142" s="15">
        <v>1288603.0</v>
      </c>
      <c r="AO142" s="15">
        <v>644302.0</v>
      </c>
      <c r="AP142" s="16">
        <f t="shared" si="2"/>
        <v>644301</v>
      </c>
      <c r="AQ142" s="15" t="s">
        <v>54</v>
      </c>
      <c r="AR142" s="31">
        <v>0.5</v>
      </c>
    </row>
    <row r="143" hidden="1">
      <c r="A143" s="23" t="s">
        <v>604</v>
      </c>
      <c r="B143" s="9">
        <v>112.0</v>
      </c>
      <c r="C143" s="34"/>
      <c r="D143" s="23" t="str">
        <f t="shared" si="1"/>
        <v>臺北</v>
      </c>
      <c r="E143" s="43" t="s">
        <v>500</v>
      </c>
      <c r="F143" s="43"/>
      <c r="G143" s="18"/>
      <c r="H143" s="11" t="s">
        <v>47</v>
      </c>
      <c r="K143" s="12"/>
      <c r="L143" s="12"/>
      <c r="M143" s="18"/>
      <c r="S143" s="14">
        <f t="shared" si="13"/>
        <v>0</v>
      </c>
      <c r="Z143" s="8" t="s">
        <v>54</v>
      </c>
      <c r="AC143" s="8" t="s">
        <v>54</v>
      </c>
      <c r="AD143" s="8" t="s">
        <v>54</v>
      </c>
      <c r="AE143" s="8" t="s">
        <v>54</v>
      </c>
      <c r="AF143" s="8" t="s">
        <v>54</v>
      </c>
      <c r="AG143" s="17"/>
      <c r="AH143" s="17"/>
      <c r="AI143" s="17"/>
      <c r="AJ143" s="17"/>
      <c r="AL143" s="18"/>
      <c r="AM143" s="15"/>
      <c r="AN143" s="18"/>
      <c r="AO143" s="18"/>
      <c r="AP143" s="19">
        <f t="shared" si="2"/>
        <v>0</v>
      </c>
      <c r="AQ143" s="18"/>
    </row>
    <row r="144" hidden="1">
      <c r="A144" s="8" t="s">
        <v>605</v>
      </c>
      <c r="B144" s="9">
        <v>112.0</v>
      </c>
      <c r="C144" s="9"/>
      <c r="D144" s="8" t="str">
        <f t="shared" si="1"/>
        <v>桃園</v>
      </c>
      <c r="E144" s="43" t="s">
        <v>468</v>
      </c>
      <c r="F144" s="43"/>
      <c r="G144" s="18"/>
      <c r="H144" s="36"/>
      <c r="K144" s="12"/>
      <c r="L144" s="12"/>
      <c r="M144" s="18"/>
      <c r="S144" s="14">
        <f t="shared" si="13"/>
        <v>0</v>
      </c>
      <c r="Z144" s="8" t="s">
        <v>54</v>
      </c>
      <c r="AC144" s="8" t="s">
        <v>54</v>
      </c>
      <c r="AD144" s="8" t="s">
        <v>54</v>
      </c>
      <c r="AE144" s="8" t="s">
        <v>54</v>
      </c>
      <c r="AF144" s="8" t="s">
        <v>54</v>
      </c>
      <c r="AG144" s="17"/>
      <c r="AH144" s="17"/>
      <c r="AI144" s="17"/>
      <c r="AJ144" s="17"/>
      <c r="AL144" s="18"/>
      <c r="AM144" s="15"/>
      <c r="AN144" s="18"/>
      <c r="AO144" s="18"/>
      <c r="AP144" s="19">
        <f t="shared" si="2"/>
        <v>0</v>
      </c>
      <c r="AQ144" s="18"/>
    </row>
    <row r="145" hidden="1">
      <c r="A145" s="8" t="s">
        <v>606</v>
      </c>
      <c r="B145" s="9">
        <v>112.0</v>
      </c>
      <c r="C145" s="9"/>
      <c r="D145" s="8" t="str">
        <f t="shared" si="1"/>
        <v>桃園</v>
      </c>
      <c r="E145" s="43" t="s">
        <v>607</v>
      </c>
      <c r="F145" s="43"/>
      <c r="G145" s="18"/>
      <c r="H145" s="11" t="s">
        <v>47</v>
      </c>
      <c r="K145" s="12"/>
      <c r="L145" s="12"/>
      <c r="M145" s="18"/>
      <c r="S145" s="14">
        <f t="shared" si="13"/>
        <v>0</v>
      </c>
      <c r="Z145" s="8" t="s">
        <v>54</v>
      </c>
      <c r="AC145" s="8" t="s">
        <v>54</v>
      </c>
      <c r="AD145" s="8" t="s">
        <v>54</v>
      </c>
      <c r="AE145" s="8" t="s">
        <v>54</v>
      </c>
      <c r="AF145" s="8" t="s">
        <v>54</v>
      </c>
      <c r="AG145" s="17"/>
      <c r="AH145" s="17"/>
      <c r="AI145" s="17"/>
      <c r="AJ145" s="17"/>
      <c r="AL145" s="18"/>
      <c r="AM145" s="15"/>
      <c r="AN145" s="18"/>
      <c r="AO145" s="18"/>
      <c r="AP145" s="19">
        <f t="shared" si="2"/>
        <v>0</v>
      </c>
      <c r="AQ145" s="18"/>
    </row>
    <row r="146">
      <c r="A146" s="8" t="s">
        <v>608</v>
      </c>
      <c r="B146" s="9">
        <v>112.0</v>
      </c>
      <c r="C146" s="10">
        <v>45701.0</v>
      </c>
      <c r="D146" s="8" t="str">
        <f t="shared" si="1"/>
        <v>屏東</v>
      </c>
      <c r="E146" s="8" t="s">
        <v>609</v>
      </c>
      <c r="F146" s="8" t="s">
        <v>124</v>
      </c>
      <c r="G146" s="9">
        <v>2.0</v>
      </c>
      <c r="H146" s="8" t="s">
        <v>610</v>
      </c>
      <c r="I146" s="8" t="s">
        <v>49</v>
      </c>
      <c r="J146" s="11" t="s">
        <v>47</v>
      </c>
      <c r="K146" s="9">
        <v>0.0</v>
      </c>
      <c r="L146" s="15">
        <v>100000.0</v>
      </c>
      <c r="M146" s="13" t="s">
        <v>47</v>
      </c>
      <c r="N146" s="8" t="s">
        <v>88</v>
      </c>
      <c r="O146" s="8" t="s">
        <v>48</v>
      </c>
      <c r="P146" s="8" t="s">
        <v>49</v>
      </c>
      <c r="Q146" s="8" t="s">
        <v>611</v>
      </c>
      <c r="R146" s="8"/>
      <c r="S146" s="14">
        <v>120.0</v>
      </c>
      <c r="T146" s="14">
        <v>120000.0</v>
      </c>
      <c r="U146" s="19" t="s">
        <v>612</v>
      </c>
      <c r="V146" s="11" t="s">
        <v>47</v>
      </c>
      <c r="W146" s="11" t="s">
        <v>47</v>
      </c>
      <c r="X146" s="8" t="s">
        <v>105</v>
      </c>
      <c r="Y146" s="8" t="s">
        <v>73</v>
      </c>
      <c r="Z146" s="8" t="s">
        <v>54</v>
      </c>
      <c r="AA146" s="8" t="s">
        <v>56</v>
      </c>
      <c r="AB146" s="8" t="s">
        <v>55</v>
      </c>
      <c r="AC146" s="8" t="s">
        <v>54</v>
      </c>
      <c r="AD146" s="8" t="s">
        <v>54</v>
      </c>
      <c r="AE146" s="8" t="s">
        <v>54</v>
      </c>
      <c r="AF146" s="8" t="s">
        <v>54</v>
      </c>
      <c r="AG146" s="15">
        <v>78000.0</v>
      </c>
      <c r="AH146" s="15">
        <v>78000.0</v>
      </c>
      <c r="AI146" s="15">
        <v>132000.0</v>
      </c>
      <c r="AJ146" s="15">
        <v>264000.0</v>
      </c>
      <c r="AK146" s="11" t="s">
        <v>47</v>
      </c>
      <c r="AL146" s="15">
        <v>1200000.0</v>
      </c>
      <c r="AM146" s="15">
        <v>800000.0</v>
      </c>
      <c r="AN146" s="15">
        <v>1274000.0</v>
      </c>
      <c r="AO146" s="15">
        <v>417295.0</v>
      </c>
      <c r="AP146" s="16">
        <f t="shared" si="2"/>
        <v>856705</v>
      </c>
      <c r="AQ146" s="15" t="s">
        <v>54</v>
      </c>
      <c r="AR146" s="31">
        <v>0.3</v>
      </c>
    </row>
    <row r="147">
      <c r="A147" s="23" t="s">
        <v>613</v>
      </c>
      <c r="B147" s="9">
        <v>112.0</v>
      </c>
      <c r="C147" s="24">
        <v>45852.0</v>
      </c>
      <c r="D147" s="23" t="str">
        <f t="shared" si="1"/>
        <v>臺南</v>
      </c>
      <c r="E147" s="23" t="s">
        <v>614</v>
      </c>
      <c r="F147" s="25" t="s">
        <v>70</v>
      </c>
      <c r="G147" s="9">
        <v>3.0</v>
      </c>
      <c r="H147" s="26" t="s">
        <v>615</v>
      </c>
      <c r="I147" s="26" t="s">
        <v>49</v>
      </c>
      <c r="J147" s="25" t="s">
        <v>616</v>
      </c>
      <c r="K147" s="17">
        <v>141409.0</v>
      </c>
      <c r="L147" s="17">
        <v>141409.0</v>
      </c>
      <c r="M147" s="30" t="s">
        <v>617</v>
      </c>
      <c r="N147" s="26" t="s">
        <v>48</v>
      </c>
      <c r="O147" s="26" t="s">
        <v>48</v>
      </c>
      <c r="P147" s="8" t="s">
        <v>49</v>
      </c>
      <c r="Q147" s="8" t="s">
        <v>618</v>
      </c>
      <c r="R147" s="8" t="s">
        <v>51</v>
      </c>
      <c r="S147" s="14">
        <f t="shared" ref="S147:S150" si="14">T:T/1000</f>
        <v>20</v>
      </c>
      <c r="T147" s="14">
        <v>20000.0</v>
      </c>
      <c r="U147" s="26" t="s">
        <v>47</v>
      </c>
      <c r="V147" s="26" t="s">
        <v>47</v>
      </c>
      <c r="W147" s="26" t="s">
        <v>47</v>
      </c>
      <c r="X147" s="25" t="s">
        <v>619</v>
      </c>
      <c r="Y147" s="25" t="s">
        <v>73</v>
      </c>
      <c r="Z147" s="8" t="s">
        <v>54</v>
      </c>
      <c r="AA147" s="20" t="s">
        <v>74</v>
      </c>
      <c r="AB147" s="20" t="s">
        <v>74</v>
      </c>
      <c r="AC147" s="8" t="s">
        <v>54</v>
      </c>
      <c r="AD147" s="8" t="s">
        <v>54</v>
      </c>
      <c r="AE147" s="8" t="s">
        <v>54</v>
      </c>
      <c r="AF147" s="8" t="s">
        <v>54</v>
      </c>
      <c r="AG147" s="17">
        <v>27600.0</v>
      </c>
      <c r="AH147" s="17">
        <v>27600.0</v>
      </c>
      <c r="AI147" s="17">
        <f>564300+4092</f>
        <v>568392</v>
      </c>
      <c r="AJ147" s="17">
        <v>16000.0</v>
      </c>
      <c r="AK147" s="26" t="s">
        <v>47</v>
      </c>
      <c r="AL147" s="27">
        <v>600000.0</v>
      </c>
      <c r="AM147" s="15">
        <v>500000.0</v>
      </c>
      <c r="AN147" s="27">
        <v>1253401.0</v>
      </c>
      <c r="AO147" s="27">
        <v>269836.0</v>
      </c>
      <c r="AP147" s="16">
        <f t="shared" si="2"/>
        <v>983565</v>
      </c>
      <c r="AQ147" s="15" t="s">
        <v>54</v>
      </c>
      <c r="AR147" s="31">
        <v>0.7</v>
      </c>
    </row>
    <row r="148">
      <c r="A148" s="8" t="s">
        <v>620</v>
      </c>
      <c r="B148" s="9">
        <v>112.0</v>
      </c>
      <c r="C148" s="10">
        <v>45792.0</v>
      </c>
      <c r="D148" s="8" t="str">
        <f t="shared" si="1"/>
        <v>南投</v>
      </c>
      <c r="E148" s="8" t="s">
        <v>621</v>
      </c>
      <c r="F148" s="8" t="s">
        <v>56</v>
      </c>
      <c r="G148" s="9">
        <v>2.0</v>
      </c>
      <c r="H148" s="11" t="s">
        <v>47</v>
      </c>
      <c r="I148" s="11" t="s">
        <v>47</v>
      </c>
      <c r="J148" s="11" t="s">
        <v>47</v>
      </c>
      <c r="K148" s="17">
        <v>604320.0</v>
      </c>
      <c r="L148" s="17">
        <v>604320.0</v>
      </c>
      <c r="M148" s="13" t="s">
        <v>47</v>
      </c>
      <c r="N148" s="8" t="s">
        <v>48</v>
      </c>
      <c r="O148" s="8" t="s">
        <v>48</v>
      </c>
      <c r="P148" s="8" t="s">
        <v>49</v>
      </c>
      <c r="Q148" s="8" t="s">
        <v>622</v>
      </c>
      <c r="R148" s="8" t="s">
        <v>51</v>
      </c>
      <c r="S148" s="14">
        <f t="shared" si="14"/>
        <v>30</v>
      </c>
      <c r="T148" s="14">
        <v>30000.0</v>
      </c>
      <c r="U148" s="11" t="s">
        <v>47</v>
      </c>
      <c r="V148" s="11" t="s">
        <v>47</v>
      </c>
      <c r="W148" s="11" t="s">
        <v>47</v>
      </c>
      <c r="X148" s="8" t="s">
        <v>623</v>
      </c>
      <c r="Y148" s="8" t="s">
        <v>73</v>
      </c>
      <c r="Z148" s="8" t="s">
        <v>54</v>
      </c>
      <c r="AA148" s="8" t="s">
        <v>55</v>
      </c>
      <c r="AB148" s="8" t="s">
        <v>56</v>
      </c>
      <c r="AC148" s="8" t="s">
        <v>54</v>
      </c>
      <c r="AD148" s="11" t="s">
        <v>47</v>
      </c>
      <c r="AE148" s="8" t="s">
        <v>54</v>
      </c>
      <c r="AF148" s="11" t="s">
        <v>47</v>
      </c>
      <c r="AG148" s="17">
        <v>500.0</v>
      </c>
      <c r="AH148" s="17">
        <v>5000.0</v>
      </c>
      <c r="AI148" s="17">
        <f>1800+22000</f>
        <v>23800</v>
      </c>
      <c r="AJ148" s="17">
        <v>2369655.0</v>
      </c>
      <c r="AK148" s="11" t="s">
        <v>47</v>
      </c>
      <c r="AL148" s="15">
        <v>1180000.0</v>
      </c>
      <c r="AM148" s="15">
        <v>200000.0</v>
      </c>
      <c r="AN148" s="15">
        <v>3198275.0</v>
      </c>
      <c r="AO148" s="15">
        <v>2143719.0</v>
      </c>
      <c r="AP148" s="16">
        <f t="shared" si="2"/>
        <v>1054556</v>
      </c>
      <c r="AQ148" s="15" t="s">
        <v>54</v>
      </c>
      <c r="AR148" s="31">
        <v>0.3</v>
      </c>
    </row>
    <row r="149">
      <c r="A149" s="23" t="s">
        <v>624</v>
      </c>
      <c r="B149" s="9">
        <v>112.0</v>
      </c>
      <c r="C149" s="24">
        <v>45829.0</v>
      </c>
      <c r="D149" s="23" t="str">
        <f t="shared" si="1"/>
        <v>臺南</v>
      </c>
      <c r="E149" s="23" t="s">
        <v>625</v>
      </c>
      <c r="F149" s="25" t="s">
        <v>46</v>
      </c>
      <c r="G149" s="9">
        <v>2.0</v>
      </c>
      <c r="H149" s="23" t="s">
        <v>626</v>
      </c>
      <c r="I149" s="11" t="s">
        <v>47</v>
      </c>
      <c r="J149" s="11" t="s">
        <v>47</v>
      </c>
      <c r="K149" s="17">
        <v>181251.0</v>
      </c>
      <c r="L149" s="17">
        <v>18251.0</v>
      </c>
      <c r="M149" s="30" t="s">
        <v>627</v>
      </c>
      <c r="N149" s="26" t="s">
        <v>48</v>
      </c>
      <c r="O149" s="26" t="s">
        <v>88</v>
      </c>
      <c r="P149" s="8" t="s">
        <v>49</v>
      </c>
      <c r="Q149" s="8" t="s">
        <v>628</v>
      </c>
      <c r="R149" s="8" t="s">
        <v>51</v>
      </c>
      <c r="S149" s="14">
        <f t="shared" si="14"/>
        <v>120</v>
      </c>
      <c r="T149" s="14">
        <v>120000.0</v>
      </c>
      <c r="U149" s="26" t="s">
        <v>47</v>
      </c>
      <c r="V149" s="26" t="s">
        <v>47</v>
      </c>
      <c r="W149" s="26" t="s">
        <v>47</v>
      </c>
      <c r="X149" s="25" t="s">
        <v>629</v>
      </c>
      <c r="Y149" s="25" t="s">
        <v>53</v>
      </c>
      <c r="Z149" s="8" t="s">
        <v>54</v>
      </c>
      <c r="AA149" s="8" t="s">
        <v>55</v>
      </c>
      <c r="AB149" s="8" t="s">
        <v>55</v>
      </c>
      <c r="AC149" s="8" t="s">
        <v>54</v>
      </c>
      <c r="AD149" s="8" t="s">
        <v>54</v>
      </c>
      <c r="AE149" s="8" t="s">
        <v>54</v>
      </c>
      <c r="AF149" s="8" t="s">
        <v>54</v>
      </c>
      <c r="AG149" s="17">
        <v>0.0</v>
      </c>
      <c r="AH149" s="17">
        <v>0.0</v>
      </c>
      <c r="AI149" s="17">
        <v>730000.0</v>
      </c>
      <c r="AJ149" s="17">
        <v>3383245.0</v>
      </c>
      <c r="AK149" s="26" t="s">
        <v>47</v>
      </c>
      <c r="AL149" s="15">
        <v>300000.0</v>
      </c>
      <c r="AM149" s="15">
        <v>300000.0</v>
      </c>
      <c r="AN149" s="27">
        <v>1775998.0</v>
      </c>
      <c r="AO149" s="27">
        <v>35998.0</v>
      </c>
      <c r="AP149" s="16">
        <f t="shared" si="2"/>
        <v>1740000</v>
      </c>
      <c r="AQ149" s="15" t="s">
        <v>54</v>
      </c>
      <c r="AR149" s="31">
        <v>0.6</v>
      </c>
    </row>
    <row r="150">
      <c r="A150" s="8" t="s">
        <v>630</v>
      </c>
      <c r="B150" s="9">
        <v>112.0</v>
      </c>
      <c r="C150" s="10">
        <v>45897.0</v>
      </c>
      <c r="D150" s="8" t="str">
        <f t="shared" si="1"/>
        <v>南投</v>
      </c>
      <c r="E150" s="8" t="s">
        <v>631</v>
      </c>
      <c r="F150" s="8" t="s">
        <v>46</v>
      </c>
      <c r="G150" s="9">
        <v>1.0</v>
      </c>
      <c r="H150" s="11" t="s">
        <v>47</v>
      </c>
      <c r="I150" s="11" t="s">
        <v>47</v>
      </c>
      <c r="J150" s="11" t="s">
        <v>47</v>
      </c>
      <c r="K150" s="17">
        <v>620885.0</v>
      </c>
      <c r="L150" s="17">
        <v>620885.0</v>
      </c>
      <c r="M150" s="9" t="s">
        <v>632</v>
      </c>
      <c r="N150" s="8" t="s">
        <v>48</v>
      </c>
      <c r="O150" s="8" t="s">
        <v>48</v>
      </c>
      <c r="P150" s="8" t="s">
        <v>49</v>
      </c>
      <c r="Q150" s="8" t="s">
        <v>633</v>
      </c>
      <c r="R150" s="8" t="s">
        <v>634</v>
      </c>
      <c r="S150" s="46">
        <f t="shared" si="14"/>
        <v>300</v>
      </c>
      <c r="T150" s="47">
        <v>300000.0</v>
      </c>
      <c r="U150" s="11" t="s">
        <v>47</v>
      </c>
      <c r="V150" s="11" t="s">
        <v>47</v>
      </c>
      <c r="W150" s="11" t="s">
        <v>47</v>
      </c>
      <c r="X150" s="8" t="s">
        <v>635</v>
      </c>
      <c r="Y150" s="8" t="s">
        <v>73</v>
      </c>
      <c r="Z150" s="8" t="s">
        <v>54</v>
      </c>
      <c r="AA150" s="8" t="s">
        <v>55</v>
      </c>
      <c r="AB150" s="8" t="s">
        <v>55</v>
      </c>
      <c r="AC150" s="8" t="s">
        <v>54</v>
      </c>
      <c r="AD150" s="11" t="s">
        <v>47</v>
      </c>
      <c r="AE150" s="8" t="s">
        <v>54</v>
      </c>
      <c r="AF150" s="11" t="s">
        <v>47</v>
      </c>
      <c r="AG150" s="17">
        <v>0.0</v>
      </c>
      <c r="AH150" s="17">
        <v>0.0</v>
      </c>
      <c r="AI150" s="17">
        <f>123341+6845874+644000</f>
        <v>7613215</v>
      </c>
      <c r="AJ150" s="17">
        <v>1.3358093E7</v>
      </c>
      <c r="AK150" s="11" t="s">
        <v>47</v>
      </c>
      <c r="AL150" s="15">
        <v>5000000.0</v>
      </c>
      <c r="AM150" s="15">
        <v>1000000.0</v>
      </c>
      <c r="AN150" s="15">
        <v>2.4447197E7</v>
      </c>
      <c r="AO150" s="15">
        <v>1.7389108E7</v>
      </c>
      <c r="AP150" s="16">
        <f t="shared" si="2"/>
        <v>7058089</v>
      </c>
      <c r="AQ150" s="15" t="s">
        <v>47</v>
      </c>
      <c r="AR150" s="15" t="s">
        <v>47</v>
      </c>
    </row>
    <row r="151">
      <c r="B151" s="18"/>
      <c r="C151" s="18"/>
      <c r="G151" s="18"/>
      <c r="K151" s="18"/>
      <c r="L151" s="18"/>
      <c r="M151" s="18"/>
      <c r="AG151" s="18"/>
      <c r="AH151" s="18"/>
      <c r="AI151" s="18"/>
      <c r="AJ151" s="18"/>
      <c r="AL151" s="18"/>
      <c r="AM151" s="18"/>
      <c r="AN151" s="18"/>
      <c r="AO151" s="18"/>
      <c r="AQ151" s="18"/>
    </row>
    <row r="152">
      <c r="B152" s="18"/>
      <c r="C152" s="18"/>
      <c r="G152" s="18"/>
      <c r="K152" s="18"/>
      <c r="L152" s="18"/>
      <c r="M152" s="18"/>
      <c r="AG152" s="18"/>
      <c r="AH152" s="18"/>
      <c r="AI152" s="18"/>
      <c r="AJ152" s="18"/>
      <c r="AL152" s="18"/>
      <c r="AM152" s="18"/>
      <c r="AN152" s="18"/>
      <c r="AO152" s="18"/>
      <c r="AQ152" s="18"/>
    </row>
    <row r="153">
      <c r="B153" s="18"/>
      <c r="C153" s="18"/>
      <c r="G153" s="18"/>
      <c r="K153" s="18"/>
      <c r="L153" s="18"/>
      <c r="M153" s="18"/>
      <c r="AG153" s="18"/>
      <c r="AH153" s="18"/>
      <c r="AI153" s="18"/>
      <c r="AJ153" s="18"/>
      <c r="AL153" s="18"/>
      <c r="AM153" s="18"/>
      <c r="AN153" s="18"/>
      <c r="AO153" s="18"/>
      <c r="AQ153" s="18"/>
    </row>
    <row r="154">
      <c r="B154" s="18"/>
      <c r="C154" s="18"/>
      <c r="G154" s="18"/>
      <c r="K154" s="18"/>
      <c r="L154" s="18"/>
      <c r="M154" s="18"/>
      <c r="AG154" s="18"/>
      <c r="AH154" s="18"/>
      <c r="AI154" s="18"/>
      <c r="AJ154" s="18"/>
      <c r="AL154" s="18"/>
      <c r="AM154" s="18"/>
      <c r="AN154" s="18"/>
      <c r="AO154" s="18"/>
      <c r="AQ154" s="18"/>
    </row>
    <row r="155">
      <c r="B155" s="18"/>
      <c r="C155" s="18"/>
      <c r="G155" s="18"/>
      <c r="K155" s="18"/>
      <c r="L155" s="18"/>
      <c r="M155" s="18"/>
      <c r="AG155" s="18"/>
      <c r="AH155" s="18"/>
      <c r="AI155" s="18"/>
      <c r="AJ155" s="18"/>
      <c r="AL155" s="18"/>
      <c r="AM155" s="18"/>
      <c r="AN155" s="18"/>
      <c r="AO155" s="18"/>
      <c r="AQ155" s="18"/>
    </row>
    <row r="156">
      <c r="B156" s="18"/>
      <c r="C156" s="18"/>
      <c r="G156" s="18"/>
      <c r="K156" s="18"/>
      <c r="L156" s="18"/>
      <c r="M156" s="18"/>
      <c r="AG156" s="18"/>
      <c r="AH156" s="18"/>
      <c r="AI156" s="18"/>
      <c r="AJ156" s="18"/>
      <c r="AL156" s="18"/>
      <c r="AM156" s="18"/>
      <c r="AN156" s="18"/>
      <c r="AO156" s="18"/>
      <c r="AQ156" s="18"/>
    </row>
    <row r="157">
      <c r="B157" s="18"/>
      <c r="C157" s="18"/>
      <c r="G157" s="18"/>
      <c r="K157" s="18"/>
      <c r="L157" s="18"/>
      <c r="M157" s="18"/>
      <c r="AG157" s="18"/>
      <c r="AH157" s="18"/>
      <c r="AI157" s="18"/>
      <c r="AJ157" s="18"/>
      <c r="AL157" s="18"/>
      <c r="AM157" s="18"/>
      <c r="AN157" s="18"/>
      <c r="AO157" s="18"/>
      <c r="AQ157" s="18"/>
    </row>
    <row r="158">
      <c r="B158" s="18"/>
      <c r="C158" s="18"/>
      <c r="G158" s="18"/>
      <c r="K158" s="18"/>
      <c r="L158" s="18"/>
      <c r="M158" s="18"/>
      <c r="AG158" s="18"/>
      <c r="AH158" s="18"/>
      <c r="AI158" s="18"/>
      <c r="AJ158" s="18"/>
      <c r="AL158" s="18"/>
      <c r="AM158" s="18"/>
      <c r="AN158" s="18"/>
      <c r="AO158" s="18"/>
      <c r="AQ158" s="18"/>
    </row>
    <row r="159">
      <c r="B159" s="18"/>
      <c r="C159" s="18"/>
      <c r="G159" s="18"/>
      <c r="K159" s="18"/>
      <c r="L159" s="18"/>
      <c r="M159" s="18"/>
      <c r="AG159" s="18"/>
      <c r="AH159" s="18"/>
      <c r="AI159" s="18"/>
      <c r="AJ159" s="18"/>
      <c r="AL159" s="18"/>
      <c r="AM159" s="18"/>
      <c r="AN159" s="18"/>
      <c r="AO159" s="18"/>
      <c r="AQ159" s="18"/>
    </row>
    <row r="160">
      <c r="B160" s="18"/>
      <c r="C160" s="18"/>
      <c r="G160" s="18"/>
      <c r="K160" s="18"/>
      <c r="L160" s="18"/>
      <c r="M160" s="18"/>
      <c r="AG160" s="18"/>
      <c r="AH160" s="18"/>
      <c r="AI160" s="18"/>
      <c r="AJ160" s="18"/>
      <c r="AL160" s="18"/>
      <c r="AM160" s="18"/>
      <c r="AN160" s="18"/>
      <c r="AO160" s="18"/>
      <c r="AQ160" s="18"/>
    </row>
    <row r="161">
      <c r="B161" s="18"/>
      <c r="C161" s="18"/>
      <c r="G161" s="18"/>
      <c r="K161" s="18"/>
      <c r="L161" s="18"/>
      <c r="M161" s="18"/>
      <c r="AG161" s="18"/>
      <c r="AH161" s="18"/>
      <c r="AI161" s="18"/>
      <c r="AJ161" s="18"/>
      <c r="AL161" s="18"/>
      <c r="AM161" s="18"/>
      <c r="AN161" s="18"/>
      <c r="AO161" s="18"/>
      <c r="AQ161" s="18"/>
    </row>
    <row r="162">
      <c r="B162" s="18"/>
      <c r="C162" s="18"/>
      <c r="G162" s="18"/>
      <c r="K162" s="18"/>
      <c r="L162" s="18"/>
      <c r="M162" s="18"/>
      <c r="AG162" s="18"/>
      <c r="AH162" s="18"/>
      <c r="AI162" s="18"/>
      <c r="AJ162" s="18"/>
      <c r="AL162" s="18"/>
      <c r="AM162" s="18"/>
      <c r="AN162" s="18"/>
      <c r="AO162" s="18"/>
      <c r="AQ162" s="18"/>
    </row>
    <row r="163">
      <c r="B163" s="18"/>
      <c r="C163" s="18"/>
      <c r="G163" s="18"/>
      <c r="K163" s="18"/>
      <c r="L163" s="18"/>
      <c r="M163" s="18"/>
      <c r="AG163" s="18"/>
      <c r="AH163" s="18"/>
      <c r="AI163" s="18"/>
      <c r="AJ163" s="18"/>
      <c r="AL163" s="18"/>
      <c r="AM163" s="18"/>
      <c r="AN163" s="18"/>
      <c r="AO163" s="18"/>
      <c r="AQ163" s="18"/>
    </row>
    <row r="164">
      <c r="B164" s="18"/>
      <c r="C164" s="18"/>
      <c r="G164" s="18"/>
      <c r="K164" s="18"/>
      <c r="L164" s="18"/>
      <c r="M164" s="18"/>
      <c r="AG164" s="18"/>
      <c r="AH164" s="18"/>
      <c r="AI164" s="18"/>
      <c r="AJ164" s="18"/>
      <c r="AL164" s="18"/>
      <c r="AM164" s="18"/>
      <c r="AN164" s="18"/>
      <c r="AO164" s="18"/>
      <c r="AQ164" s="18"/>
    </row>
    <row r="165">
      <c r="B165" s="18"/>
      <c r="C165" s="18"/>
      <c r="G165" s="18"/>
      <c r="K165" s="18"/>
      <c r="L165" s="18"/>
      <c r="M165" s="18"/>
      <c r="AG165" s="18"/>
      <c r="AH165" s="18"/>
      <c r="AI165" s="18"/>
      <c r="AJ165" s="18"/>
      <c r="AL165" s="18"/>
      <c r="AM165" s="18"/>
      <c r="AN165" s="18"/>
      <c r="AO165" s="18"/>
      <c r="AQ165" s="18"/>
    </row>
    <row r="166">
      <c r="B166" s="18"/>
      <c r="C166" s="18"/>
      <c r="G166" s="18"/>
      <c r="K166" s="18"/>
      <c r="L166" s="18"/>
      <c r="M166" s="18"/>
      <c r="AG166" s="18"/>
      <c r="AH166" s="18"/>
      <c r="AI166" s="18"/>
      <c r="AJ166" s="18"/>
      <c r="AL166" s="18"/>
      <c r="AM166" s="18"/>
      <c r="AN166" s="18"/>
      <c r="AO166" s="18"/>
      <c r="AQ166" s="18"/>
    </row>
    <row r="167">
      <c r="B167" s="18"/>
      <c r="C167" s="18"/>
      <c r="G167" s="18"/>
      <c r="K167" s="18"/>
      <c r="L167" s="18"/>
      <c r="M167" s="18"/>
      <c r="AG167" s="18"/>
      <c r="AH167" s="18"/>
      <c r="AI167" s="18"/>
      <c r="AJ167" s="18"/>
      <c r="AL167" s="18"/>
      <c r="AM167" s="18"/>
      <c r="AN167" s="18"/>
      <c r="AO167" s="18"/>
      <c r="AQ167" s="18"/>
    </row>
    <row r="168">
      <c r="B168" s="18"/>
      <c r="C168" s="18"/>
      <c r="G168" s="18"/>
      <c r="K168" s="18"/>
      <c r="L168" s="18"/>
      <c r="M168" s="18"/>
      <c r="AG168" s="18"/>
      <c r="AH168" s="18"/>
      <c r="AI168" s="18"/>
      <c r="AJ168" s="18"/>
      <c r="AL168" s="18"/>
      <c r="AM168" s="18"/>
      <c r="AN168" s="18"/>
      <c r="AO168" s="18"/>
      <c r="AQ168" s="18"/>
    </row>
    <row r="169">
      <c r="B169" s="18"/>
      <c r="C169" s="18"/>
      <c r="G169" s="18"/>
      <c r="K169" s="18"/>
      <c r="L169" s="18"/>
      <c r="M169" s="18"/>
      <c r="AG169" s="18"/>
      <c r="AH169" s="18"/>
      <c r="AI169" s="18"/>
      <c r="AJ169" s="18"/>
      <c r="AL169" s="18"/>
      <c r="AM169" s="18"/>
      <c r="AN169" s="18"/>
      <c r="AO169" s="18"/>
      <c r="AQ169" s="18"/>
    </row>
    <row r="170">
      <c r="B170" s="18"/>
      <c r="C170" s="18"/>
      <c r="G170" s="18"/>
      <c r="K170" s="18"/>
      <c r="L170" s="18"/>
      <c r="M170" s="18"/>
      <c r="AG170" s="18"/>
      <c r="AH170" s="18"/>
      <c r="AI170" s="18"/>
      <c r="AJ170" s="18"/>
      <c r="AL170" s="18"/>
      <c r="AM170" s="18"/>
      <c r="AN170" s="18"/>
      <c r="AO170" s="18"/>
      <c r="AQ170" s="18"/>
    </row>
    <row r="171">
      <c r="B171" s="18"/>
      <c r="C171" s="18"/>
      <c r="G171" s="18"/>
      <c r="K171" s="18"/>
      <c r="L171" s="18"/>
      <c r="M171" s="18"/>
      <c r="AG171" s="18"/>
      <c r="AH171" s="18"/>
      <c r="AI171" s="18"/>
      <c r="AJ171" s="18"/>
      <c r="AL171" s="18"/>
      <c r="AM171" s="18"/>
      <c r="AN171" s="18"/>
      <c r="AO171" s="18"/>
      <c r="AQ171" s="18"/>
    </row>
    <row r="172">
      <c r="B172" s="18"/>
      <c r="C172" s="18"/>
      <c r="G172" s="18"/>
      <c r="K172" s="18"/>
      <c r="L172" s="18"/>
      <c r="M172" s="18"/>
      <c r="AG172" s="18"/>
      <c r="AH172" s="18"/>
      <c r="AI172" s="18"/>
      <c r="AJ172" s="18"/>
      <c r="AL172" s="18"/>
      <c r="AM172" s="18"/>
      <c r="AN172" s="18"/>
      <c r="AO172" s="18"/>
      <c r="AQ172" s="18"/>
    </row>
    <row r="173">
      <c r="B173" s="18"/>
      <c r="C173" s="18"/>
      <c r="G173" s="18"/>
      <c r="K173" s="18"/>
      <c r="L173" s="18"/>
      <c r="M173" s="18"/>
      <c r="AG173" s="18"/>
      <c r="AH173" s="18"/>
      <c r="AI173" s="18"/>
      <c r="AJ173" s="18"/>
      <c r="AL173" s="18"/>
      <c r="AM173" s="18"/>
      <c r="AN173" s="18"/>
      <c r="AO173" s="18"/>
      <c r="AQ173" s="18"/>
    </row>
    <row r="174">
      <c r="B174" s="18"/>
      <c r="C174" s="18"/>
      <c r="G174" s="18"/>
      <c r="K174" s="18"/>
      <c r="L174" s="18"/>
      <c r="M174" s="18"/>
      <c r="AG174" s="18"/>
      <c r="AH174" s="18"/>
      <c r="AI174" s="18"/>
      <c r="AJ174" s="18"/>
      <c r="AL174" s="18"/>
      <c r="AM174" s="18"/>
      <c r="AN174" s="18"/>
      <c r="AO174" s="18"/>
      <c r="AQ174" s="18"/>
    </row>
    <row r="175">
      <c r="B175" s="18"/>
      <c r="C175" s="18"/>
      <c r="G175" s="18"/>
      <c r="K175" s="18"/>
      <c r="L175" s="18"/>
      <c r="M175" s="18"/>
      <c r="AG175" s="18"/>
      <c r="AH175" s="18"/>
      <c r="AI175" s="18"/>
      <c r="AJ175" s="18"/>
      <c r="AL175" s="18"/>
      <c r="AM175" s="18"/>
      <c r="AN175" s="18"/>
      <c r="AO175" s="18"/>
      <c r="AQ175" s="18"/>
    </row>
    <row r="176">
      <c r="B176" s="18"/>
      <c r="C176" s="18"/>
      <c r="G176" s="18"/>
      <c r="K176" s="18"/>
      <c r="L176" s="18"/>
      <c r="M176" s="18"/>
      <c r="AG176" s="18"/>
      <c r="AH176" s="18"/>
      <c r="AI176" s="18"/>
      <c r="AJ176" s="18"/>
      <c r="AL176" s="18"/>
      <c r="AM176" s="18"/>
      <c r="AN176" s="18"/>
      <c r="AO176" s="18"/>
      <c r="AQ176" s="18"/>
    </row>
    <row r="177">
      <c r="B177" s="18"/>
      <c r="C177" s="18"/>
      <c r="G177" s="18"/>
      <c r="K177" s="18"/>
      <c r="L177" s="18"/>
      <c r="M177" s="18"/>
      <c r="AG177" s="18"/>
      <c r="AH177" s="18"/>
      <c r="AI177" s="18"/>
      <c r="AJ177" s="18"/>
      <c r="AL177" s="18"/>
      <c r="AM177" s="18"/>
      <c r="AN177" s="18"/>
      <c r="AO177" s="18"/>
      <c r="AQ177" s="18"/>
    </row>
    <row r="178">
      <c r="B178" s="18"/>
      <c r="C178" s="18"/>
      <c r="G178" s="18"/>
      <c r="K178" s="18"/>
      <c r="L178" s="18"/>
      <c r="M178" s="18"/>
      <c r="AG178" s="18"/>
      <c r="AH178" s="18"/>
      <c r="AI178" s="18"/>
      <c r="AJ178" s="18"/>
      <c r="AL178" s="18"/>
      <c r="AM178" s="18"/>
      <c r="AN178" s="18"/>
      <c r="AO178" s="18"/>
      <c r="AQ178" s="18"/>
    </row>
    <row r="179">
      <c r="B179" s="18"/>
      <c r="C179" s="18"/>
      <c r="G179" s="18"/>
      <c r="K179" s="18"/>
      <c r="L179" s="18"/>
      <c r="M179" s="18"/>
      <c r="AG179" s="18"/>
      <c r="AH179" s="18"/>
      <c r="AI179" s="18"/>
      <c r="AJ179" s="18"/>
      <c r="AL179" s="18"/>
      <c r="AM179" s="18"/>
      <c r="AN179" s="18"/>
      <c r="AO179" s="18"/>
      <c r="AQ179" s="18"/>
    </row>
    <row r="180">
      <c r="B180" s="18"/>
      <c r="C180" s="18"/>
      <c r="G180" s="18"/>
      <c r="K180" s="18"/>
      <c r="L180" s="18"/>
      <c r="M180" s="18"/>
      <c r="AG180" s="18"/>
      <c r="AH180" s="18"/>
      <c r="AI180" s="18"/>
      <c r="AJ180" s="18"/>
      <c r="AL180" s="18"/>
      <c r="AM180" s="18"/>
      <c r="AN180" s="18"/>
      <c r="AO180" s="18"/>
      <c r="AQ180" s="18"/>
    </row>
    <row r="181">
      <c r="B181" s="18"/>
      <c r="C181" s="18"/>
      <c r="G181" s="18"/>
      <c r="K181" s="18"/>
      <c r="L181" s="18"/>
      <c r="M181" s="18"/>
      <c r="AG181" s="18"/>
      <c r="AH181" s="18"/>
      <c r="AI181" s="18"/>
      <c r="AJ181" s="18"/>
      <c r="AL181" s="18"/>
      <c r="AM181" s="18"/>
      <c r="AN181" s="18"/>
      <c r="AO181" s="18"/>
      <c r="AQ181" s="18"/>
    </row>
    <row r="182">
      <c r="B182" s="18"/>
      <c r="C182" s="18"/>
      <c r="G182" s="18"/>
      <c r="K182" s="18"/>
      <c r="L182" s="18"/>
      <c r="M182" s="18"/>
      <c r="AG182" s="18"/>
      <c r="AH182" s="18"/>
      <c r="AI182" s="18"/>
      <c r="AJ182" s="18"/>
      <c r="AL182" s="18"/>
      <c r="AM182" s="18"/>
      <c r="AN182" s="18"/>
      <c r="AO182" s="18"/>
      <c r="AQ182" s="18"/>
    </row>
    <row r="183">
      <c r="B183" s="18"/>
      <c r="C183" s="18"/>
      <c r="G183" s="18"/>
      <c r="K183" s="18"/>
      <c r="L183" s="18"/>
      <c r="M183" s="18"/>
      <c r="AG183" s="18"/>
      <c r="AH183" s="18"/>
      <c r="AI183" s="18"/>
      <c r="AJ183" s="18"/>
      <c r="AL183" s="18"/>
      <c r="AM183" s="18"/>
      <c r="AN183" s="18"/>
      <c r="AO183" s="18"/>
      <c r="AQ183" s="18"/>
    </row>
    <row r="184">
      <c r="B184" s="18"/>
      <c r="C184" s="18"/>
      <c r="G184" s="18"/>
      <c r="K184" s="18"/>
      <c r="L184" s="18"/>
      <c r="M184" s="18"/>
      <c r="AG184" s="18"/>
      <c r="AH184" s="18"/>
      <c r="AI184" s="18"/>
      <c r="AJ184" s="18"/>
      <c r="AL184" s="18"/>
      <c r="AM184" s="18"/>
      <c r="AN184" s="18"/>
      <c r="AO184" s="18"/>
      <c r="AQ184" s="18"/>
    </row>
    <row r="185">
      <c r="B185" s="18"/>
      <c r="C185" s="18"/>
      <c r="G185" s="18"/>
      <c r="K185" s="18"/>
      <c r="L185" s="18"/>
      <c r="M185" s="18"/>
      <c r="AG185" s="18"/>
      <c r="AH185" s="18"/>
      <c r="AI185" s="18"/>
      <c r="AJ185" s="18"/>
      <c r="AL185" s="18"/>
      <c r="AM185" s="18"/>
      <c r="AN185" s="18"/>
      <c r="AO185" s="18"/>
      <c r="AQ185" s="18"/>
    </row>
    <row r="186">
      <c r="B186" s="18"/>
      <c r="C186" s="18"/>
      <c r="G186" s="18"/>
      <c r="K186" s="18"/>
      <c r="L186" s="18"/>
      <c r="M186" s="18"/>
      <c r="AG186" s="18"/>
      <c r="AH186" s="18"/>
      <c r="AI186" s="18"/>
      <c r="AJ186" s="18"/>
      <c r="AL186" s="18"/>
      <c r="AM186" s="18"/>
      <c r="AN186" s="18"/>
      <c r="AO186" s="18"/>
      <c r="AQ186" s="18"/>
    </row>
    <row r="187">
      <c r="B187" s="18"/>
      <c r="C187" s="18"/>
      <c r="G187" s="18"/>
      <c r="K187" s="18"/>
      <c r="L187" s="18"/>
      <c r="M187" s="18"/>
      <c r="AG187" s="18"/>
      <c r="AH187" s="18"/>
      <c r="AI187" s="18"/>
      <c r="AJ187" s="18"/>
      <c r="AL187" s="18"/>
      <c r="AM187" s="18"/>
      <c r="AN187" s="18"/>
      <c r="AO187" s="18"/>
      <c r="AQ187" s="18"/>
    </row>
    <row r="188">
      <c r="B188" s="18"/>
      <c r="C188" s="18"/>
      <c r="G188" s="18"/>
      <c r="K188" s="18"/>
      <c r="L188" s="18"/>
      <c r="M188" s="18"/>
      <c r="AG188" s="18"/>
      <c r="AH188" s="18"/>
      <c r="AI188" s="18"/>
      <c r="AJ188" s="18"/>
      <c r="AL188" s="18"/>
      <c r="AM188" s="18"/>
      <c r="AN188" s="18"/>
      <c r="AO188" s="18"/>
      <c r="AQ188" s="18"/>
    </row>
    <row r="189">
      <c r="B189" s="18"/>
      <c r="C189" s="18"/>
      <c r="G189" s="18"/>
      <c r="K189" s="18"/>
      <c r="L189" s="18"/>
      <c r="M189" s="18"/>
      <c r="AG189" s="18"/>
      <c r="AH189" s="18"/>
      <c r="AI189" s="18"/>
      <c r="AJ189" s="18"/>
      <c r="AL189" s="18"/>
      <c r="AM189" s="18"/>
      <c r="AN189" s="18"/>
      <c r="AO189" s="18"/>
      <c r="AQ189" s="18"/>
    </row>
    <row r="190">
      <c r="B190" s="18"/>
      <c r="C190" s="18"/>
      <c r="G190" s="18"/>
      <c r="K190" s="18"/>
      <c r="L190" s="18"/>
      <c r="M190" s="18"/>
      <c r="AG190" s="18"/>
      <c r="AH190" s="18"/>
      <c r="AI190" s="18"/>
      <c r="AJ190" s="18"/>
      <c r="AL190" s="18"/>
      <c r="AM190" s="18"/>
      <c r="AN190" s="18"/>
      <c r="AO190" s="18"/>
      <c r="AQ190" s="18"/>
    </row>
    <row r="191">
      <c r="B191" s="18"/>
      <c r="C191" s="18"/>
      <c r="G191" s="18"/>
      <c r="K191" s="18"/>
      <c r="L191" s="18"/>
      <c r="M191" s="18"/>
      <c r="AG191" s="18"/>
      <c r="AH191" s="18"/>
      <c r="AI191" s="18"/>
      <c r="AJ191" s="18"/>
      <c r="AL191" s="18"/>
      <c r="AM191" s="18"/>
      <c r="AN191" s="18"/>
      <c r="AO191" s="18"/>
      <c r="AQ191" s="18"/>
    </row>
    <row r="192">
      <c r="B192" s="18"/>
      <c r="C192" s="18"/>
      <c r="G192" s="18"/>
      <c r="K192" s="18"/>
      <c r="L192" s="18"/>
      <c r="M192" s="18"/>
      <c r="AG192" s="18"/>
      <c r="AH192" s="18"/>
      <c r="AI192" s="18"/>
      <c r="AJ192" s="18"/>
      <c r="AL192" s="18"/>
      <c r="AM192" s="18"/>
      <c r="AN192" s="18"/>
      <c r="AO192" s="18"/>
      <c r="AQ192" s="18"/>
    </row>
    <row r="193">
      <c r="B193" s="18"/>
      <c r="C193" s="18"/>
      <c r="G193" s="18"/>
      <c r="K193" s="18"/>
      <c r="L193" s="18"/>
      <c r="M193" s="18"/>
      <c r="AG193" s="18"/>
      <c r="AH193" s="18"/>
      <c r="AI193" s="18"/>
      <c r="AJ193" s="18"/>
      <c r="AL193" s="18"/>
      <c r="AM193" s="18"/>
      <c r="AN193" s="18"/>
      <c r="AO193" s="18"/>
      <c r="AQ193" s="18"/>
    </row>
    <row r="194">
      <c r="B194" s="18"/>
      <c r="C194" s="18"/>
      <c r="G194" s="18"/>
      <c r="K194" s="18"/>
      <c r="L194" s="18"/>
      <c r="M194" s="18"/>
      <c r="AG194" s="18"/>
      <c r="AH194" s="18"/>
      <c r="AI194" s="18"/>
      <c r="AJ194" s="18"/>
      <c r="AL194" s="18"/>
      <c r="AM194" s="18"/>
      <c r="AN194" s="18"/>
      <c r="AO194" s="18"/>
      <c r="AQ194" s="18"/>
    </row>
    <row r="195">
      <c r="B195" s="18"/>
      <c r="C195" s="18"/>
      <c r="G195" s="18"/>
      <c r="K195" s="18"/>
      <c r="L195" s="18"/>
      <c r="M195" s="18"/>
      <c r="AG195" s="18"/>
      <c r="AH195" s="18"/>
      <c r="AI195" s="18"/>
      <c r="AJ195" s="18"/>
      <c r="AL195" s="18"/>
      <c r="AM195" s="18"/>
      <c r="AN195" s="18"/>
      <c r="AO195" s="18"/>
      <c r="AQ195" s="18"/>
    </row>
    <row r="196">
      <c r="B196" s="18"/>
      <c r="C196" s="18"/>
      <c r="G196" s="18"/>
      <c r="K196" s="18"/>
      <c r="L196" s="18"/>
      <c r="M196" s="18"/>
      <c r="AG196" s="18"/>
      <c r="AH196" s="18"/>
      <c r="AI196" s="18"/>
      <c r="AJ196" s="18"/>
      <c r="AL196" s="18"/>
      <c r="AM196" s="18"/>
      <c r="AN196" s="18"/>
      <c r="AO196" s="18"/>
      <c r="AQ196" s="18"/>
    </row>
    <row r="197">
      <c r="B197" s="18"/>
      <c r="C197" s="18"/>
      <c r="G197" s="18"/>
      <c r="K197" s="18"/>
      <c r="L197" s="18"/>
      <c r="M197" s="18"/>
      <c r="AG197" s="18"/>
      <c r="AH197" s="18"/>
      <c r="AI197" s="18"/>
      <c r="AJ197" s="18"/>
      <c r="AL197" s="18"/>
      <c r="AM197" s="18"/>
      <c r="AN197" s="18"/>
      <c r="AO197" s="18"/>
      <c r="AQ197" s="18"/>
    </row>
    <row r="198">
      <c r="B198" s="18"/>
      <c r="C198" s="18"/>
      <c r="G198" s="18"/>
      <c r="K198" s="18"/>
      <c r="L198" s="18"/>
      <c r="M198" s="18"/>
      <c r="AG198" s="18"/>
      <c r="AH198" s="18"/>
      <c r="AI198" s="18"/>
      <c r="AJ198" s="18"/>
      <c r="AL198" s="18"/>
      <c r="AM198" s="18"/>
      <c r="AN198" s="18"/>
      <c r="AO198" s="18"/>
      <c r="AQ198" s="18"/>
    </row>
    <row r="199">
      <c r="B199" s="18"/>
      <c r="C199" s="18"/>
      <c r="G199" s="18"/>
      <c r="K199" s="18"/>
      <c r="L199" s="18"/>
      <c r="M199" s="18"/>
      <c r="AG199" s="18"/>
      <c r="AH199" s="18"/>
      <c r="AI199" s="18"/>
      <c r="AJ199" s="18"/>
      <c r="AL199" s="18"/>
      <c r="AM199" s="18"/>
      <c r="AN199" s="18"/>
      <c r="AO199" s="18"/>
      <c r="AQ199" s="18"/>
    </row>
    <row r="200">
      <c r="B200" s="18"/>
      <c r="C200" s="18"/>
      <c r="G200" s="18"/>
      <c r="K200" s="18"/>
      <c r="L200" s="18"/>
      <c r="M200" s="18"/>
      <c r="AG200" s="18"/>
      <c r="AH200" s="18"/>
      <c r="AI200" s="18"/>
      <c r="AJ200" s="18"/>
      <c r="AL200" s="18"/>
      <c r="AM200" s="18"/>
      <c r="AN200" s="18"/>
      <c r="AO200" s="18"/>
      <c r="AQ200" s="18"/>
    </row>
    <row r="201">
      <c r="B201" s="18"/>
      <c r="C201" s="18"/>
      <c r="G201" s="18"/>
      <c r="K201" s="18"/>
      <c r="L201" s="18"/>
      <c r="M201" s="18"/>
      <c r="AG201" s="18"/>
      <c r="AH201" s="18"/>
      <c r="AI201" s="18"/>
      <c r="AJ201" s="18"/>
      <c r="AL201" s="18"/>
      <c r="AM201" s="18"/>
      <c r="AN201" s="18"/>
      <c r="AO201" s="18"/>
      <c r="AQ201" s="18"/>
    </row>
    <row r="202">
      <c r="B202" s="18"/>
      <c r="C202" s="18"/>
      <c r="G202" s="18"/>
      <c r="K202" s="18"/>
      <c r="L202" s="18"/>
      <c r="M202" s="18"/>
      <c r="AG202" s="18"/>
      <c r="AH202" s="18"/>
      <c r="AI202" s="18"/>
      <c r="AJ202" s="18"/>
      <c r="AL202" s="18"/>
      <c r="AM202" s="18"/>
      <c r="AN202" s="18"/>
      <c r="AO202" s="18"/>
      <c r="AQ202" s="18"/>
    </row>
    <row r="203">
      <c r="B203" s="18"/>
      <c r="C203" s="18"/>
      <c r="G203" s="18"/>
      <c r="K203" s="18"/>
      <c r="L203" s="18"/>
      <c r="M203" s="18"/>
      <c r="AG203" s="18"/>
      <c r="AH203" s="18"/>
      <c r="AI203" s="18"/>
      <c r="AJ203" s="18"/>
      <c r="AL203" s="18"/>
      <c r="AM203" s="18"/>
      <c r="AN203" s="18"/>
      <c r="AO203" s="18"/>
      <c r="AQ203" s="18"/>
    </row>
    <row r="204">
      <c r="B204" s="18"/>
      <c r="C204" s="18"/>
      <c r="G204" s="18"/>
      <c r="K204" s="18"/>
      <c r="L204" s="18"/>
      <c r="M204" s="18"/>
      <c r="AG204" s="18"/>
      <c r="AH204" s="18"/>
      <c r="AI204" s="18"/>
      <c r="AJ204" s="18"/>
      <c r="AL204" s="18"/>
      <c r="AM204" s="18"/>
      <c r="AN204" s="18"/>
      <c r="AO204" s="18"/>
      <c r="AQ204" s="18"/>
    </row>
    <row r="205">
      <c r="B205" s="18"/>
      <c r="C205" s="18"/>
      <c r="G205" s="18"/>
      <c r="K205" s="18"/>
      <c r="L205" s="18"/>
      <c r="M205" s="18"/>
      <c r="AG205" s="18"/>
      <c r="AH205" s="18"/>
      <c r="AI205" s="18"/>
      <c r="AJ205" s="18"/>
      <c r="AL205" s="18"/>
      <c r="AM205" s="18"/>
      <c r="AN205" s="18"/>
      <c r="AO205" s="18"/>
      <c r="AQ205" s="18"/>
    </row>
    <row r="206">
      <c r="B206" s="18"/>
      <c r="C206" s="18"/>
      <c r="G206" s="18"/>
      <c r="K206" s="18"/>
      <c r="L206" s="18"/>
      <c r="M206" s="18"/>
      <c r="AG206" s="18"/>
      <c r="AH206" s="18"/>
      <c r="AI206" s="18"/>
      <c r="AJ206" s="18"/>
      <c r="AL206" s="18"/>
      <c r="AM206" s="18"/>
      <c r="AN206" s="18"/>
      <c r="AO206" s="18"/>
      <c r="AQ206" s="18"/>
    </row>
    <row r="207">
      <c r="B207" s="18"/>
      <c r="C207" s="18"/>
      <c r="G207" s="18"/>
      <c r="K207" s="18"/>
      <c r="L207" s="18"/>
      <c r="M207" s="18"/>
      <c r="AG207" s="18"/>
      <c r="AH207" s="18"/>
      <c r="AI207" s="18"/>
      <c r="AJ207" s="18"/>
      <c r="AL207" s="18"/>
      <c r="AM207" s="18"/>
      <c r="AN207" s="18"/>
      <c r="AO207" s="18"/>
      <c r="AQ207" s="18"/>
    </row>
    <row r="208">
      <c r="B208" s="18"/>
      <c r="C208" s="18"/>
      <c r="G208" s="18"/>
      <c r="K208" s="18"/>
      <c r="L208" s="18"/>
      <c r="M208" s="18"/>
      <c r="AG208" s="18"/>
      <c r="AH208" s="18"/>
      <c r="AI208" s="18"/>
      <c r="AJ208" s="18"/>
      <c r="AL208" s="18"/>
      <c r="AM208" s="18"/>
      <c r="AN208" s="18"/>
      <c r="AO208" s="18"/>
      <c r="AQ208" s="18"/>
    </row>
    <row r="209">
      <c r="B209" s="18"/>
      <c r="C209" s="18"/>
      <c r="G209" s="18"/>
      <c r="K209" s="18"/>
      <c r="L209" s="18"/>
      <c r="M209" s="18"/>
      <c r="AG209" s="18"/>
      <c r="AH209" s="18"/>
      <c r="AI209" s="18"/>
      <c r="AJ209" s="18"/>
      <c r="AL209" s="18"/>
      <c r="AM209" s="18"/>
      <c r="AN209" s="18"/>
      <c r="AO209" s="18"/>
      <c r="AQ209" s="18"/>
    </row>
    <row r="210">
      <c r="B210" s="18"/>
      <c r="C210" s="18"/>
      <c r="G210" s="18"/>
      <c r="K210" s="18"/>
      <c r="L210" s="18"/>
      <c r="M210" s="18"/>
      <c r="AG210" s="18"/>
      <c r="AH210" s="18"/>
      <c r="AI210" s="18"/>
      <c r="AJ210" s="18"/>
      <c r="AL210" s="18"/>
      <c r="AM210" s="18"/>
      <c r="AN210" s="18"/>
      <c r="AO210" s="18"/>
      <c r="AQ210" s="18"/>
    </row>
    <row r="211">
      <c r="B211" s="18"/>
      <c r="C211" s="18"/>
      <c r="G211" s="18"/>
      <c r="K211" s="18"/>
      <c r="L211" s="18"/>
      <c r="M211" s="18"/>
      <c r="AG211" s="18"/>
      <c r="AH211" s="18"/>
      <c r="AI211" s="18"/>
      <c r="AJ211" s="18"/>
      <c r="AL211" s="18"/>
      <c r="AM211" s="18"/>
      <c r="AN211" s="18"/>
      <c r="AO211" s="18"/>
      <c r="AQ211" s="18"/>
    </row>
    <row r="212">
      <c r="B212" s="18"/>
      <c r="C212" s="18"/>
      <c r="G212" s="18"/>
      <c r="K212" s="18"/>
      <c r="L212" s="18"/>
      <c r="M212" s="18"/>
      <c r="AG212" s="18"/>
      <c r="AH212" s="18"/>
      <c r="AI212" s="18"/>
      <c r="AJ212" s="18"/>
      <c r="AL212" s="18"/>
      <c r="AM212" s="18"/>
      <c r="AN212" s="18"/>
      <c r="AO212" s="18"/>
      <c r="AQ212" s="18"/>
    </row>
    <row r="213">
      <c r="B213" s="18"/>
      <c r="C213" s="18"/>
      <c r="G213" s="18"/>
      <c r="K213" s="18"/>
      <c r="L213" s="18"/>
      <c r="M213" s="18"/>
      <c r="AG213" s="18"/>
      <c r="AH213" s="18"/>
      <c r="AI213" s="18"/>
      <c r="AJ213" s="18"/>
      <c r="AL213" s="18"/>
      <c r="AM213" s="18"/>
      <c r="AN213" s="18"/>
      <c r="AO213" s="18"/>
      <c r="AQ213" s="18"/>
    </row>
    <row r="214">
      <c r="B214" s="18"/>
      <c r="C214" s="18"/>
      <c r="G214" s="18"/>
      <c r="K214" s="18"/>
      <c r="L214" s="18"/>
      <c r="M214" s="18"/>
      <c r="AG214" s="18"/>
      <c r="AH214" s="18"/>
      <c r="AI214" s="18"/>
      <c r="AJ214" s="18"/>
      <c r="AL214" s="18"/>
      <c r="AM214" s="18"/>
      <c r="AN214" s="18"/>
      <c r="AO214" s="18"/>
      <c r="AQ214" s="18"/>
    </row>
    <row r="215">
      <c r="B215" s="18"/>
      <c r="C215" s="18"/>
      <c r="G215" s="18"/>
      <c r="K215" s="18"/>
      <c r="L215" s="18"/>
      <c r="M215" s="18"/>
      <c r="AG215" s="18"/>
      <c r="AH215" s="18"/>
      <c r="AI215" s="18"/>
      <c r="AJ215" s="18"/>
      <c r="AL215" s="18"/>
      <c r="AM215" s="18"/>
      <c r="AN215" s="18"/>
      <c r="AO215" s="18"/>
      <c r="AQ215" s="18"/>
    </row>
    <row r="216">
      <c r="B216" s="18"/>
      <c r="C216" s="18"/>
      <c r="G216" s="18"/>
      <c r="K216" s="18"/>
      <c r="L216" s="18"/>
      <c r="M216" s="18"/>
      <c r="AG216" s="18"/>
      <c r="AH216" s="18"/>
      <c r="AI216" s="18"/>
      <c r="AJ216" s="18"/>
      <c r="AL216" s="18"/>
      <c r="AM216" s="18"/>
      <c r="AN216" s="18"/>
      <c r="AO216" s="18"/>
      <c r="AQ216" s="18"/>
    </row>
    <row r="217">
      <c r="B217" s="18"/>
      <c r="C217" s="18"/>
      <c r="G217" s="18"/>
      <c r="K217" s="18"/>
      <c r="L217" s="18"/>
      <c r="M217" s="18"/>
      <c r="AG217" s="18"/>
      <c r="AH217" s="18"/>
      <c r="AI217" s="18"/>
      <c r="AJ217" s="18"/>
      <c r="AL217" s="18"/>
      <c r="AM217" s="18"/>
      <c r="AN217" s="18"/>
      <c r="AO217" s="18"/>
      <c r="AQ217" s="18"/>
    </row>
    <row r="218">
      <c r="B218" s="18"/>
      <c r="C218" s="18"/>
      <c r="G218" s="18"/>
      <c r="K218" s="18"/>
      <c r="L218" s="18"/>
      <c r="M218" s="18"/>
      <c r="AG218" s="18"/>
      <c r="AH218" s="18"/>
      <c r="AI218" s="18"/>
      <c r="AJ218" s="18"/>
      <c r="AL218" s="18"/>
      <c r="AM218" s="18"/>
      <c r="AN218" s="18"/>
      <c r="AO218" s="18"/>
      <c r="AQ218" s="18"/>
    </row>
    <row r="219">
      <c r="B219" s="18"/>
      <c r="C219" s="18"/>
      <c r="G219" s="18"/>
      <c r="K219" s="18"/>
      <c r="L219" s="18"/>
      <c r="M219" s="18"/>
      <c r="AG219" s="18"/>
      <c r="AH219" s="18"/>
      <c r="AI219" s="18"/>
      <c r="AJ219" s="18"/>
      <c r="AL219" s="18"/>
      <c r="AM219" s="18"/>
      <c r="AN219" s="18"/>
      <c r="AO219" s="18"/>
      <c r="AQ219" s="18"/>
    </row>
    <row r="220">
      <c r="B220" s="18"/>
      <c r="C220" s="18"/>
      <c r="G220" s="18"/>
      <c r="K220" s="18"/>
      <c r="L220" s="18"/>
      <c r="M220" s="18"/>
      <c r="AG220" s="18"/>
      <c r="AH220" s="18"/>
      <c r="AI220" s="18"/>
      <c r="AJ220" s="18"/>
      <c r="AL220" s="18"/>
      <c r="AM220" s="18"/>
      <c r="AN220" s="18"/>
      <c r="AO220" s="18"/>
      <c r="AQ220" s="18"/>
    </row>
    <row r="221">
      <c r="B221" s="18"/>
      <c r="C221" s="18"/>
      <c r="G221" s="18"/>
      <c r="K221" s="18"/>
      <c r="L221" s="18"/>
      <c r="M221" s="18"/>
      <c r="AG221" s="18"/>
      <c r="AH221" s="18"/>
      <c r="AI221" s="18"/>
      <c r="AJ221" s="18"/>
      <c r="AL221" s="18"/>
      <c r="AM221" s="18"/>
      <c r="AN221" s="18"/>
      <c r="AO221" s="18"/>
      <c r="AQ221" s="18"/>
    </row>
    <row r="222">
      <c r="B222" s="18"/>
      <c r="C222" s="18"/>
      <c r="G222" s="18"/>
      <c r="K222" s="18"/>
      <c r="L222" s="18"/>
      <c r="M222" s="18"/>
      <c r="AG222" s="18"/>
      <c r="AH222" s="18"/>
      <c r="AI222" s="18"/>
      <c r="AJ222" s="18"/>
      <c r="AL222" s="18"/>
      <c r="AM222" s="18"/>
      <c r="AN222" s="18"/>
      <c r="AO222" s="18"/>
      <c r="AQ222" s="18"/>
    </row>
    <row r="223">
      <c r="B223" s="18"/>
      <c r="C223" s="18"/>
      <c r="G223" s="18"/>
      <c r="K223" s="18"/>
      <c r="L223" s="18"/>
      <c r="M223" s="18"/>
      <c r="AG223" s="18"/>
      <c r="AH223" s="18"/>
      <c r="AI223" s="18"/>
      <c r="AJ223" s="18"/>
      <c r="AL223" s="18"/>
      <c r="AM223" s="18"/>
      <c r="AN223" s="18"/>
      <c r="AO223" s="18"/>
      <c r="AQ223" s="18"/>
    </row>
    <row r="224">
      <c r="B224" s="18"/>
      <c r="C224" s="18"/>
      <c r="G224" s="18"/>
      <c r="K224" s="18"/>
      <c r="L224" s="18"/>
      <c r="M224" s="18"/>
      <c r="AG224" s="18"/>
      <c r="AH224" s="18"/>
      <c r="AI224" s="18"/>
      <c r="AJ224" s="18"/>
      <c r="AL224" s="18"/>
      <c r="AM224" s="18"/>
      <c r="AN224" s="18"/>
      <c r="AO224" s="18"/>
      <c r="AQ224" s="18"/>
    </row>
    <row r="225">
      <c r="B225" s="18"/>
      <c r="C225" s="18"/>
      <c r="G225" s="18"/>
      <c r="K225" s="18"/>
      <c r="L225" s="18"/>
      <c r="M225" s="18"/>
      <c r="AG225" s="18"/>
      <c r="AH225" s="18"/>
      <c r="AI225" s="18"/>
      <c r="AJ225" s="18"/>
      <c r="AL225" s="18"/>
      <c r="AM225" s="18"/>
      <c r="AN225" s="18"/>
      <c r="AO225" s="18"/>
      <c r="AQ225" s="18"/>
    </row>
    <row r="226">
      <c r="B226" s="18"/>
      <c r="C226" s="18"/>
      <c r="G226" s="18"/>
      <c r="K226" s="18"/>
      <c r="L226" s="18"/>
      <c r="M226" s="18"/>
      <c r="AG226" s="18"/>
      <c r="AH226" s="18"/>
      <c r="AI226" s="18"/>
      <c r="AJ226" s="18"/>
      <c r="AL226" s="18"/>
      <c r="AM226" s="18"/>
      <c r="AN226" s="18"/>
      <c r="AO226" s="18"/>
      <c r="AQ226" s="18"/>
    </row>
    <row r="227">
      <c r="B227" s="18"/>
      <c r="C227" s="18"/>
      <c r="G227" s="18"/>
      <c r="K227" s="18"/>
      <c r="L227" s="18"/>
      <c r="M227" s="18"/>
      <c r="AG227" s="18"/>
      <c r="AH227" s="18"/>
      <c r="AI227" s="18"/>
      <c r="AJ227" s="18"/>
      <c r="AL227" s="18"/>
      <c r="AM227" s="18"/>
      <c r="AN227" s="18"/>
      <c r="AO227" s="18"/>
      <c r="AQ227" s="18"/>
    </row>
    <row r="228">
      <c r="B228" s="18"/>
      <c r="C228" s="18"/>
      <c r="G228" s="18"/>
      <c r="K228" s="18"/>
      <c r="L228" s="18"/>
      <c r="M228" s="18"/>
      <c r="AG228" s="18"/>
      <c r="AH228" s="18"/>
      <c r="AI228" s="18"/>
      <c r="AJ228" s="18"/>
      <c r="AL228" s="18"/>
      <c r="AM228" s="18"/>
      <c r="AN228" s="18"/>
      <c r="AO228" s="18"/>
      <c r="AQ228" s="18"/>
    </row>
    <row r="229">
      <c r="B229" s="18"/>
      <c r="C229" s="18"/>
      <c r="G229" s="18"/>
      <c r="K229" s="18"/>
      <c r="L229" s="18"/>
      <c r="M229" s="18"/>
      <c r="AG229" s="18"/>
      <c r="AH229" s="18"/>
      <c r="AI229" s="18"/>
      <c r="AJ229" s="18"/>
      <c r="AL229" s="18"/>
      <c r="AM229" s="18"/>
      <c r="AN229" s="18"/>
      <c r="AO229" s="18"/>
      <c r="AQ229" s="18"/>
    </row>
    <row r="230">
      <c r="B230" s="18"/>
      <c r="C230" s="18"/>
      <c r="G230" s="18"/>
      <c r="K230" s="18"/>
      <c r="L230" s="18"/>
      <c r="M230" s="18"/>
      <c r="AG230" s="18"/>
      <c r="AH230" s="18"/>
      <c r="AI230" s="18"/>
      <c r="AJ230" s="18"/>
      <c r="AL230" s="18"/>
      <c r="AM230" s="18"/>
      <c r="AN230" s="18"/>
      <c r="AO230" s="18"/>
      <c r="AQ230" s="18"/>
    </row>
    <row r="231">
      <c r="B231" s="18"/>
      <c r="C231" s="18"/>
      <c r="G231" s="18"/>
      <c r="K231" s="18"/>
      <c r="L231" s="18"/>
      <c r="M231" s="18"/>
      <c r="AG231" s="18"/>
      <c r="AH231" s="18"/>
      <c r="AI231" s="18"/>
      <c r="AJ231" s="18"/>
      <c r="AL231" s="18"/>
      <c r="AM231" s="18"/>
      <c r="AN231" s="18"/>
      <c r="AO231" s="18"/>
      <c r="AQ231" s="18"/>
    </row>
    <row r="232">
      <c r="B232" s="18"/>
      <c r="C232" s="18"/>
      <c r="G232" s="18"/>
      <c r="K232" s="18"/>
      <c r="L232" s="18"/>
      <c r="M232" s="18"/>
      <c r="AG232" s="18"/>
      <c r="AH232" s="18"/>
      <c r="AI232" s="18"/>
      <c r="AJ232" s="18"/>
      <c r="AL232" s="18"/>
      <c r="AM232" s="18"/>
      <c r="AN232" s="18"/>
      <c r="AO232" s="18"/>
      <c r="AQ232" s="18"/>
    </row>
    <row r="233">
      <c r="B233" s="18"/>
      <c r="C233" s="18"/>
      <c r="G233" s="18"/>
      <c r="K233" s="18"/>
      <c r="L233" s="18"/>
      <c r="M233" s="18"/>
      <c r="AG233" s="18"/>
      <c r="AH233" s="18"/>
      <c r="AI233" s="18"/>
      <c r="AJ233" s="18"/>
      <c r="AL233" s="18"/>
      <c r="AM233" s="18"/>
      <c r="AN233" s="18"/>
      <c r="AO233" s="18"/>
      <c r="AQ233" s="18"/>
    </row>
    <row r="234">
      <c r="B234" s="18"/>
      <c r="C234" s="18"/>
      <c r="G234" s="18"/>
      <c r="K234" s="18"/>
      <c r="L234" s="18"/>
      <c r="M234" s="18"/>
      <c r="AG234" s="18"/>
      <c r="AH234" s="18"/>
      <c r="AI234" s="18"/>
      <c r="AJ234" s="18"/>
      <c r="AL234" s="18"/>
      <c r="AM234" s="18"/>
      <c r="AN234" s="18"/>
      <c r="AO234" s="18"/>
      <c r="AQ234" s="18"/>
    </row>
    <row r="235">
      <c r="B235" s="18"/>
      <c r="C235" s="18"/>
      <c r="G235" s="18"/>
      <c r="K235" s="18"/>
      <c r="L235" s="18"/>
      <c r="M235" s="18"/>
      <c r="AG235" s="18"/>
      <c r="AH235" s="18"/>
      <c r="AI235" s="18"/>
      <c r="AJ235" s="18"/>
      <c r="AL235" s="18"/>
      <c r="AM235" s="18"/>
      <c r="AN235" s="18"/>
      <c r="AO235" s="18"/>
      <c r="AQ235" s="18"/>
    </row>
    <row r="236">
      <c r="B236" s="18"/>
      <c r="C236" s="18"/>
      <c r="G236" s="18"/>
      <c r="K236" s="18"/>
      <c r="L236" s="18"/>
      <c r="M236" s="18"/>
      <c r="AG236" s="18"/>
      <c r="AH236" s="18"/>
      <c r="AI236" s="18"/>
      <c r="AJ236" s="18"/>
      <c r="AL236" s="18"/>
      <c r="AM236" s="18"/>
      <c r="AN236" s="18"/>
      <c r="AO236" s="18"/>
      <c r="AQ236" s="18"/>
    </row>
    <row r="237">
      <c r="B237" s="18"/>
      <c r="C237" s="18"/>
      <c r="G237" s="18"/>
      <c r="K237" s="18"/>
      <c r="L237" s="18"/>
      <c r="M237" s="18"/>
      <c r="AG237" s="18"/>
      <c r="AH237" s="18"/>
      <c r="AI237" s="18"/>
      <c r="AJ237" s="18"/>
      <c r="AL237" s="18"/>
      <c r="AM237" s="18"/>
      <c r="AN237" s="18"/>
      <c r="AO237" s="18"/>
      <c r="AQ237" s="18"/>
    </row>
    <row r="238">
      <c r="B238" s="18"/>
      <c r="C238" s="18"/>
      <c r="G238" s="18"/>
      <c r="K238" s="18"/>
      <c r="L238" s="18"/>
      <c r="M238" s="18"/>
      <c r="AG238" s="18"/>
      <c r="AH238" s="18"/>
      <c r="AI238" s="18"/>
      <c r="AJ238" s="18"/>
      <c r="AL238" s="18"/>
      <c r="AM238" s="18"/>
      <c r="AN238" s="18"/>
      <c r="AO238" s="18"/>
      <c r="AQ238" s="18"/>
    </row>
    <row r="239">
      <c r="B239" s="18"/>
      <c r="C239" s="18"/>
      <c r="G239" s="18"/>
      <c r="K239" s="18"/>
      <c r="L239" s="18"/>
      <c r="M239" s="18"/>
      <c r="AG239" s="18"/>
      <c r="AH239" s="18"/>
      <c r="AI239" s="18"/>
      <c r="AJ239" s="18"/>
      <c r="AL239" s="18"/>
      <c r="AM239" s="18"/>
      <c r="AN239" s="18"/>
      <c r="AO239" s="18"/>
      <c r="AQ239" s="18"/>
    </row>
    <row r="240">
      <c r="B240" s="18"/>
      <c r="C240" s="18"/>
      <c r="G240" s="18"/>
      <c r="K240" s="18"/>
      <c r="L240" s="18"/>
      <c r="M240" s="18"/>
      <c r="AG240" s="18"/>
      <c r="AH240" s="18"/>
      <c r="AI240" s="18"/>
      <c r="AJ240" s="18"/>
      <c r="AL240" s="18"/>
      <c r="AM240" s="18"/>
      <c r="AN240" s="18"/>
      <c r="AO240" s="18"/>
      <c r="AQ240" s="18"/>
    </row>
    <row r="241">
      <c r="B241" s="18"/>
      <c r="C241" s="18"/>
      <c r="G241" s="18"/>
      <c r="K241" s="18"/>
      <c r="L241" s="18"/>
      <c r="M241" s="18"/>
      <c r="AG241" s="18"/>
      <c r="AH241" s="18"/>
      <c r="AI241" s="18"/>
      <c r="AJ241" s="18"/>
      <c r="AL241" s="18"/>
      <c r="AM241" s="18"/>
      <c r="AN241" s="18"/>
      <c r="AO241" s="18"/>
      <c r="AQ241" s="18"/>
    </row>
    <row r="242">
      <c r="B242" s="18"/>
      <c r="C242" s="18"/>
      <c r="G242" s="18"/>
      <c r="K242" s="18"/>
      <c r="L242" s="18"/>
      <c r="M242" s="18"/>
      <c r="AG242" s="18"/>
      <c r="AH242" s="18"/>
      <c r="AI242" s="18"/>
      <c r="AJ242" s="18"/>
      <c r="AL242" s="18"/>
      <c r="AM242" s="18"/>
      <c r="AN242" s="18"/>
      <c r="AO242" s="18"/>
      <c r="AQ242" s="18"/>
    </row>
    <row r="243">
      <c r="B243" s="18"/>
      <c r="C243" s="18"/>
      <c r="G243" s="18"/>
      <c r="K243" s="18"/>
      <c r="L243" s="18"/>
      <c r="M243" s="18"/>
      <c r="AG243" s="18"/>
      <c r="AH243" s="18"/>
      <c r="AI243" s="18"/>
      <c r="AJ243" s="18"/>
      <c r="AL243" s="18"/>
      <c r="AM243" s="18"/>
      <c r="AN243" s="18"/>
      <c r="AO243" s="18"/>
      <c r="AQ243" s="18"/>
    </row>
    <row r="244">
      <c r="B244" s="18"/>
      <c r="C244" s="18"/>
      <c r="G244" s="18"/>
      <c r="K244" s="18"/>
      <c r="L244" s="18"/>
      <c r="M244" s="18"/>
      <c r="AG244" s="18"/>
      <c r="AH244" s="18"/>
      <c r="AI244" s="18"/>
      <c r="AJ244" s="18"/>
      <c r="AL244" s="18"/>
      <c r="AM244" s="18"/>
      <c r="AN244" s="18"/>
      <c r="AO244" s="18"/>
      <c r="AQ244" s="18"/>
    </row>
    <row r="245">
      <c r="B245" s="18"/>
      <c r="C245" s="18"/>
      <c r="G245" s="18"/>
      <c r="K245" s="18"/>
      <c r="L245" s="18"/>
      <c r="M245" s="18"/>
      <c r="AG245" s="18"/>
      <c r="AH245" s="18"/>
      <c r="AI245" s="18"/>
      <c r="AJ245" s="18"/>
      <c r="AL245" s="18"/>
      <c r="AM245" s="18"/>
      <c r="AN245" s="18"/>
      <c r="AO245" s="18"/>
      <c r="AQ245" s="18"/>
    </row>
    <row r="246">
      <c r="B246" s="18"/>
      <c r="C246" s="18"/>
      <c r="G246" s="18"/>
      <c r="K246" s="18"/>
      <c r="L246" s="18"/>
      <c r="M246" s="18"/>
      <c r="AG246" s="18"/>
      <c r="AH246" s="18"/>
      <c r="AI246" s="18"/>
      <c r="AJ246" s="18"/>
      <c r="AL246" s="18"/>
      <c r="AM246" s="18"/>
      <c r="AN246" s="18"/>
      <c r="AO246" s="18"/>
      <c r="AQ246" s="18"/>
    </row>
    <row r="247">
      <c r="B247" s="18"/>
      <c r="C247" s="18"/>
      <c r="G247" s="18"/>
      <c r="K247" s="18"/>
      <c r="L247" s="18"/>
      <c r="M247" s="18"/>
      <c r="AG247" s="18"/>
      <c r="AH247" s="18"/>
      <c r="AI247" s="18"/>
      <c r="AJ247" s="18"/>
      <c r="AL247" s="18"/>
      <c r="AM247" s="18"/>
      <c r="AN247" s="18"/>
      <c r="AO247" s="18"/>
      <c r="AQ247" s="18"/>
    </row>
    <row r="248">
      <c r="B248" s="18"/>
      <c r="C248" s="18"/>
      <c r="G248" s="18"/>
      <c r="K248" s="18"/>
      <c r="L248" s="18"/>
      <c r="M248" s="18"/>
      <c r="AG248" s="18"/>
      <c r="AH248" s="18"/>
      <c r="AI248" s="18"/>
      <c r="AJ248" s="18"/>
      <c r="AL248" s="18"/>
      <c r="AM248" s="18"/>
      <c r="AN248" s="18"/>
      <c r="AO248" s="18"/>
      <c r="AQ248" s="18"/>
    </row>
    <row r="249">
      <c r="B249" s="18"/>
      <c r="C249" s="18"/>
      <c r="G249" s="18"/>
      <c r="K249" s="18"/>
      <c r="L249" s="18"/>
      <c r="M249" s="18"/>
      <c r="AG249" s="18"/>
      <c r="AH249" s="18"/>
      <c r="AI249" s="18"/>
      <c r="AJ249" s="18"/>
      <c r="AL249" s="18"/>
      <c r="AM249" s="18"/>
      <c r="AN249" s="18"/>
      <c r="AO249" s="18"/>
      <c r="AQ249" s="18"/>
    </row>
    <row r="250">
      <c r="B250" s="18"/>
      <c r="C250" s="18"/>
      <c r="G250" s="18"/>
      <c r="K250" s="18"/>
      <c r="L250" s="18"/>
      <c r="M250" s="18"/>
      <c r="AG250" s="18"/>
      <c r="AH250" s="18"/>
      <c r="AI250" s="18"/>
      <c r="AJ250" s="18"/>
      <c r="AL250" s="18"/>
      <c r="AM250" s="18"/>
      <c r="AN250" s="18"/>
      <c r="AO250" s="18"/>
      <c r="AQ250" s="18"/>
    </row>
    <row r="251">
      <c r="B251" s="18"/>
      <c r="C251" s="18"/>
      <c r="G251" s="18"/>
      <c r="K251" s="18"/>
      <c r="L251" s="18"/>
      <c r="M251" s="18"/>
      <c r="AG251" s="18"/>
      <c r="AH251" s="18"/>
      <c r="AI251" s="18"/>
      <c r="AJ251" s="18"/>
      <c r="AL251" s="18"/>
      <c r="AM251" s="18"/>
      <c r="AN251" s="18"/>
      <c r="AO251" s="18"/>
      <c r="AQ251" s="18"/>
    </row>
    <row r="252">
      <c r="B252" s="18"/>
      <c r="C252" s="18"/>
      <c r="G252" s="18"/>
      <c r="K252" s="18"/>
      <c r="L252" s="18"/>
      <c r="M252" s="18"/>
      <c r="AG252" s="18"/>
      <c r="AH252" s="18"/>
      <c r="AI252" s="18"/>
      <c r="AJ252" s="18"/>
      <c r="AL252" s="18"/>
      <c r="AM252" s="18"/>
      <c r="AN252" s="18"/>
      <c r="AO252" s="18"/>
      <c r="AQ252" s="18"/>
    </row>
    <row r="253">
      <c r="B253" s="18"/>
      <c r="C253" s="18"/>
      <c r="G253" s="18"/>
      <c r="K253" s="18"/>
      <c r="L253" s="18"/>
      <c r="M253" s="18"/>
      <c r="AG253" s="18"/>
      <c r="AH253" s="18"/>
      <c r="AI253" s="18"/>
      <c r="AJ253" s="18"/>
      <c r="AL253" s="18"/>
      <c r="AM253" s="18"/>
      <c r="AN253" s="18"/>
      <c r="AO253" s="18"/>
      <c r="AQ253" s="18"/>
    </row>
    <row r="254">
      <c r="B254" s="18"/>
      <c r="C254" s="18"/>
      <c r="G254" s="18"/>
      <c r="K254" s="18"/>
      <c r="L254" s="18"/>
      <c r="M254" s="18"/>
      <c r="AG254" s="18"/>
      <c r="AH254" s="18"/>
      <c r="AI254" s="18"/>
      <c r="AJ254" s="18"/>
      <c r="AL254" s="18"/>
      <c r="AM254" s="18"/>
      <c r="AN254" s="18"/>
      <c r="AO254" s="18"/>
      <c r="AQ254" s="18"/>
    </row>
    <row r="255">
      <c r="B255" s="18"/>
      <c r="C255" s="18"/>
      <c r="G255" s="18"/>
      <c r="K255" s="18"/>
      <c r="L255" s="18"/>
      <c r="M255" s="18"/>
      <c r="AG255" s="18"/>
      <c r="AH255" s="18"/>
      <c r="AI255" s="18"/>
      <c r="AJ255" s="18"/>
      <c r="AL255" s="18"/>
      <c r="AM255" s="18"/>
      <c r="AN255" s="18"/>
      <c r="AO255" s="18"/>
      <c r="AQ255" s="18"/>
    </row>
    <row r="256">
      <c r="B256" s="18"/>
      <c r="C256" s="18"/>
      <c r="G256" s="18"/>
      <c r="K256" s="18"/>
      <c r="L256" s="18"/>
      <c r="M256" s="18"/>
      <c r="AG256" s="18"/>
      <c r="AH256" s="18"/>
      <c r="AI256" s="18"/>
      <c r="AJ256" s="18"/>
      <c r="AL256" s="18"/>
      <c r="AM256" s="18"/>
      <c r="AN256" s="18"/>
      <c r="AO256" s="18"/>
      <c r="AQ256" s="18"/>
    </row>
    <row r="257">
      <c r="B257" s="18"/>
      <c r="C257" s="18"/>
      <c r="G257" s="18"/>
      <c r="K257" s="18"/>
      <c r="L257" s="18"/>
      <c r="M257" s="18"/>
      <c r="AG257" s="18"/>
      <c r="AH257" s="18"/>
      <c r="AI257" s="18"/>
      <c r="AJ257" s="18"/>
      <c r="AL257" s="18"/>
      <c r="AM257" s="18"/>
      <c r="AN257" s="18"/>
      <c r="AO257" s="18"/>
      <c r="AQ257" s="18"/>
    </row>
    <row r="258">
      <c r="B258" s="18"/>
      <c r="C258" s="18"/>
      <c r="G258" s="18"/>
      <c r="K258" s="18"/>
      <c r="L258" s="18"/>
      <c r="M258" s="18"/>
      <c r="AG258" s="18"/>
      <c r="AH258" s="18"/>
      <c r="AI258" s="18"/>
      <c r="AJ258" s="18"/>
      <c r="AL258" s="18"/>
      <c r="AM258" s="18"/>
      <c r="AN258" s="18"/>
      <c r="AO258" s="18"/>
      <c r="AQ258" s="18"/>
    </row>
    <row r="259">
      <c r="B259" s="18"/>
      <c r="C259" s="18"/>
      <c r="G259" s="18"/>
      <c r="K259" s="18"/>
      <c r="L259" s="18"/>
      <c r="M259" s="18"/>
      <c r="AG259" s="18"/>
      <c r="AH259" s="18"/>
      <c r="AI259" s="18"/>
      <c r="AJ259" s="18"/>
      <c r="AL259" s="18"/>
      <c r="AM259" s="18"/>
      <c r="AN259" s="18"/>
      <c r="AO259" s="18"/>
      <c r="AQ259" s="18"/>
    </row>
    <row r="260">
      <c r="B260" s="18"/>
      <c r="C260" s="18"/>
      <c r="G260" s="18"/>
      <c r="K260" s="18"/>
      <c r="L260" s="18"/>
      <c r="M260" s="18"/>
      <c r="AG260" s="18"/>
      <c r="AH260" s="18"/>
      <c r="AI260" s="18"/>
      <c r="AJ260" s="18"/>
      <c r="AL260" s="18"/>
      <c r="AM260" s="18"/>
      <c r="AN260" s="18"/>
      <c r="AO260" s="18"/>
      <c r="AQ260" s="18"/>
    </row>
    <row r="261">
      <c r="B261" s="18"/>
      <c r="C261" s="18"/>
      <c r="G261" s="18"/>
      <c r="K261" s="18"/>
      <c r="L261" s="18"/>
      <c r="M261" s="18"/>
      <c r="AG261" s="18"/>
      <c r="AH261" s="18"/>
      <c r="AI261" s="18"/>
      <c r="AJ261" s="18"/>
      <c r="AL261" s="18"/>
      <c r="AM261" s="18"/>
      <c r="AN261" s="18"/>
      <c r="AO261" s="18"/>
      <c r="AQ261" s="18"/>
    </row>
    <row r="262">
      <c r="B262" s="18"/>
      <c r="C262" s="18"/>
      <c r="G262" s="18"/>
      <c r="K262" s="18"/>
      <c r="L262" s="18"/>
      <c r="M262" s="18"/>
      <c r="AG262" s="18"/>
      <c r="AH262" s="18"/>
      <c r="AI262" s="18"/>
      <c r="AJ262" s="18"/>
      <c r="AL262" s="18"/>
      <c r="AM262" s="18"/>
      <c r="AN262" s="18"/>
      <c r="AO262" s="18"/>
      <c r="AQ262" s="18"/>
    </row>
    <row r="263">
      <c r="B263" s="18"/>
      <c r="C263" s="18"/>
      <c r="G263" s="18"/>
      <c r="K263" s="18"/>
      <c r="L263" s="18"/>
      <c r="M263" s="18"/>
      <c r="AG263" s="18"/>
      <c r="AH263" s="18"/>
      <c r="AI263" s="18"/>
      <c r="AJ263" s="18"/>
      <c r="AL263" s="18"/>
      <c r="AM263" s="18"/>
      <c r="AN263" s="18"/>
      <c r="AO263" s="18"/>
      <c r="AQ263" s="18"/>
    </row>
    <row r="264">
      <c r="B264" s="18"/>
      <c r="C264" s="18"/>
      <c r="G264" s="18"/>
      <c r="K264" s="18"/>
      <c r="L264" s="18"/>
      <c r="M264" s="18"/>
      <c r="AG264" s="18"/>
      <c r="AH264" s="18"/>
      <c r="AI264" s="18"/>
      <c r="AJ264" s="18"/>
      <c r="AL264" s="18"/>
      <c r="AM264" s="18"/>
      <c r="AN264" s="18"/>
      <c r="AO264" s="18"/>
      <c r="AQ264" s="18"/>
    </row>
    <row r="265">
      <c r="B265" s="18"/>
      <c r="C265" s="18"/>
      <c r="G265" s="18"/>
      <c r="K265" s="18"/>
      <c r="L265" s="18"/>
      <c r="M265" s="18"/>
      <c r="AG265" s="18"/>
      <c r="AH265" s="18"/>
      <c r="AI265" s="18"/>
      <c r="AJ265" s="18"/>
      <c r="AL265" s="18"/>
      <c r="AM265" s="18"/>
      <c r="AN265" s="18"/>
      <c r="AO265" s="18"/>
      <c r="AQ265" s="18"/>
    </row>
    <row r="266">
      <c r="B266" s="18"/>
      <c r="C266" s="18"/>
      <c r="G266" s="18"/>
      <c r="K266" s="18"/>
      <c r="L266" s="18"/>
      <c r="M266" s="18"/>
      <c r="AG266" s="18"/>
      <c r="AH266" s="18"/>
      <c r="AI266" s="18"/>
      <c r="AJ266" s="18"/>
      <c r="AL266" s="18"/>
      <c r="AM266" s="18"/>
      <c r="AN266" s="18"/>
      <c r="AO266" s="18"/>
      <c r="AQ266" s="18"/>
    </row>
    <row r="267">
      <c r="B267" s="18"/>
      <c r="C267" s="18"/>
      <c r="G267" s="18"/>
      <c r="K267" s="18"/>
      <c r="L267" s="18"/>
      <c r="M267" s="18"/>
      <c r="AG267" s="18"/>
      <c r="AH267" s="18"/>
      <c r="AI267" s="18"/>
      <c r="AJ267" s="18"/>
      <c r="AL267" s="18"/>
      <c r="AM267" s="18"/>
      <c r="AN267" s="18"/>
      <c r="AO267" s="18"/>
      <c r="AQ267" s="18"/>
    </row>
    <row r="268">
      <c r="B268" s="18"/>
      <c r="C268" s="18"/>
      <c r="G268" s="18"/>
      <c r="K268" s="18"/>
      <c r="L268" s="18"/>
      <c r="M268" s="18"/>
      <c r="AG268" s="18"/>
      <c r="AH268" s="18"/>
      <c r="AI268" s="18"/>
      <c r="AJ268" s="18"/>
      <c r="AL268" s="18"/>
      <c r="AM268" s="18"/>
      <c r="AN268" s="18"/>
      <c r="AO268" s="18"/>
      <c r="AQ268" s="18"/>
    </row>
    <row r="269">
      <c r="B269" s="18"/>
      <c r="C269" s="18"/>
      <c r="G269" s="18"/>
      <c r="K269" s="18"/>
      <c r="L269" s="18"/>
      <c r="M269" s="18"/>
      <c r="AG269" s="18"/>
      <c r="AH269" s="18"/>
      <c r="AI269" s="18"/>
      <c r="AJ269" s="18"/>
      <c r="AL269" s="18"/>
      <c r="AM269" s="18"/>
      <c r="AN269" s="18"/>
      <c r="AO269" s="18"/>
      <c r="AQ269" s="18"/>
    </row>
    <row r="270">
      <c r="B270" s="18"/>
      <c r="C270" s="18"/>
      <c r="G270" s="18"/>
      <c r="K270" s="18"/>
      <c r="L270" s="18"/>
      <c r="M270" s="18"/>
      <c r="AG270" s="18"/>
      <c r="AH270" s="18"/>
      <c r="AI270" s="18"/>
      <c r="AJ270" s="18"/>
      <c r="AL270" s="18"/>
      <c r="AM270" s="18"/>
      <c r="AN270" s="18"/>
      <c r="AO270" s="18"/>
      <c r="AQ270" s="18"/>
    </row>
    <row r="271">
      <c r="B271" s="18"/>
      <c r="C271" s="18"/>
      <c r="G271" s="18"/>
      <c r="K271" s="18"/>
      <c r="L271" s="18"/>
      <c r="M271" s="18"/>
      <c r="AG271" s="18"/>
      <c r="AH271" s="18"/>
      <c r="AI271" s="18"/>
      <c r="AJ271" s="18"/>
      <c r="AL271" s="18"/>
      <c r="AM271" s="18"/>
      <c r="AN271" s="18"/>
      <c r="AO271" s="18"/>
      <c r="AQ271" s="18"/>
    </row>
    <row r="272">
      <c r="B272" s="18"/>
      <c r="C272" s="18"/>
      <c r="G272" s="18"/>
      <c r="K272" s="18"/>
      <c r="L272" s="18"/>
      <c r="M272" s="18"/>
      <c r="AG272" s="18"/>
      <c r="AH272" s="18"/>
      <c r="AI272" s="18"/>
      <c r="AJ272" s="18"/>
      <c r="AL272" s="18"/>
      <c r="AM272" s="18"/>
      <c r="AN272" s="18"/>
      <c r="AO272" s="18"/>
      <c r="AQ272" s="18"/>
    </row>
    <row r="273">
      <c r="B273" s="18"/>
      <c r="C273" s="18"/>
      <c r="G273" s="18"/>
      <c r="K273" s="18"/>
      <c r="L273" s="18"/>
      <c r="M273" s="18"/>
      <c r="AG273" s="18"/>
      <c r="AH273" s="18"/>
      <c r="AI273" s="18"/>
      <c r="AJ273" s="18"/>
      <c r="AL273" s="18"/>
      <c r="AM273" s="18"/>
      <c r="AN273" s="18"/>
      <c r="AO273" s="18"/>
      <c r="AQ273" s="18"/>
    </row>
    <row r="274">
      <c r="B274" s="18"/>
      <c r="C274" s="18"/>
      <c r="G274" s="18"/>
      <c r="K274" s="18"/>
      <c r="L274" s="18"/>
      <c r="M274" s="18"/>
      <c r="AG274" s="18"/>
      <c r="AH274" s="18"/>
      <c r="AI274" s="18"/>
      <c r="AJ274" s="18"/>
      <c r="AL274" s="18"/>
      <c r="AM274" s="18"/>
      <c r="AN274" s="18"/>
      <c r="AO274" s="18"/>
      <c r="AQ274" s="18"/>
    </row>
    <row r="275">
      <c r="B275" s="18"/>
      <c r="C275" s="18"/>
      <c r="G275" s="18"/>
      <c r="K275" s="18"/>
      <c r="L275" s="18"/>
      <c r="M275" s="18"/>
      <c r="AG275" s="18"/>
      <c r="AH275" s="18"/>
      <c r="AI275" s="18"/>
      <c r="AJ275" s="18"/>
      <c r="AL275" s="18"/>
      <c r="AM275" s="18"/>
      <c r="AN275" s="18"/>
      <c r="AO275" s="18"/>
      <c r="AQ275" s="18"/>
    </row>
    <row r="276">
      <c r="B276" s="18"/>
      <c r="C276" s="18"/>
      <c r="G276" s="18"/>
      <c r="K276" s="18"/>
      <c r="L276" s="18"/>
      <c r="M276" s="18"/>
      <c r="AG276" s="18"/>
      <c r="AH276" s="18"/>
      <c r="AI276" s="18"/>
      <c r="AJ276" s="18"/>
      <c r="AL276" s="18"/>
      <c r="AM276" s="18"/>
      <c r="AN276" s="18"/>
      <c r="AO276" s="18"/>
      <c r="AQ276" s="18"/>
    </row>
    <row r="277">
      <c r="B277" s="18"/>
      <c r="C277" s="18"/>
      <c r="G277" s="18"/>
      <c r="K277" s="18"/>
      <c r="L277" s="18"/>
      <c r="M277" s="18"/>
      <c r="AG277" s="18"/>
      <c r="AH277" s="18"/>
      <c r="AI277" s="18"/>
      <c r="AJ277" s="18"/>
      <c r="AL277" s="18"/>
      <c r="AM277" s="18"/>
      <c r="AN277" s="18"/>
      <c r="AO277" s="18"/>
      <c r="AQ277" s="18"/>
    </row>
    <row r="278">
      <c r="B278" s="18"/>
      <c r="C278" s="18"/>
      <c r="G278" s="18"/>
      <c r="K278" s="18"/>
      <c r="L278" s="18"/>
      <c r="M278" s="18"/>
      <c r="AG278" s="18"/>
      <c r="AH278" s="18"/>
      <c r="AI278" s="18"/>
      <c r="AJ278" s="18"/>
      <c r="AL278" s="18"/>
      <c r="AM278" s="18"/>
      <c r="AN278" s="18"/>
      <c r="AO278" s="18"/>
      <c r="AQ278" s="18"/>
    </row>
    <row r="279">
      <c r="B279" s="18"/>
      <c r="C279" s="18"/>
      <c r="G279" s="18"/>
      <c r="K279" s="18"/>
      <c r="L279" s="18"/>
      <c r="M279" s="18"/>
      <c r="AG279" s="18"/>
      <c r="AH279" s="18"/>
      <c r="AI279" s="18"/>
      <c r="AJ279" s="18"/>
      <c r="AL279" s="18"/>
      <c r="AM279" s="18"/>
      <c r="AN279" s="18"/>
      <c r="AO279" s="18"/>
      <c r="AQ279" s="18"/>
    </row>
    <row r="280">
      <c r="B280" s="18"/>
      <c r="C280" s="18"/>
      <c r="G280" s="18"/>
      <c r="K280" s="18"/>
      <c r="L280" s="18"/>
      <c r="M280" s="18"/>
      <c r="AG280" s="18"/>
      <c r="AH280" s="18"/>
      <c r="AI280" s="18"/>
      <c r="AJ280" s="18"/>
      <c r="AL280" s="18"/>
      <c r="AM280" s="18"/>
      <c r="AN280" s="18"/>
      <c r="AO280" s="18"/>
      <c r="AQ280" s="18"/>
    </row>
    <row r="281">
      <c r="B281" s="18"/>
      <c r="C281" s="18"/>
      <c r="G281" s="18"/>
      <c r="K281" s="18"/>
      <c r="L281" s="18"/>
      <c r="M281" s="18"/>
      <c r="AG281" s="18"/>
      <c r="AH281" s="18"/>
      <c r="AI281" s="18"/>
      <c r="AJ281" s="18"/>
      <c r="AL281" s="18"/>
      <c r="AM281" s="18"/>
      <c r="AN281" s="18"/>
      <c r="AO281" s="18"/>
      <c r="AQ281" s="18"/>
    </row>
    <row r="282">
      <c r="B282" s="18"/>
      <c r="C282" s="18"/>
      <c r="G282" s="18"/>
      <c r="K282" s="18"/>
      <c r="L282" s="18"/>
      <c r="M282" s="18"/>
      <c r="AG282" s="18"/>
      <c r="AH282" s="18"/>
      <c r="AI282" s="18"/>
      <c r="AJ282" s="18"/>
      <c r="AL282" s="18"/>
      <c r="AM282" s="18"/>
      <c r="AN282" s="18"/>
      <c r="AO282" s="18"/>
      <c r="AQ282" s="18"/>
    </row>
    <row r="283">
      <c r="B283" s="18"/>
      <c r="C283" s="18"/>
      <c r="G283" s="18"/>
      <c r="K283" s="18"/>
      <c r="L283" s="18"/>
      <c r="M283" s="18"/>
      <c r="AG283" s="18"/>
      <c r="AH283" s="18"/>
      <c r="AI283" s="18"/>
      <c r="AJ283" s="18"/>
      <c r="AL283" s="18"/>
      <c r="AM283" s="18"/>
      <c r="AN283" s="18"/>
      <c r="AO283" s="18"/>
      <c r="AQ283" s="18"/>
    </row>
    <row r="284">
      <c r="B284" s="18"/>
      <c r="C284" s="18"/>
      <c r="G284" s="18"/>
      <c r="K284" s="18"/>
      <c r="L284" s="18"/>
      <c r="M284" s="18"/>
      <c r="AG284" s="18"/>
      <c r="AH284" s="18"/>
      <c r="AI284" s="18"/>
      <c r="AJ284" s="18"/>
      <c r="AL284" s="18"/>
      <c r="AM284" s="18"/>
      <c r="AN284" s="18"/>
      <c r="AO284" s="18"/>
      <c r="AQ284" s="18"/>
    </row>
    <row r="285">
      <c r="B285" s="18"/>
      <c r="C285" s="18"/>
      <c r="G285" s="18"/>
      <c r="K285" s="18"/>
      <c r="L285" s="18"/>
      <c r="M285" s="18"/>
      <c r="AG285" s="18"/>
      <c r="AH285" s="18"/>
      <c r="AI285" s="18"/>
      <c r="AJ285" s="18"/>
      <c r="AL285" s="18"/>
      <c r="AM285" s="18"/>
      <c r="AN285" s="18"/>
      <c r="AO285" s="18"/>
      <c r="AQ285" s="18"/>
    </row>
    <row r="286">
      <c r="B286" s="18"/>
      <c r="C286" s="18"/>
      <c r="G286" s="18"/>
      <c r="K286" s="18"/>
      <c r="L286" s="18"/>
      <c r="M286" s="18"/>
      <c r="AG286" s="18"/>
      <c r="AH286" s="18"/>
      <c r="AI286" s="18"/>
      <c r="AJ286" s="18"/>
      <c r="AL286" s="18"/>
      <c r="AM286" s="18"/>
      <c r="AN286" s="18"/>
      <c r="AO286" s="18"/>
      <c r="AQ286" s="18"/>
    </row>
    <row r="287">
      <c r="B287" s="18"/>
      <c r="C287" s="18"/>
      <c r="G287" s="18"/>
      <c r="K287" s="18"/>
      <c r="L287" s="18"/>
      <c r="M287" s="18"/>
      <c r="AG287" s="18"/>
      <c r="AH287" s="18"/>
      <c r="AI287" s="18"/>
      <c r="AJ287" s="18"/>
      <c r="AL287" s="18"/>
      <c r="AM287" s="18"/>
      <c r="AN287" s="18"/>
      <c r="AO287" s="18"/>
      <c r="AQ287" s="18"/>
    </row>
    <row r="288">
      <c r="B288" s="18"/>
      <c r="C288" s="18"/>
      <c r="G288" s="18"/>
      <c r="K288" s="18"/>
      <c r="L288" s="18"/>
      <c r="M288" s="18"/>
      <c r="AG288" s="18"/>
      <c r="AH288" s="18"/>
      <c r="AI288" s="18"/>
      <c r="AJ288" s="18"/>
      <c r="AL288" s="18"/>
      <c r="AM288" s="18"/>
      <c r="AN288" s="18"/>
      <c r="AO288" s="18"/>
      <c r="AQ288" s="18"/>
    </row>
    <row r="289">
      <c r="B289" s="18"/>
      <c r="C289" s="18"/>
      <c r="G289" s="18"/>
      <c r="K289" s="18"/>
      <c r="L289" s="18"/>
      <c r="M289" s="18"/>
      <c r="AG289" s="18"/>
      <c r="AH289" s="18"/>
      <c r="AI289" s="18"/>
      <c r="AJ289" s="18"/>
      <c r="AL289" s="18"/>
      <c r="AM289" s="18"/>
      <c r="AN289" s="18"/>
      <c r="AO289" s="18"/>
      <c r="AQ289" s="18"/>
    </row>
    <row r="290">
      <c r="B290" s="18"/>
      <c r="C290" s="18"/>
      <c r="G290" s="18"/>
      <c r="K290" s="18"/>
      <c r="L290" s="18"/>
      <c r="M290" s="18"/>
      <c r="AG290" s="18"/>
      <c r="AH290" s="18"/>
      <c r="AI290" s="18"/>
      <c r="AJ290" s="18"/>
      <c r="AL290" s="18"/>
      <c r="AM290" s="18"/>
      <c r="AN290" s="18"/>
      <c r="AO290" s="18"/>
      <c r="AQ290" s="18"/>
    </row>
    <row r="291">
      <c r="B291" s="18"/>
      <c r="C291" s="18"/>
      <c r="G291" s="18"/>
      <c r="K291" s="18"/>
      <c r="L291" s="18"/>
      <c r="M291" s="18"/>
      <c r="AG291" s="18"/>
      <c r="AH291" s="18"/>
      <c r="AI291" s="18"/>
      <c r="AJ291" s="18"/>
      <c r="AL291" s="18"/>
      <c r="AM291" s="18"/>
      <c r="AN291" s="18"/>
      <c r="AO291" s="18"/>
      <c r="AQ291" s="18"/>
    </row>
    <row r="292">
      <c r="B292" s="18"/>
      <c r="C292" s="18"/>
      <c r="G292" s="18"/>
      <c r="K292" s="18"/>
      <c r="L292" s="18"/>
      <c r="M292" s="18"/>
      <c r="AG292" s="18"/>
      <c r="AH292" s="18"/>
      <c r="AI292" s="18"/>
      <c r="AJ292" s="18"/>
      <c r="AL292" s="18"/>
      <c r="AM292" s="18"/>
      <c r="AN292" s="18"/>
      <c r="AO292" s="18"/>
      <c r="AQ292" s="18"/>
    </row>
    <row r="293">
      <c r="B293" s="18"/>
      <c r="C293" s="18"/>
      <c r="G293" s="18"/>
      <c r="K293" s="18"/>
      <c r="L293" s="18"/>
      <c r="M293" s="18"/>
      <c r="AG293" s="18"/>
      <c r="AH293" s="18"/>
      <c r="AI293" s="18"/>
      <c r="AJ293" s="18"/>
      <c r="AL293" s="18"/>
      <c r="AM293" s="18"/>
      <c r="AN293" s="18"/>
      <c r="AO293" s="18"/>
      <c r="AQ293" s="18"/>
    </row>
    <row r="294">
      <c r="B294" s="18"/>
      <c r="C294" s="18"/>
      <c r="G294" s="18"/>
      <c r="K294" s="18"/>
      <c r="L294" s="18"/>
      <c r="M294" s="18"/>
      <c r="AG294" s="18"/>
      <c r="AH294" s="18"/>
      <c r="AI294" s="18"/>
      <c r="AJ294" s="18"/>
      <c r="AL294" s="18"/>
      <c r="AM294" s="18"/>
      <c r="AN294" s="18"/>
      <c r="AO294" s="18"/>
      <c r="AQ294" s="18"/>
    </row>
    <row r="295">
      <c r="B295" s="18"/>
      <c r="C295" s="18"/>
      <c r="G295" s="18"/>
      <c r="K295" s="18"/>
      <c r="L295" s="18"/>
      <c r="M295" s="18"/>
      <c r="AG295" s="18"/>
      <c r="AH295" s="18"/>
      <c r="AI295" s="18"/>
      <c r="AJ295" s="18"/>
      <c r="AL295" s="18"/>
      <c r="AM295" s="18"/>
      <c r="AN295" s="18"/>
      <c r="AO295" s="18"/>
      <c r="AQ295" s="18"/>
    </row>
    <row r="296">
      <c r="B296" s="18"/>
      <c r="C296" s="18"/>
      <c r="G296" s="18"/>
      <c r="K296" s="18"/>
      <c r="L296" s="18"/>
      <c r="M296" s="18"/>
      <c r="AG296" s="18"/>
      <c r="AH296" s="18"/>
      <c r="AI296" s="18"/>
      <c r="AJ296" s="18"/>
      <c r="AL296" s="18"/>
      <c r="AM296" s="18"/>
      <c r="AN296" s="18"/>
      <c r="AO296" s="18"/>
      <c r="AQ296" s="18"/>
    </row>
    <row r="297">
      <c r="B297" s="18"/>
      <c r="C297" s="18"/>
      <c r="G297" s="18"/>
      <c r="K297" s="18"/>
      <c r="L297" s="18"/>
      <c r="M297" s="18"/>
      <c r="AG297" s="18"/>
      <c r="AH297" s="18"/>
      <c r="AI297" s="18"/>
      <c r="AJ297" s="18"/>
      <c r="AL297" s="18"/>
      <c r="AM297" s="18"/>
      <c r="AN297" s="18"/>
      <c r="AO297" s="18"/>
      <c r="AQ297" s="18"/>
    </row>
    <row r="298">
      <c r="B298" s="18"/>
      <c r="C298" s="18"/>
      <c r="G298" s="18"/>
      <c r="K298" s="18"/>
      <c r="L298" s="18"/>
      <c r="M298" s="18"/>
      <c r="AG298" s="18"/>
      <c r="AH298" s="18"/>
      <c r="AI298" s="18"/>
      <c r="AJ298" s="18"/>
      <c r="AL298" s="18"/>
      <c r="AM298" s="18"/>
      <c r="AN298" s="18"/>
      <c r="AO298" s="18"/>
      <c r="AQ298" s="18"/>
    </row>
    <row r="299">
      <c r="B299" s="18"/>
      <c r="C299" s="18"/>
      <c r="G299" s="18"/>
      <c r="K299" s="18"/>
      <c r="L299" s="18"/>
      <c r="M299" s="18"/>
      <c r="AG299" s="18"/>
      <c r="AH299" s="18"/>
      <c r="AI299" s="18"/>
      <c r="AJ299" s="18"/>
      <c r="AL299" s="18"/>
      <c r="AM299" s="18"/>
      <c r="AN299" s="18"/>
      <c r="AO299" s="18"/>
      <c r="AQ299" s="18"/>
    </row>
    <row r="300">
      <c r="B300" s="18"/>
      <c r="C300" s="18"/>
      <c r="G300" s="18"/>
      <c r="K300" s="18"/>
      <c r="L300" s="18"/>
      <c r="M300" s="18"/>
      <c r="AG300" s="18"/>
      <c r="AH300" s="18"/>
      <c r="AI300" s="18"/>
      <c r="AJ300" s="18"/>
      <c r="AL300" s="18"/>
      <c r="AM300" s="18"/>
      <c r="AN300" s="18"/>
      <c r="AO300" s="18"/>
      <c r="AQ300" s="18"/>
    </row>
    <row r="301">
      <c r="B301" s="18"/>
      <c r="C301" s="18"/>
      <c r="G301" s="18"/>
      <c r="K301" s="18"/>
      <c r="L301" s="18"/>
      <c r="M301" s="18"/>
      <c r="AG301" s="18"/>
      <c r="AH301" s="18"/>
      <c r="AI301" s="18"/>
      <c r="AJ301" s="18"/>
      <c r="AL301" s="18"/>
      <c r="AM301" s="18"/>
      <c r="AN301" s="18"/>
      <c r="AO301" s="18"/>
      <c r="AQ301" s="18"/>
    </row>
    <row r="302">
      <c r="B302" s="18"/>
      <c r="C302" s="18"/>
      <c r="G302" s="18"/>
      <c r="K302" s="18"/>
      <c r="L302" s="18"/>
      <c r="M302" s="18"/>
      <c r="AG302" s="18"/>
      <c r="AH302" s="18"/>
      <c r="AI302" s="18"/>
      <c r="AJ302" s="18"/>
      <c r="AL302" s="18"/>
      <c r="AM302" s="18"/>
      <c r="AN302" s="18"/>
      <c r="AO302" s="18"/>
      <c r="AQ302" s="18"/>
    </row>
    <row r="303">
      <c r="B303" s="18"/>
      <c r="C303" s="18"/>
      <c r="G303" s="18"/>
      <c r="K303" s="18"/>
      <c r="L303" s="18"/>
      <c r="M303" s="18"/>
      <c r="AG303" s="18"/>
      <c r="AH303" s="18"/>
      <c r="AI303" s="18"/>
      <c r="AJ303" s="18"/>
      <c r="AL303" s="18"/>
      <c r="AM303" s="18"/>
      <c r="AN303" s="18"/>
      <c r="AO303" s="18"/>
      <c r="AQ303" s="18"/>
    </row>
    <row r="304">
      <c r="B304" s="18"/>
      <c r="C304" s="18"/>
      <c r="G304" s="18"/>
      <c r="K304" s="18"/>
      <c r="L304" s="18"/>
      <c r="M304" s="18"/>
      <c r="AG304" s="18"/>
      <c r="AH304" s="18"/>
      <c r="AI304" s="18"/>
      <c r="AJ304" s="18"/>
      <c r="AL304" s="18"/>
      <c r="AM304" s="18"/>
      <c r="AN304" s="18"/>
      <c r="AO304" s="18"/>
      <c r="AQ304" s="18"/>
    </row>
    <row r="305">
      <c r="B305" s="18"/>
      <c r="C305" s="18"/>
      <c r="G305" s="18"/>
      <c r="K305" s="18"/>
      <c r="L305" s="18"/>
      <c r="M305" s="18"/>
      <c r="AG305" s="18"/>
      <c r="AH305" s="18"/>
      <c r="AI305" s="18"/>
      <c r="AJ305" s="18"/>
      <c r="AL305" s="18"/>
      <c r="AM305" s="18"/>
      <c r="AN305" s="18"/>
      <c r="AO305" s="18"/>
      <c r="AQ305" s="18"/>
    </row>
    <row r="306">
      <c r="B306" s="18"/>
      <c r="C306" s="18"/>
      <c r="G306" s="18"/>
      <c r="K306" s="18"/>
      <c r="L306" s="18"/>
      <c r="M306" s="18"/>
      <c r="AG306" s="18"/>
      <c r="AH306" s="18"/>
      <c r="AI306" s="18"/>
      <c r="AJ306" s="18"/>
      <c r="AL306" s="18"/>
      <c r="AM306" s="18"/>
      <c r="AN306" s="18"/>
      <c r="AO306" s="18"/>
      <c r="AQ306" s="18"/>
    </row>
    <row r="307">
      <c r="B307" s="18"/>
      <c r="C307" s="18"/>
      <c r="G307" s="18"/>
      <c r="K307" s="18"/>
      <c r="L307" s="18"/>
      <c r="M307" s="18"/>
      <c r="AG307" s="18"/>
      <c r="AH307" s="18"/>
      <c r="AI307" s="18"/>
      <c r="AJ307" s="18"/>
      <c r="AL307" s="18"/>
      <c r="AM307" s="18"/>
      <c r="AN307" s="18"/>
      <c r="AO307" s="18"/>
      <c r="AQ307" s="18"/>
    </row>
    <row r="308">
      <c r="B308" s="18"/>
      <c r="C308" s="18"/>
      <c r="G308" s="18"/>
      <c r="K308" s="18"/>
      <c r="L308" s="18"/>
      <c r="M308" s="18"/>
      <c r="AG308" s="18"/>
      <c r="AH308" s="18"/>
      <c r="AI308" s="18"/>
      <c r="AJ308" s="18"/>
      <c r="AL308" s="18"/>
      <c r="AM308" s="18"/>
      <c r="AN308" s="18"/>
      <c r="AO308" s="18"/>
      <c r="AQ308" s="18"/>
    </row>
    <row r="309">
      <c r="B309" s="18"/>
      <c r="C309" s="18"/>
      <c r="G309" s="18"/>
      <c r="K309" s="18"/>
      <c r="L309" s="18"/>
      <c r="M309" s="18"/>
      <c r="AG309" s="18"/>
      <c r="AH309" s="18"/>
      <c r="AI309" s="18"/>
      <c r="AJ309" s="18"/>
      <c r="AL309" s="18"/>
      <c r="AM309" s="18"/>
      <c r="AN309" s="18"/>
      <c r="AO309" s="18"/>
      <c r="AQ309" s="18"/>
    </row>
    <row r="310">
      <c r="B310" s="18"/>
      <c r="C310" s="18"/>
      <c r="G310" s="18"/>
      <c r="K310" s="18"/>
      <c r="L310" s="18"/>
      <c r="M310" s="18"/>
      <c r="AG310" s="18"/>
      <c r="AH310" s="18"/>
      <c r="AI310" s="18"/>
      <c r="AJ310" s="18"/>
      <c r="AL310" s="18"/>
      <c r="AM310" s="18"/>
      <c r="AN310" s="18"/>
      <c r="AO310" s="18"/>
      <c r="AQ310" s="18"/>
    </row>
    <row r="311">
      <c r="B311" s="18"/>
      <c r="C311" s="18"/>
      <c r="G311" s="18"/>
      <c r="K311" s="18"/>
      <c r="L311" s="18"/>
      <c r="M311" s="18"/>
      <c r="AG311" s="18"/>
      <c r="AH311" s="18"/>
      <c r="AI311" s="18"/>
      <c r="AJ311" s="18"/>
      <c r="AL311" s="18"/>
      <c r="AM311" s="18"/>
      <c r="AN311" s="18"/>
      <c r="AO311" s="18"/>
      <c r="AQ311" s="18"/>
    </row>
    <row r="312">
      <c r="B312" s="18"/>
      <c r="C312" s="18"/>
      <c r="G312" s="18"/>
      <c r="K312" s="18"/>
      <c r="L312" s="18"/>
      <c r="M312" s="18"/>
      <c r="AG312" s="18"/>
      <c r="AH312" s="18"/>
      <c r="AI312" s="18"/>
      <c r="AJ312" s="18"/>
      <c r="AL312" s="18"/>
      <c r="AM312" s="18"/>
      <c r="AN312" s="18"/>
      <c r="AO312" s="18"/>
      <c r="AQ312" s="18"/>
    </row>
    <row r="313">
      <c r="B313" s="18"/>
      <c r="C313" s="18"/>
      <c r="G313" s="18"/>
      <c r="K313" s="18"/>
      <c r="L313" s="18"/>
      <c r="M313" s="18"/>
      <c r="AG313" s="18"/>
      <c r="AH313" s="18"/>
      <c r="AI313" s="18"/>
      <c r="AJ313" s="18"/>
      <c r="AL313" s="18"/>
      <c r="AM313" s="18"/>
      <c r="AN313" s="18"/>
      <c r="AO313" s="18"/>
      <c r="AQ313" s="18"/>
    </row>
    <row r="314">
      <c r="B314" s="18"/>
      <c r="C314" s="18"/>
      <c r="G314" s="18"/>
      <c r="K314" s="18"/>
      <c r="L314" s="18"/>
      <c r="M314" s="18"/>
      <c r="AG314" s="18"/>
      <c r="AH314" s="18"/>
      <c r="AI314" s="18"/>
      <c r="AJ314" s="18"/>
      <c r="AL314" s="18"/>
      <c r="AM314" s="18"/>
      <c r="AN314" s="18"/>
      <c r="AO314" s="18"/>
      <c r="AQ314" s="18"/>
    </row>
    <row r="315">
      <c r="B315" s="18"/>
      <c r="C315" s="18"/>
      <c r="G315" s="18"/>
      <c r="K315" s="18"/>
      <c r="L315" s="18"/>
      <c r="M315" s="18"/>
      <c r="AG315" s="18"/>
      <c r="AH315" s="18"/>
      <c r="AI315" s="18"/>
      <c r="AJ315" s="18"/>
      <c r="AL315" s="18"/>
      <c r="AM315" s="18"/>
      <c r="AN315" s="18"/>
      <c r="AO315" s="18"/>
      <c r="AQ315" s="18"/>
    </row>
    <row r="316">
      <c r="B316" s="18"/>
      <c r="C316" s="18"/>
      <c r="G316" s="18"/>
      <c r="K316" s="18"/>
      <c r="L316" s="18"/>
      <c r="M316" s="18"/>
      <c r="AG316" s="18"/>
      <c r="AH316" s="18"/>
      <c r="AI316" s="18"/>
      <c r="AJ316" s="18"/>
      <c r="AL316" s="18"/>
      <c r="AM316" s="18"/>
      <c r="AN316" s="18"/>
      <c r="AO316" s="18"/>
      <c r="AQ316" s="18"/>
    </row>
    <row r="317">
      <c r="B317" s="18"/>
      <c r="C317" s="18"/>
      <c r="G317" s="18"/>
      <c r="K317" s="18"/>
      <c r="L317" s="18"/>
      <c r="M317" s="18"/>
      <c r="AG317" s="18"/>
      <c r="AH317" s="18"/>
      <c r="AI317" s="18"/>
      <c r="AJ317" s="18"/>
      <c r="AL317" s="18"/>
      <c r="AM317" s="18"/>
      <c r="AN317" s="18"/>
      <c r="AO317" s="18"/>
      <c r="AQ317" s="18"/>
    </row>
    <row r="318">
      <c r="B318" s="18"/>
      <c r="C318" s="18"/>
      <c r="G318" s="18"/>
      <c r="K318" s="18"/>
      <c r="L318" s="18"/>
      <c r="M318" s="18"/>
      <c r="AG318" s="18"/>
      <c r="AH318" s="18"/>
      <c r="AI318" s="18"/>
      <c r="AJ318" s="18"/>
      <c r="AL318" s="18"/>
      <c r="AM318" s="18"/>
      <c r="AN318" s="18"/>
      <c r="AO318" s="18"/>
      <c r="AQ318" s="18"/>
    </row>
    <row r="319">
      <c r="B319" s="18"/>
      <c r="C319" s="18"/>
      <c r="G319" s="18"/>
      <c r="K319" s="18"/>
      <c r="L319" s="18"/>
      <c r="M319" s="18"/>
      <c r="AG319" s="18"/>
      <c r="AH319" s="18"/>
      <c r="AI319" s="18"/>
      <c r="AJ319" s="18"/>
      <c r="AL319" s="18"/>
      <c r="AM319" s="18"/>
      <c r="AN319" s="18"/>
      <c r="AO319" s="18"/>
      <c r="AQ319" s="18"/>
    </row>
    <row r="320">
      <c r="B320" s="18"/>
      <c r="C320" s="18"/>
      <c r="G320" s="18"/>
      <c r="K320" s="18"/>
      <c r="L320" s="18"/>
      <c r="M320" s="18"/>
      <c r="AG320" s="18"/>
      <c r="AH320" s="18"/>
      <c r="AI320" s="18"/>
      <c r="AJ320" s="18"/>
      <c r="AL320" s="18"/>
      <c r="AM320" s="18"/>
      <c r="AN320" s="18"/>
      <c r="AO320" s="18"/>
      <c r="AQ320" s="18"/>
    </row>
    <row r="321">
      <c r="B321" s="18"/>
      <c r="C321" s="18"/>
      <c r="G321" s="18"/>
      <c r="K321" s="18"/>
      <c r="L321" s="18"/>
      <c r="M321" s="18"/>
      <c r="AG321" s="18"/>
      <c r="AH321" s="18"/>
      <c r="AI321" s="18"/>
      <c r="AJ321" s="18"/>
      <c r="AL321" s="18"/>
      <c r="AM321" s="18"/>
      <c r="AN321" s="18"/>
      <c r="AO321" s="18"/>
      <c r="AQ321" s="18"/>
    </row>
    <row r="322">
      <c r="B322" s="18"/>
      <c r="C322" s="18"/>
      <c r="G322" s="18"/>
      <c r="K322" s="18"/>
      <c r="L322" s="18"/>
      <c r="M322" s="18"/>
      <c r="AG322" s="18"/>
      <c r="AH322" s="18"/>
      <c r="AI322" s="18"/>
      <c r="AJ322" s="18"/>
      <c r="AL322" s="18"/>
      <c r="AM322" s="18"/>
      <c r="AN322" s="18"/>
      <c r="AO322" s="18"/>
      <c r="AQ322" s="18"/>
    </row>
    <row r="323">
      <c r="B323" s="18"/>
      <c r="C323" s="18"/>
      <c r="G323" s="18"/>
      <c r="K323" s="18"/>
      <c r="L323" s="18"/>
      <c r="M323" s="18"/>
      <c r="AG323" s="18"/>
      <c r="AH323" s="18"/>
      <c r="AI323" s="18"/>
      <c r="AJ323" s="18"/>
      <c r="AL323" s="18"/>
      <c r="AM323" s="18"/>
      <c r="AN323" s="18"/>
      <c r="AO323" s="18"/>
      <c r="AQ323" s="18"/>
    </row>
    <row r="324">
      <c r="B324" s="18"/>
      <c r="C324" s="18"/>
      <c r="G324" s="18"/>
      <c r="K324" s="18"/>
      <c r="L324" s="18"/>
      <c r="M324" s="18"/>
      <c r="AG324" s="18"/>
      <c r="AH324" s="18"/>
      <c r="AI324" s="18"/>
      <c r="AJ324" s="18"/>
      <c r="AL324" s="18"/>
      <c r="AM324" s="18"/>
      <c r="AN324" s="18"/>
      <c r="AO324" s="18"/>
      <c r="AQ324" s="18"/>
    </row>
    <row r="325">
      <c r="B325" s="18"/>
      <c r="C325" s="18"/>
      <c r="G325" s="18"/>
      <c r="K325" s="18"/>
      <c r="L325" s="18"/>
      <c r="M325" s="18"/>
      <c r="AG325" s="18"/>
      <c r="AH325" s="18"/>
      <c r="AI325" s="18"/>
      <c r="AJ325" s="18"/>
      <c r="AL325" s="18"/>
      <c r="AM325" s="18"/>
      <c r="AN325" s="18"/>
      <c r="AO325" s="18"/>
      <c r="AQ325" s="18"/>
    </row>
    <row r="326">
      <c r="B326" s="18"/>
      <c r="C326" s="18"/>
      <c r="G326" s="18"/>
      <c r="K326" s="18"/>
      <c r="L326" s="18"/>
      <c r="M326" s="18"/>
      <c r="AG326" s="18"/>
      <c r="AH326" s="18"/>
      <c r="AI326" s="18"/>
      <c r="AJ326" s="18"/>
      <c r="AL326" s="18"/>
      <c r="AM326" s="18"/>
      <c r="AN326" s="18"/>
      <c r="AO326" s="18"/>
      <c r="AQ326" s="18"/>
    </row>
    <row r="327">
      <c r="B327" s="18"/>
      <c r="C327" s="18"/>
      <c r="G327" s="18"/>
      <c r="K327" s="18"/>
      <c r="L327" s="18"/>
      <c r="M327" s="18"/>
      <c r="AG327" s="18"/>
      <c r="AH327" s="18"/>
      <c r="AI327" s="18"/>
      <c r="AJ327" s="18"/>
      <c r="AL327" s="18"/>
      <c r="AM327" s="18"/>
      <c r="AN327" s="18"/>
      <c r="AO327" s="18"/>
      <c r="AQ327" s="18"/>
    </row>
    <row r="328">
      <c r="B328" s="18"/>
      <c r="C328" s="18"/>
      <c r="G328" s="18"/>
      <c r="K328" s="18"/>
      <c r="L328" s="18"/>
      <c r="M328" s="18"/>
      <c r="AG328" s="18"/>
      <c r="AH328" s="18"/>
      <c r="AI328" s="18"/>
      <c r="AJ328" s="18"/>
      <c r="AL328" s="18"/>
      <c r="AM328" s="18"/>
      <c r="AN328" s="18"/>
      <c r="AO328" s="18"/>
      <c r="AQ328" s="18"/>
    </row>
    <row r="329">
      <c r="B329" s="18"/>
      <c r="C329" s="18"/>
      <c r="G329" s="18"/>
      <c r="K329" s="18"/>
      <c r="L329" s="18"/>
      <c r="M329" s="18"/>
      <c r="AG329" s="18"/>
      <c r="AH329" s="18"/>
      <c r="AI329" s="18"/>
      <c r="AJ329" s="18"/>
      <c r="AL329" s="18"/>
      <c r="AM329" s="18"/>
      <c r="AN329" s="18"/>
      <c r="AO329" s="18"/>
      <c r="AQ329" s="18"/>
    </row>
    <row r="330">
      <c r="B330" s="18"/>
      <c r="C330" s="18"/>
      <c r="G330" s="18"/>
      <c r="K330" s="18"/>
      <c r="L330" s="18"/>
      <c r="M330" s="18"/>
      <c r="AG330" s="18"/>
      <c r="AH330" s="18"/>
      <c r="AI330" s="18"/>
      <c r="AJ330" s="18"/>
      <c r="AL330" s="18"/>
      <c r="AM330" s="18"/>
      <c r="AN330" s="18"/>
      <c r="AO330" s="18"/>
      <c r="AQ330" s="18"/>
    </row>
    <row r="331">
      <c r="B331" s="18"/>
      <c r="C331" s="18"/>
      <c r="G331" s="18"/>
      <c r="K331" s="18"/>
      <c r="L331" s="18"/>
      <c r="M331" s="18"/>
      <c r="AG331" s="18"/>
      <c r="AH331" s="18"/>
      <c r="AI331" s="18"/>
      <c r="AJ331" s="18"/>
      <c r="AL331" s="18"/>
      <c r="AM331" s="18"/>
      <c r="AN331" s="18"/>
      <c r="AO331" s="18"/>
      <c r="AQ331" s="18"/>
    </row>
    <row r="332">
      <c r="B332" s="18"/>
      <c r="C332" s="18"/>
      <c r="G332" s="18"/>
      <c r="K332" s="18"/>
      <c r="L332" s="18"/>
      <c r="M332" s="18"/>
      <c r="AG332" s="18"/>
      <c r="AH332" s="18"/>
      <c r="AI332" s="18"/>
      <c r="AJ332" s="18"/>
      <c r="AL332" s="18"/>
      <c r="AM332" s="18"/>
      <c r="AN332" s="18"/>
      <c r="AO332" s="18"/>
      <c r="AQ332" s="18"/>
    </row>
    <row r="333">
      <c r="B333" s="18"/>
      <c r="C333" s="18"/>
      <c r="G333" s="18"/>
      <c r="K333" s="18"/>
      <c r="L333" s="18"/>
      <c r="M333" s="18"/>
      <c r="AG333" s="18"/>
      <c r="AH333" s="18"/>
      <c r="AI333" s="18"/>
      <c r="AJ333" s="18"/>
      <c r="AL333" s="18"/>
      <c r="AM333" s="18"/>
      <c r="AN333" s="18"/>
      <c r="AO333" s="18"/>
      <c r="AQ333" s="18"/>
    </row>
    <row r="334">
      <c r="B334" s="18"/>
      <c r="C334" s="18"/>
      <c r="G334" s="18"/>
      <c r="K334" s="18"/>
      <c r="L334" s="18"/>
      <c r="M334" s="18"/>
      <c r="AG334" s="18"/>
      <c r="AH334" s="18"/>
      <c r="AI334" s="18"/>
      <c r="AJ334" s="18"/>
      <c r="AL334" s="18"/>
      <c r="AM334" s="18"/>
      <c r="AN334" s="18"/>
      <c r="AO334" s="18"/>
      <c r="AQ334" s="18"/>
    </row>
    <row r="335">
      <c r="B335" s="18"/>
      <c r="C335" s="18"/>
      <c r="G335" s="18"/>
      <c r="K335" s="18"/>
      <c r="L335" s="18"/>
      <c r="M335" s="18"/>
      <c r="AG335" s="18"/>
      <c r="AH335" s="18"/>
      <c r="AI335" s="18"/>
      <c r="AJ335" s="18"/>
      <c r="AL335" s="18"/>
      <c r="AM335" s="18"/>
      <c r="AN335" s="18"/>
      <c r="AO335" s="18"/>
      <c r="AQ335" s="18"/>
    </row>
    <row r="336">
      <c r="B336" s="18"/>
      <c r="C336" s="18"/>
      <c r="G336" s="18"/>
      <c r="K336" s="18"/>
      <c r="L336" s="18"/>
      <c r="M336" s="18"/>
      <c r="AG336" s="18"/>
      <c r="AH336" s="18"/>
      <c r="AI336" s="18"/>
      <c r="AJ336" s="18"/>
      <c r="AL336" s="18"/>
      <c r="AM336" s="18"/>
      <c r="AN336" s="18"/>
      <c r="AO336" s="18"/>
      <c r="AQ336" s="18"/>
    </row>
    <row r="337">
      <c r="B337" s="18"/>
      <c r="C337" s="18"/>
      <c r="G337" s="18"/>
      <c r="K337" s="18"/>
      <c r="L337" s="18"/>
      <c r="M337" s="18"/>
      <c r="AG337" s="18"/>
      <c r="AH337" s="18"/>
      <c r="AI337" s="18"/>
      <c r="AJ337" s="18"/>
      <c r="AL337" s="18"/>
      <c r="AM337" s="18"/>
      <c r="AN337" s="18"/>
      <c r="AO337" s="18"/>
      <c r="AQ337" s="18"/>
    </row>
    <row r="338">
      <c r="B338" s="18"/>
      <c r="C338" s="18"/>
      <c r="G338" s="18"/>
      <c r="K338" s="18"/>
      <c r="L338" s="18"/>
      <c r="M338" s="18"/>
      <c r="AG338" s="18"/>
      <c r="AH338" s="18"/>
      <c r="AI338" s="18"/>
      <c r="AJ338" s="18"/>
      <c r="AL338" s="18"/>
      <c r="AM338" s="18"/>
      <c r="AN338" s="18"/>
      <c r="AO338" s="18"/>
      <c r="AQ338" s="18"/>
    </row>
    <row r="339">
      <c r="B339" s="18"/>
      <c r="C339" s="18"/>
      <c r="G339" s="18"/>
      <c r="K339" s="18"/>
      <c r="L339" s="18"/>
      <c r="M339" s="18"/>
      <c r="AG339" s="18"/>
      <c r="AH339" s="18"/>
      <c r="AI339" s="18"/>
      <c r="AJ339" s="18"/>
      <c r="AL339" s="18"/>
      <c r="AM339" s="18"/>
      <c r="AN339" s="18"/>
      <c r="AO339" s="18"/>
      <c r="AQ339" s="18"/>
    </row>
    <row r="340">
      <c r="B340" s="18"/>
      <c r="C340" s="18"/>
      <c r="G340" s="18"/>
      <c r="K340" s="18"/>
      <c r="L340" s="18"/>
      <c r="M340" s="18"/>
      <c r="AG340" s="18"/>
      <c r="AH340" s="18"/>
      <c r="AI340" s="18"/>
      <c r="AJ340" s="18"/>
      <c r="AL340" s="18"/>
      <c r="AM340" s="18"/>
      <c r="AN340" s="18"/>
      <c r="AO340" s="18"/>
      <c r="AQ340" s="18"/>
    </row>
    <row r="341">
      <c r="B341" s="18"/>
      <c r="C341" s="18"/>
      <c r="G341" s="18"/>
      <c r="K341" s="18"/>
      <c r="L341" s="18"/>
      <c r="M341" s="18"/>
      <c r="AG341" s="18"/>
      <c r="AH341" s="18"/>
      <c r="AI341" s="18"/>
      <c r="AJ341" s="18"/>
      <c r="AL341" s="18"/>
      <c r="AM341" s="18"/>
      <c r="AN341" s="18"/>
      <c r="AO341" s="18"/>
      <c r="AQ341" s="18"/>
    </row>
    <row r="342">
      <c r="B342" s="18"/>
      <c r="C342" s="18"/>
      <c r="G342" s="18"/>
      <c r="K342" s="18"/>
      <c r="L342" s="18"/>
      <c r="M342" s="18"/>
      <c r="AG342" s="18"/>
      <c r="AH342" s="18"/>
      <c r="AI342" s="18"/>
      <c r="AJ342" s="18"/>
      <c r="AL342" s="18"/>
      <c r="AM342" s="18"/>
      <c r="AN342" s="18"/>
      <c r="AO342" s="18"/>
      <c r="AQ342" s="18"/>
    </row>
    <row r="343">
      <c r="B343" s="18"/>
      <c r="C343" s="18"/>
      <c r="G343" s="18"/>
      <c r="K343" s="18"/>
      <c r="L343" s="18"/>
      <c r="M343" s="18"/>
      <c r="AG343" s="18"/>
      <c r="AH343" s="18"/>
      <c r="AI343" s="18"/>
      <c r="AJ343" s="18"/>
      <c r="AL343" s="18"/>
      <c r="AM343" s="18"/>
      <c r="AN343" s="18"/>
      <c r="AO343" s="18"/>
      <c r="AQ343" s="18"/>
    </row>
    <row r="344">
      <c r="B344" s="18"/>
      <c r="C344" s="18"/>
      <c r="G344" s="18"/>
      <c r="K344" s="18"/>
      <c r="L344" s="18"/>
      <c r="M344" s="18"/>
      <c r="AG344" s="18"/>
      <c r="AH344" s="18"/>
      <c r="AI344" s="18"/>
      <c r="AJ344" s="18"/>
      <c r="AL344" s="18"/>
      <c r="AM344" s="18"/>
      <c r="AN344" s="18"/>
      <c r="AO344" s="18"/>
      <c r="AQ344" s="18"/>
    </row>
    <row r="345">
      <c r="B345" s="18"/>
      <c r="C345" s="18"/>
      <c r="G345" s="18"/>
      <c r="K345" s="18"/>
      <c r="L345" s="18"/>
      <c r="M345" s="18"/>
      <c r="AG345" s="18"/>
      <c r="AH345" s="18"/>
      <c r="AI345" s="18"/>
      <c r="AJ345" s="18"/>
      <c r="AL345" s="18"/>
      <c r="AM345" s="18"/>
      <c r="AN345" s="18"/>
      <c r="AO345" s="18"/>
      <c r="AQ345" s="18"/>
    </row>
    <row r="346">
      <c r="B346" s="18"/>
      <c r="C346" s="18"/>
      <c r="G346" s="18"/>
      <c r="K346" s="18"/>
      <c r="L346" s="18"/>
      <c r="M346" s="18"/>
      <c r="AG346" s="18"/>
      <c r="AH346" s="18"/>
      <c r="AI346" s="18"/>
      <c r="AJ346" s="18"/>
      <c r="AL346" s="18"/>
      <c r="AM346" s="18"/>
      <c r="AN346" s="18"/>
      <c r="AO346" s="18"/>
      <c r="AQ346" s="18"/>
    </row>
    <row r="347">
      <c r="B347" s="18"/>
      <c r="C347" s="18"/>
      <c r="G347" s="18"/>
      <c r="K347" s="18"/>
      <c r="L347" s="18"/>
      <c r="M347" s="18"/>
      <c r="AG347" s="18"/>
      <c r="AH347" s="18"/>
      <c r="AI347" s="18"/>
      <c r="AJ347" s="18"/>
      <c r="AL347" s="18"/>
      <c r="AM347" s="18"/>
      <c r="AN347" s="18"/>
      <c r="AO347" s="18"/>
      <c r="AQ347" s="18"/>
    </row>
    <row r="348">
      <c r="B348" s="18"/>
      <c r="C348" s="18"/>
      <c r="G348" s="18"/>
      <c r="K348" s="18"/>
      <c r="L348" s="18"/>
      <c r="M348" s="18"/>
      <c r="AG348" s="18"/>
      <c r="AH348" s="18"/>
      <c r="AI348" s="18"/>
      <c r="AJ348" s="18"/>
      <c r="AL348" s="18"/>
      <c r="AM348" s="18"/>
      <c r="AN348" s="18"/>
      <c r="AO348" s="18"/>
      <c r="AQ348" s="18"/>
    </row>
    <row r="349">
      <c r="B349" s="18"/>
      <c r="C349" s="18"/>
      <c r="G349" s="18"/>
      <c r="K349" s="18"/>
      <c r="L349" s="18"/>
      <c r="M349" s="18"/>
      <c r="AG349" s="18"/>
      <c r="AH349" s="18"/>
      <c r="AI349" s="18"/>
      <c r="AJ349" s="18"/>
      <c r="AL349" s="18"/>
      <c r="AM349" s="18"/>
      <c r="AN349" s="18"/>
      <c r="AO349" s="18"/>
      <c r="AQ349" s="18"/>
    </row>
    <row r="350">
      <c r="B350" s="18"/>
      <c r="C350" s="18"/>
      <c r="G350" s="18"/>
      <c r="K350" s="18"/>
      <c r="L350" s="18"/>
      <c r="M350" s="18"/>
      <c r="AG350" s="18"/>
      <c r="AH350" s="18"/>
      <c r="AI350" s="18"/>
      <c r="AJ350" s="18"/>
      <c r="AL350" s="18"/>
      <c r="AM350" s="18"/>
      <c r="AN350" s="18"/>
      <c r="AO350" s="18"/>
      <c r="AQ350" s="18"/>
    </row>
    <row r="351">
      <c r="B351" s="18"/>
      <c r="C351" s="18"/>
      <c r="G351" s="18"/>
      <c r="K351" s="18"/>
      <c r="L351" s="18"/>
      <c r="M351" s="18"/>
      <c r="AG351" s="18"/>
      <c r="AH351" s="18"/>
      <c r="AI351" s="18"/>
      <c r="AJ351" s="18"/>
      <c r="AL351" s="18"/>
      <c r="AM351" s="18"/>
      <c r="AN351" s="18"/>
      <c r="AO351" s="18"/>
      <c r="AQ351" s="18"/>
    </row>
    <row r="352">
      <c r="B352" s="18"/>
      <c r="C352" s="18"/>
      <c r="G352" s="18"/>
      <c r="K352" s="18"/>
      <c r="L352" s="18"/>
      <c r="M352" s="18"/>
      <c r="AG352" s="18"/>
      <c r="AH352" s="18"/>
      <c r="AI352" s="18"/>
      <c r="AJ352" s="18"/>
      <c r="AL352" s="18"/>
      <c r="AM352" s="18"/>
      <c r="AN352" s="18"/>
      <c r="AO352" s="18"/>
      <c r="AQ352" s="18"/>
    </row>
    <row r="353">
      <c r="B353" s="18"/>
      <c r="C353" s="18"/>
      <c r="G353" s="18"/>
      <c r="K353" s="18"/>
      <c r="L353" s="18"/>
      <c r="M353" s="18"/>
      <c r="AG353" s="18"/>
      <c r="AH353" s="18"/>
      <c r="AI353" s="18"/>
      <c r="AJ353" s="18"/>
      <c r="AL353" s="18"/>
      <c r="AM353" s="18"/>
      <c r="AN353" s="18"/>
      <c r="AO353" s="18"/>
      <c r="AQ353" s="18"/>
    </row>
    <row r="354">
      <c r="B354" s="18"/>
      <c r="C354" s="18"/>
      <c r="G354" s="18"/>
      <c r="K354" s="18"/>
      <c r="L354" s="18"/>
      <c r="M354" s="18"/>
      <c r="AG354" s="18"/>
      <c r="AH354" s="18"/>
      <c r="AI354" s="18"/>
      <c r="AJ354" s="18"/>
      <c r="AL354" s="18"/>
      <c r="AM354" s="18"/>
      <c r="AN354" s="18"/>
      <c r="AO354" s="18"/>
      <c r="AQ354" s="18"/>
    </row>
    <row r="355">
      <c r="B355" s="18"/>
      <c r="C355" s="18"/>
      <c r="G355" s="18"/>
      <c r="K355" s="18"/>
      <c r="L355" s="18"/>
      <c r="M355" s="18"/>
      <c r="AG355" s="18"/>
      <c r="AH355" s="18"/>
      <c r="AI355" s="18"/>
      <c r="AJ355" s="18"/>
      <c r="AL355" s="18"/>
      <c r="AM355" s="18"/>
      <c r="AN355" s="18"/>
      <c r="AO355" s="18"/>
      <c r="AQ355" s="18"/>
    </row>
    <row r="356">
      <c r="B356" s="18"/>
      <c r="C356" s="18"/>
      <c r="G356" s="18"/>
      <c r="K356" s="18"/>
      <c r="L356" s="18"/>
      <c r="M356" s="18"/>
      <c r="AG356" s="18"/>
      <c r="AH356" s="18"/>
      <c r="AI356" s="18"/>
      <c r="AJ356" s="18"/>
      <c r="AL356" s="18"/>
      <c r="AM356" s="18"/>
      <c r="AN356" s="18"/>
      <c r="AO356" s="18"/>
      <c r="AQ356" s="18"/>
    </row>
    <row r="357">
      <c r="B357" s="18"/>
      <c r="C357" s="18"/>
      <c r="G357" s="18"/>
      <c r="K357" s="18"/>
      <c r="L357" s="18"/>
      <c r="M357" s="18"/>
      <c r="AG357" s="18"/>
      <c r="AH357" s="18"/>
      <c r="AI357" s="18"/>
      <c r="AJ357" s="18"/>
      <c r="AL357" s="18"/>
      <c r="AM357" s="18"/>
      <c r="AN357" s="18"/>
      <c r="AO357" s="18"/>
      <c r="AQ357" s="18"/>
    </row>
    <row r="358">
      <c r="B358" s="18"/>
      <c r="C358" s="18"/>
      <c r="G358" s="18"/>
      <c r="K358" s="18"/>
      <c r="L358" s="18"/>
      <c r="M358" s="18"/>
      <c r="AG358" s="18"/>
      <c r="AH358" s="18"/>
      <c r="AI358" s="18"/>
      <c r="AJ358" s="18"/>
      <c r="AL358" s="18"/>
      <c r="AM358" s="18"/>
      <c r="AN358" s="18"/>
      <c r="AO358" s="18"/>
      <c r="AQ358" s="18"/>
    </row>
    <row r="359">
      <c r="B359" s="18"/>
      <c r="C359" s="18"/>
      <c r="G359" s="18"/>
      <c r="K359" s="18"/>
      <c r="L359" s="18"/>
      <c r="M359" s="18"/>
      <c r="AG359" s="18"/>
      <c r="AH359" s="18"/>
      <c r="AI359" s="18"/>
      <c r="AJ359" s="18"/>
      <c r="AL359" s="18"/>
      <c r="AM359" s="18"/>
      <c r="AN359" s="18"/>
      <c r="AO359" s="18"/>
      <c r="AQ359" s="18"/>
    </row>
    <row r="360">
      <c r="B360" s="18"/>
      <c r="C360" s="18"/>
      <c r="G360" s="18"/>
      <c r="K360" s="18"/>
      <c r="L360" s="18"/>
      <c r="M360" s="18"/>
      <c r="AG360" s="18"/>
      <c r="AH360" s="18"/>
      <c r="AI360" s="18"/>
      <c r="AJ360" s="18"/>
      <c r="AL360" s="18"/>
      <c r="AM360" s="18"/>
      <c r="AN360" s="18"/>
      <c r="AO360" s="18"/>
      <c r="AQ360" s="18"/>
    </row>
    <row r="361">
      <c r="B361" s="18"/>
      <c r="C361" s="18"/>
      <c r="G361" s="18"/>
      <c r="K361" s="18"/>
      <c r="L361" s="18"/>
      <c r="M361" s="18"/>
      <c r="AG361" s="18"/>
      <c r="AH361" s="18"/>
      <c r="AI361" s="18"/>
      <c r="AJ361" s="18"/>
      <c r="AL361" s="18"/>
      <c r="AM361" s="18"/>
      <c r="AN361" s="18"/>
      <c r="AO361" s="18"/>
      <c r="AQ361" s="18"/>
    </row>
    <row r="362">
      <c r="B362" s="18"/>
      <c r="C362" s="18"/>
      <c r="G362" s="18"/>
      <c r="K362" s="18"/>
      <c r="L362" s="18"/>
      <c r="M362" s="18"/>
      <c r="AG362" s="18"/>
      <c r="AH362" s="18"/>
      <c r="AI362" s="18"/>
      <c r="AJ362" s="18"/>
      <c r="AL362" s="18"/>
      <c r="AM362" s="18"/>
      <c r="AN362" s="18"/>
      <c r="AO362" s="18"/>
      <c r="AQ362" s="18"/>
    </row>
    <row r="363">
      <c r="B363" s="18"/>
      <c r="C363" s="18"/>
      <c r="G363" s="18"/>
      <c r="K363" s="18"/>
      <c r="L363" s="18"/>
      <c r="M363" s="18"/>
      <c r="AG363" s="18"/>
      <c r="AH363" s="18"/>
      <c r="AI363" s="18"/>
      <c r="AJ363" s="18"/>
      <c r="AL363" s="18"/>
      <c r="AM363" s="18"/>
      <c r="AN363" s="18"/>
      <c r="AO363" s="18"/>
      <c r="AQ363" s="18"/>
    </row>
    <row r="364">
      <c r="B364" s="18"/>
      <c r="C364" s="18"/>
      <c r="G364" s="18"/>
      <c r="K364" s="18"/>
      <c r="L364" s="18"/>
      <c r="M364" s="18"/>
      <c r="AG364" s="18"/>
      <c r="AH364" s="18"/>
      <c r="AI364" s="18"/>
      <c r="AJ364" s="18"/>
      <c r="AL364" s="18"/>
      <c r="AM364" s="18"/>
      <c r="AN364" s="18"/>
      <c r="AO364" s="18"/>
      <c r="AQ364" s="18"/>
    </row>
    <row r="365">
      <c r="B365" s="18"/>
      <c r="C365" s="18"/>
      <c r="G365" s="18"/>
      <c r="K365" s="18"/>
      <c r="L365" s="18"/>
      <c r="M365" s="18"/>
      <c r="AG365" s="18"/>
      <c r="AH365" s="18"/>
      <c r="AI365" s="18"/>
      <c r="AJ365" s="18"/>
      <c r="AL365" s="18"/>
      <c r="AM365" s="18"/>
      <c r="AN365" s="18"/>
      <c r="AO365" s="18"/>
      <c r="AQ365" s="18"/>
    </row>
    <row r="366">
      <c r="B366" s="18"/>
      <c r="C366" s="18"/>
      <c r="G366" s="18"/>
      <c r="K366" s="18"/>
      <c r="L366" s="18"/>
      <c r="M366" s="18"/>
      <c r="AG366" s="18"/>
      <c r="AH366" s="18"/>
      <c r="AI366" s="18"/>
      <c r="AJ366" s="18"/>
      <c r="AL366" s="18"/>
      <c r="AM366" s="18"/>
      <c r="AN366" s="18"/>
      <c r="AO366" s="18"/>
      <c r="AQ366" s="18"/>
    </row>
    <row r="367">
      <c r="B367" s="18"/>
      <c r="C367" s="18"/>
      <c r="G367" s="18"/>
      <c r="K367" s="18"/>
      <c r="L367" s="18"/>
      <c r="M367" s="18"/>
      <c r="AG367" s="18"/>
      <c r="AH367" s="18"/>
      <c r="AI367" s="18"/>
      <c r="AJ367" s="18"/>
      <c r="AL367" s="18"/>
      <c r="AM367" s="18"/>
      <c r="AN367" s="18"/>
      <c r="AO367" s="18"/>
      <c r="AQ367" s="18"/>
    </row>
    <row r="368">
      <c r="B368" s="18"/>
      <c r="C368" s="18"/>
      <c r="G368" s="18"/>
      <c r="K368" s="18"/>
      <c r="L368" s="18"/>
      <c r="M368" s="18"/>
      <c r="AG368" s="18"/>
      <c r="AH368" s="18"/>
      <c r="AI368" s="18"/>
      <c r="AJ368" s="18"/>
      <c r="AL368" s="18"/>
      <c r="AM368" s="18"/>
      <c r="AN368" s="18"/>
      <c r="AO368" s="18"/>
      <c r="AQ368" s="18"/>
    </row>
    <row r="369">
      <c r="B369" s="18"/>
      <c r="C369" s="18"/>
      <c r="G369" s="18"/>
      <c r="K369" s="18"/>
      <c r="L369" s="18"/>
      <c r="M369" s="18"/>
      <c r="AG369" s="18"/>
      <c r="AH369" s="18"/>
      <c r="AI369" s="18"/>
      <c r="AJ369" s="18"/>
      <c r="AL369" s="18"/>
      <c r="AM369" s="18"/>
      <c r="AN369" s="18"/>
      <c r="AO369" s="18"/>
      <c r="AQ369" s="18"/>
    </row>
    <row r="370">
      <c r="B370" s="18"/>
      <c r="C370" s="18"/>
      <c r="G370" s="18"/>
      <c r="K370" s="18"/>
      <c r="L370" s="18"/>
      <c r="M370" s="18"/>
      <c r="AG370" s="18"/>
      <c r="AH370" s="18"/>
      <c r="AI370" s="18"/>
      <c r="AJ370" s="18"/>
      <c r="AL370" s="18"/>
      <c r="AM370" s="18"/>
      <c r="AN370" s="18"/>
      <c r="AO370" s="18"/>
      <c r="AQ370" s="18"/>
    </row>
    <row r="371">
      <c r="B371" s="18"/>
      <c r="C371" s="18"/>
      <c r="G371" s="18"/>
      <c r="K371" s="18"/>
      <c r="L371" s="18"/>
      <c r="M371" s="18"/>
      <c r="AG371" s="18"/>
      <c r="AH371" s="18"/>
      <c r="AI371" s="18"/>
      <c r="AJ371" s="18"/>
      <c r="AL371" s="18"/>
      <c r="AM371" s="18"/>
      <c r="AN371" s="18"/>
      <c r="AO371" s="18"/>
      <c r="AQ371" s="18"/>
    </row>
    <row r="372">
      <c r="B372" s="18"/>
      <c r="C372" s="18"/>
      <c r="G372" s="18"/>
      <c r="K372" s="18"/>
      <c r="L372" s="18"/>
      <c r="M372" s="18"/>
      <c r="AG372" s="18"/>
      <c r="AH372" s="18"/>
      <c r="AI372" s="18"/>
      <c r="AJ372" s="18"/>
      <c r="AL372" s="18"/>
      <c r="AM372" s="18"/>
      <c r="AN372" s="18"/>
      <c r="AO372" s="18"/>
      <c r="AQ372" s="18"/>
    </row>
    <row r="373">
      <c r="B373" s="18"/>
      <c r="C373" s="18"/>
      <c r="G373" s="18"/>
      <c r="K373" s="18"/>
      <c r="L373" s="18"/>
      <c r="M373" s="18"/>
      <c r="AG373" s="18"/>
      <c r="AH373" s="18"/>
      <c r="AI373" s="18"/>
      <c r="AJ373" s="18"/>
      <c r="AL373" s="18"/>
      <c r="AM373" s="18"/>
      <c r="AN373" s="18"/>
      <c r="AO373" s="18"/>
      <c r="AQ373" s="18"/>
    </row>
    <row r="374">
      <c r="B374" s="18"/>
      <c r="C374" s="18"/>
      <c r="G374" s="18"/>
      <c r="K374" s="18"/>
      <c r="L374" s="18"/>
      <c r="M374" s="18"/>
      <c r="AG374" s="18"/>
      <c r="AH374" s="18"/>
      <c r="AI374" s="18"/>
      <c r="AJ374" s="18"/>
      <c r="AL374" s="18"/>
      <c r="AM374" s="18"/>
      <c r="AN374" s="18"/>
      <c r="AO374" s="18"/>
      <c r="AQ374" s="18"/>
    </row>
    <row r="375">
      <c r="B375" s="18"/>
      <c r="C375" s="18"/>
      <c r="G375" s="18"/>
      <c r="K375" s="18"/>
      <c r="L375" s="18"/>
      <c r="M375" s="18"/>
      <c r="AG375" s="18"/>
      <c r="AH375" s="18"/>
      <c r="AI375" s="18"/>
      <c r="AJ375" s="18"/>
      <c r="AL375" s="18"/>
      <c r="AM375" s="18"/>
      <c r="AN375" s="18"/>
      <c r="AO375" s="18"/>
      <c r="AQ375" s="18"/>
    </row>
    <row r="376">
      <c r="B376" s="18"/>
      <c r="C376" s="18"/>
      <c r="G376" s="18"/>
      <c r="K376" s="18"/>
      <c r="L376" s="18"/>
      <c r="M376" s="18"/>
      <c r="AG376" s="18"/>
      <c r="AH376" s="18"/>
      <c r="AI376" s="18"/>
      <c r="AJ376" s="18"/>
      <c r="AL376" s="18"/>
      <c r="AM376" s="18"/>
      <c r="AN376" s="18"/>
      <c r="AO376" s="18"/>
      <c r="AQ376" s="18"/>
    </row>
    <row r="377">
      <c r="B377" s="18"/>
      <c r="C377" s="18"/>
      <c r="G377" s="18"/>
      <c r="K377" s="18"/>
      <c r="L377" s="18"/>
      <c r="M377" s="18"/>
      <c r="AG377" s="18"/>
      <c r="AH377" s="18"/>
      <c r="AI377" s="18"/>
      <c r="AJ377" s="18"/>
      <c r="AL377" s="18"/>
      <c r="AM377" s="18"/>
      <c r="AN377" s="18"/>
      <c r="AO377" s="18"/>
      <c r="AQ377" s="18"/>
    </row>
    <row r="378">
      <c r="B378" s="18"/>
      <c r="C378" s="18"/>
      <c r="G378" s="18"/>
      <c r="K378" s="18"/>
      <c r="L378" s="18"/>
      <c r="M378" s="18"/>
      <c r="AG378" s="18"/>
      <c r="AH378" s="18"/>
      <c r="AI378" s="18"/>
      <c r="AJ378" s="18"/>
      <c r="AL378" s="18"/>
      <c r="AM378" s="18"/>
      <c r="AN378" s="18"/>
      <c r="AO378" s="18"/>
      <c r="AQ378" s="18"/>
    </row>
    <row r="379">
      <c r="B379" s="18"/>
      <c r="C379" s="18"/>
      <c r="G379" s="18"/>
      <c r="K379" s="18"/>
      <c r="L379" s="18"/>
      <c r="M379" s="18"/>
      <c r="AG379" s="18"/>
      <c r="AH379" s="18"/>
      <c r="AI379" s="18"/>
      <c r="AJ379" s="18"/>
      <c r="AL379" s="18"/>
      <c r="AM379" s="18"/>
      <c r="AN379" s="18"/>
      <c r="AO379" s="18"/>
      <c r="AQ379" s="18"/>
    </row>
    <row r="380">
      <c r="B380" s="18"/>
      <c r="C380" s="18"/>
      <c r="G380" s="18"/>
      <c r="K380" s="18"/>
      <c r="L380" s="18"/>
      <c r="M380" s="18"/>
      <c r="AG380" s="18"/>
      <c r="AH380" s="18"/>
      <c r="AI380" s="18"/>
      <c r="AJ380" s="18"/>
      <c r="AL380" s="18"/>
      <c r="AM380" s="18"/>
      <c r="AN380" s="18"/>
      <c r="AO380" s="18"/>
      <c r="AQ380" s="18"/>
    </row>
    <row r="381">
      <c r="B381" s="18"/>
      <c r="C381" s="18"/>
      <c r="G381" s="18"/>
      <c r="K381" s="18"/>
      <c r="L381" s="18"/>
      <c r="M381" s="18"/>
      <c r="AG381" s="18"/>
      <c r="AH381" s="18"/>
      <c r="AI381" s="18"/>
      <c r="AJ381" s="18"/>
      <c r="AL381" s="18"/>
      <c r="AM381" s="18"/>
      <c r="AN381" s="18"/>
      <c r="AO381" s="18"/>
      <c r="AQ381" s="18"/>
    </row>
    <row r="382">
      <c r="B382" s="18"/>
      <c r="C382" s="18"/>
      <c r="G382" s="18"/>
      <c r="K382" s="18"/>
      <c r="L382" s="18"/>
      <c r="M382" s="18"/>
      <c r="AG382" s="18"/>
      <c r="AH382" s="18"/>
      <c r="AI382" s="18"/>
      <c r="AJ382" s="18"/>
      <c r="AL382" s="18"/>
      <c r="AM382" s="18"/>
      <c r="AN382" s="18"/>
      <c r="AO382" s="18"/>
      <c r="AQ382" s="18"/>
    </row>
    <row r="383">
      <c r="B383" s="18"/>
      <c r="C383" s="18"/>
      <c r="G383" s="18"/>
      <c r="K383" s="18"/>
      <c r="L383" s="18"/>
      <c r="M383" s="18"/>
      <c r="AG383" s="18"/>
      <c r="AH383" s="18"/>
      <c r="AI383" s="18"/>
      <c r="AJ383" s="18"/>
      <c r="AL383" s="18"/>
      <c r="AM383" s="18"/>
      <c r="AN383" s="18"/>
      <c r="AO383" s="18"/>
      <c r="AQ383" s="18"/>
    </row>
    <row r="384">
      <c r="B384" s="18"/>
      <c r="C384" s="18"/>
      <c r="G384" s="18"/>
      <c r="K384" s="18"/>
      <c r="L384" s="18"/>
      <c r="M384" s="18"/>
      <c r="AG384" s="18"/>
      <c r="AH384" s="18"/>
      <c r="AI384" s="18"/>
      <c r="AJ384" s="18"/>
      <c r="AL384" s="18"/>
      <c r="AM384" s="18"/>
      <c r="AN384" s="18"/>
      <c r="AO384" s="18"/>
      <c r="AQ384" s="18"/>
    </row>
    <row r="385">
      <c r="B385" s="18"/>
      <c r="C385" s="18"/>
      <c r="G385" s="18"/>
      <c r="K385" s="18"/>
      <c r="L385" s="18"/>
      <c r="M385" s="18"/>
      <c r="AG385" s="18"/>
      <c r="AH385" s="18"/>
      <c r="AI385" s="18"/>
      <c r="AJ385" s="18"/>
      <c r="AL385" s="18"/>
      <c r="AM385" s="18"/>
      <c r="AN385" s="18"/>
      <c r="AO385" s="18"/>
      <c r="AQ385" s="18"/>
    </row>
    <row r="386">
      <c r="B386" s="18"/>
      <c r="C386" s="18"/>
      <c r="G386" s="18"/>
      <c r="K386" s="18"/>
      <c r="L386" s="18"/>
      <c r="M386" s="18"/>
      <c r="AG386" s="18"/>
      <c r="AH386" s="18"/>
      <c r="AI386" s="18"/>
      <c r="AJ386" s="18"/>
      <c r="AL386" s="18"/>
      <c r="AM386" s="18"/>
      <c r="AN386" s="18"/>
      <c r="AO386" s="18"/>
      <c r="AQ386" s="18"/>
    </row>
    <row r="387">
      <c r="B387" s="18"/>
      <c r="C387" s="18"/>
      <c r="G387" s="18"/>
      <c r="K387" s="18"/>
      <c r="L387" s="18"/>
      <c r="M387" s="18"/>
      <c r="AG387" s="18"/>
      <c r="AH387" s="18"/>
      <c r="AI387" s="18"/>
      <c r="AJ387" s="18"/>
      <c r="AL387" s="18"/>
      <c r="AM387" s="18"/>
      <c r="AN387" s="18"/>
      <c r="AO387" s="18"/>
      <c r="AQ387" s="18"/>
    </row>
    <row r="388">
      <c r="B388" s="18"/>
      <c r="C388" s="18"/>
      <c r="G388" s="18"/>
      <c r="K388" s="18"/>
      <c r="L388" s="18"/>
      <c r="M388" s="18"/>
      <c r="AG388" s="18"/>
      <c r="AH388" s="18"/>
      <c r="AI388" s="18"/>
      <c r="AJ388" s="18"/>
      <c r="AL388" s="18"/>
      <c r="AM388" s="18"/>
      <c r="AN388" s="18"/>
      <c r="AO388" s="18"/>
      <c r="AQ388" s="18"/>
    </row>
    <row r="389">
      <c r="B389" s="18"/>
      <c r="C389" s="18"/>
      <c r="G389" s="18"/>
      <c r="K389" s="18"/>
      <c r="L389" s="18"/>
      <c r="M389" s="18"/>
      <c r="AG389" s="18"/>
      <c r="AH389" s="18"/>
      <c r="AI389" s="18"/>
      <c r="AJ389" s="18"/>
      <c r="AL389" s="18"/>
      <c r="AM389" s="18"/>
      <c r="AN389" s="18"/>
      <c r="AO389" s="18"/>
      <c r="AQ389" s="18"/>
    </row>
    <row r="390">
      <c r="B390" s="18"/>
      <c r="C390" s="18"/>
      <c r="G390" s="18"/>
      <c r="K390" s="18"/>
      <c r="L390" s="18"/>
      <c r="M390" s="18"/>
      <c r="AG390" s="18"/>
      <c r="AH390" s="18"/>
      <c r="AI390" s="18"/>
      <c r="AJ390" s="18"/>
      <c r="AL390" s="18"/>
      <c r="AM390" s="18"/>
      <c r="AN390" s="18"/>
      <c r="AO390" s="18"/>
      <c r="AQ390" s="18"/>
    </row>
    <row r="391">
      <c r="B391" s="18"/>
      <c r="C391" s="18"/>
      <c r="G391" s="18"/>
      <c r="K391" s="18"/>
      <c r="L391" s="18"/>
      <c r="M391" s="18"/>
      <c r="AG391" s="18"/>
      <c r="AH391" s="18"/>
      <c r="AI391" s="18"/>
      <c r="AJ391" s="18"/>
      <c r="AL391" s="18"/>
      <c r="AM391" s="18"/>
      <c r="AN391" s="18"/>
      <c r="AO391" s="18"/>
      <c r="AQ391" s="18"/>
    </row>
    <row r="392">
      <c r="B392" s="18"/>
      <c r="C392" s="18"/>
      <c r="G392" s="18"/>
      <c r="K392" s="18"/>
      <c r="L392" s="18"/>
      <c r="M392" s="18"/>
      <c r="AG392" s="18"/>
      <c r="AH392" s="18"/>
      <c r="AI392" s="18"/>
      <c r="AJ392" s="18"/>
      <c r="AL392" s="18"/>
      <c r="AM392" s="18"/>
      <c r="AN392" s="18"/>
      <c r="AO392" s="18"/>
      <c r="AQ392" s="18"/>
    </row>
    <row r="393">
      <c r="B393" s="18"/>
      <c r="C393" s="18"/>
      <c r="G393" s="18"/>
      <c r="K393" s="18"/>
      <c r="L393" s="18"/>
      <c r="M393" s="18"/>
      <c r="AG393" s="18"/>
      <c r="AH393" s="18"/>
      <c r="AI393" s="18"/>
      <c r="AJ393" s="18"/>
      <c r="AL393" s="18"/>
      <c r="AM393" s="18"/>
      <c r="AN393" s="18"/>
      <c r="AO393" s="18"/>
      <c r="AQ393" s="18"/>
    </row>
    <row r="394">
      <c r="B394" s="18"/>
      <c r="C394" s="18"/>
      <c r="G394" s="18"/>
      <c r="K394" s="18"/>
      <c r="L394" s="18"/>
      <c r="M394" s="18"/>
      <c r="AG394" s="18"/>
      <c r="AH394" s="18"/>
      <c r="AI394" s="18"/>
      <c r="AJ394" s="18"/>
      <c r="AL394" s="18"/>
      <c r="AM394" s="18"/>
      <c r="AN394" s="18"/>
      <c r="AO394" s="18"/>
      <c r="AQ394" s="18"/>
    </row>
    <row r="395">
      <c r="B395" s="18"/>
      <c r="C395" s="18"/>
      <c r="G395" s="18"/>
      <c r="K395" s="18"/>
      <c r="L395" s="18"/>
      <c r="M395" s="18"/>
      <c r="AG395" s="18"/>
      <c r="AH395" s="18"/>
      <c r="AI395" s="18"/>
      <c r="AJ395" s="18"/>
      <c r="AL395" s="18"/>
      <c r="AM395" s="18"/>
      <c r="AN395" s="18"/>
      <c r="AO395" s="18"/>
      <c r="AQ395" s="18"/>
    </row>
    <row r="396">
      <c r="B396" s="18"/>
      <c r="C396" s="18"/>
      <c r="G396" s="18"/>
      <c r="K396" s="18"/>
      <c r="L396" s="18"/>
      <c r="M396" s="18"/>
      <c r="AG396" s="18"/>
      <c r="AH396" s="18"/>
      <c r="AI396" s="18"/>
      <c r="AJ396" s="18"/>
      <c r="AL396" s="18"/>
      <c r="AM396" s="18"/>
      <c r="AN396" s="18"/>
      <c r="AO396" s="18"/>
      <c r="AQ396" s="18"/>
    </row>
    <row r="397">
      <c r="B397" s="18"/>
      <c r="C397" s="18"/>
      <c r="G397" s="18"/>
      <c r="K397" s="18"/>
      <c r="L397" s="18"/>
      <c r="M397" s="18"/>
      <c r="AG397" s="18"/>
      <c r="AH397" s="18"/>
      <c r="AI397" s="18"/>
      <c r="AJ397" s="18"/>
      <c r="AL397" s="18"/>
      <c r="AM397" s="18"/>
      <c r="AN397" s="18"/>
      <c r="AO397" s="18"/>
      <c r="AQ397" s="18"/>
    </row>
    <row r="398">
      <c r="B398" s="18"/>
      <c r="C398" s="18"/>
      <c r="G398" s="18"/>
      <c r="K398" s="18"/>
      <c r="L398" s="18"/>
      <c r="M398" s="18"/>
      <c r="AG398" s="18"/>
      <c r="AH398" s="18"/>
      <c r="AI398" s="18"/>
      <c r="AJ398" s="18"/>
      <c r="AL398" s="18"/>
      <c r="AM398" s="18"/>
      <c r="AN398" s="18"/>
      <c r="AO398" s="18"/>
      <c r="AQ398" s="18"/>
    </row>
    <row r="399">
      <c r="B399" s="18"/>
      <c r="C399" s="18"/>
      <c r="G399" s="18"/>
      <c r="K399" s="18"/>
      <c r="L399" s="18"/>
      <c r="M399" s="18"/>
      <c r="AG399" s="18"/>
      <c r="AH399" s="18"/>
      <c r="AI399" s="18"/>
      <c r="AJ399" s="18"/>
      <c r="AL399" s="18"/>
      <c r="AM399" s="18"/>
      <c r="AN399" s="18"/>
      <c r="AO399" s="18"/>
      <c r="AQ399" s="18"/>
    </row>
    <row r="400">
      <c r="B400" s="18"/>
      <c r="C400" s="18"/>
      <c r="G400" s="18"/>
      <c r="K400" s="18"/>
      <c r="L400" s="18"/>
      <c r="M400" s="18"/>
      <c r="AG400" s="18"/>
      <c r="AH400" s="18"/>
      <c r="AI400" s="18"/>
      <c r="AJ400" s="18"/>
      <c r="AL400" s="18"/>
      <c r="AM400" s="18"/>
      <c r="AN400" s="18"/>
      <c r="AO400" s="18"/>
      <c r="AQ400" s="18"/>
    </row>
    <row r="401">
      <c r="B401" s="18"/>
      <c r="C401" s="18"/>
      <c r="G401" s="18"/>
      <c r="K401" s="18"/>
      <c r="L401" s="18"/>
      <c r="M401" s="18"/>
      <c r="AG401" s="18"/>
      <c r="AH401" s="18"/>
      <c r="AI401" s="18"/>
      <c r="AJ401" s="18"/>
      <c r="AL401" s="18"/>
      <c r="AM401" s="18"/>
      <c r="AN401" s="18"/>
      <c r="AO401" s="18"/>
      <c r="AQ401" s="18"/>
    </row>
    <row r="402">
      <c r="B402" s="18"/>
      <c r="C402" s="18"/>
      <c r="G402" s="18"/>
      <c r="K402" s="18"/>
      <c r="L402" s="18"/>
      <c r="M402" s="18"/>
      <c r="AG402" s="18"/>
      <c r="AH402" s="18"/>
      <c r="AI402" s="18"/>
      <c r="AJ402" s="18"/>
      <c r="AL402" s="18"/>
      <c r="AM402" s="18"/>
      <c r="AN402" s="18"/>
      <c r="AO402" s="18"/>
      <c r="AQ402" s="18"/>
    </row>
    <row r="403">
      <c r="B403" s="18"/>
      <c r="C403" s="18"/>
      <c r="G403" s="18"/>
      <c r="K403" s="18"/>
      <c r="L403" s="18"/>
      <c r="M403" s="18"/>
      <c r="AG403" s="18"/>
      <c r="AH403" s="18"/>
      <c r="AI403" s="18"/>
      <c r="AJ403" s="18"/>
      <c r="AL403" s="18"/>
      <c r="AM403" s="18"/>
      <c r="AN403" s="18"/>
      <c r="AO403" s="18"/>
      <c r="AQ403" s="18"/>
    </row>
    <row r="404">
      <c r="B404" s="18"/>
      <c r="C404" s="18"/>
      <c r="G404" s="18"/>
      <c r="K404" s="18"/>
      <c r="L404" s="18"/>
      <c r="M404" s="18"/>
      <c r="AG404" s="18"/>
      <c r="AH404" s="18"/>
      <c r="AI404" s="18"/>
      <c r="AJ404" s="18"/>
      <c r="AL404" s="18"/>
      <c r="AM404" s="18"/>
      <c r="AN404" s="18"/>
      <c r="AO404" s="18"/>
      <c r="AQ404" s="18"/>
    </row>
    <row r="405">
      <c r="B405" s="18"/>
      <c r="C405" s="18"/>
      <c r="G405" s="18"/>
      <c r="K405" s="18"/>
      <c r="L405" s="18"/>
      <c r="M405" s="18"/>
      <c r="AG405" s="18"/>
      <c r="AH405" s="18"/>
      <c r="AI405" s="18"/>
      <c r="AJ405" s="18"/>
      <c r="AL405" s="18"/>
      <c r="AM405" s="18"/>
      <c r="AN405" s="18"/>
      <c r="AO405" s="18"/>
      <c r="AQ405" s="18"/>
    </row>
    <row r="406">
      <c r="B406" s="18"/>
      <c r="C406" s="18"/>
      <c r="G406" s="18"/>
      <c r="K406" s="18"/>
      <c r="L406" s="18"/>
      <c r="M406" s="18"/>
      <c r="AG406" s="18"/>
      <c r="AH406" s="18"/>
      <c r="AI406" s="18"/>
      <c r="AJ406" s="18"/>
      <c r="AL406" s="18"/>
      <c r="AM406" s="18"/>
      <c r="AN406" s="18"/>
      <c r="AO406" s="18"/>
      <c r="AQ406" s="18"/>
    </row>
    <row r="407">
      <c r="B407" s="18"/>
      <c r="C407" s="18"/>
      <c r="G407" s="18"/>
      <c r="K407" s="18"/>
      <c r="L407" s="18"/>
      <c r="M407" s="18"/>
      <c r="AG407" s="18"/>
      <c r="AH407" s="18"/>
      <c r="AI407" s="18"/>
      <c r="AJ407" s="18"/>
      <c r="AL407" s="18"/>
      <c r="AM407" s="18"/>
      <c r="AN407" s="18"/>
      <c r="AO407" s="18"/>
      <c r="AQ407" s="18"/>
    </row>
    <row r="408">
      <c r="B408" s="18"/>
      <c r="C408" s="18"/>
      <c r="G408" s="18"/>
      <c r="K408" s="18"/>
      <c r="L408" s="18"/>
      <c r="M408" s="18"/>
      <c r="AG408" s="18"/>
      <c r="AH408" s="18"/>
      <c r="AI408" s="18"/>
      <c r="AJ408" s="18"/>
      <c r="AL408" s="18"/>
      <c r="AM408" s="18"/>
      <c r="AN408" s="18"/>
      <c r="AO408" s="18"/>
      <c r="AQ408" s="18"/>
    </row>
    <row r="409">
      <c r="B409" s="18"/>
      <c r="C409" s="18"/>
      <c r="G409" s="18"/>
      <c r="K409" s="18"/>
      <c r="L409" s="18"/>
      <c r="M409" s="18"/>
      <c r="AG409" s="18"/>
      <c r="AH409" s="18"/>
      <c r="AI409" s="18"/>
      <c r="AJ409" s="18"/>
      <c r="AL409" s="18"/>
      <c r="AM409" s="18"/>
      <c r="AN409" s="18"/>
      <c r="AO409" s="18"/>
      <c r="AQ409" s="18"/>
    </row>
    <row r="410">
      <c r="B410" s="18"/>
      <c r="C410" s="18"/>
      <c r="G410" s="18"/>
      <c r="K410" s="18"/>
      <c r="L410" s="18"/>
      <c r="M410" s="18"/>
      <c r="AG410" s="18"/>
      <c r="AH410" s="18"/>
      <c r="AI410" s="18"/>
      <c r="AJ410" s="18"/>
      <c r="AL410" s="18"/>
      <c r="AM410" s="18"/>
      <c r="AN410" s="18"/>
      <c r="AO410" s="18"/>
      <c r="AQ410" s="18"/>
    </row>
    <row r="411">
      <c r="B411" s="18"/>
      <c r="C411" s="18"/>
      <c r="G411" s="18"/>
      <c r="K411" s="18"/>
      <c r="L411" s="18"/>
      <c r="M411" s="18"/>
      <c r="AG411" s="18"/>
      <c r="AH411" s="18"/>
      <c r="AI411" s="18"/>
      <c r="AJ411" s="18"/>
      <c r="AL411" s="18"/>
      <c r="AM411" s="18"/>
      <c r="AN411" s="18"/>
      <c r="AO411" s="18"/>
      <c r="AQ411" s="18"/>
    </row>
    <row r="412">
      <c r="B412" s="18"/>
      <c r="C412" s="18"/>
      <c r="G412" s="18"/>
      <c r="K412" s="18"/>
      <c r="L412" s="18"/>
      <c r="M412" s="18"/>
      <c r="AG412" s="18"/>
      <c r="AH412" s="18"/>
      <c r="AI412" s="18"/>
      <c r="AJ412" s="18"/>
      <c r="AL412" s="18"/>
      <c r="AM412" s="18"/>
      <c r="AN412" s="18"/>
      <c r="AO412" s="18"/>
      <c r="AQ412" s="18"/>
    </row>
    <row r="413">
      <c r="B413" s="18"/>
      <c r="C413" s="18"/>
      <c r="G413" s="18"/>
      <c r="K413" s="18"/>
      <c r="L413" s="18"/>
      <c r="M413" s="18"/>
      <c r="AG413" s="18"/>
      <c r="AH413" s="18"/>
      <c r="AI413" s="18"/>
      <c r="AJ413" s="18"/>
      <c r="AL413" s="18"/>
      <c r="AM413" s="18"/>
      <c r="AN413" s="18"/>
      <c r="AO413" s="18"/>
      <c r="AQ413" s="18"/>
    </row>
    <row r="414">
      <c r="B414" s="18"/>
      <c r="C414" s="18"/>
      <c r="G414" s="18"/>
      <c r="K414" s="18"/>
      <c r="L414" s="18"/>
      <c r="M414" s="18"/>
      <c r="AG414" s="18"/>
      <c r="AH414" s="18"/>
      <c r="AI414" s="18"/>
      <c r="AJ414" s="18"/>
      <c r="AL414" s="18"/>
      <c r="AM414" s="18"/>
      <c r="AN414" s="18"/>
      <c r="AO414" s="18"/>
      <c r="AQ414" s="18"/>
    </row>
    <row r="415">
      <c r="B415" s="18"/>
      <c r="C415" s="18"/>
      <c r="G415" s="18"/>
      <c r="K415" s="18"/>
      <c r="L415" s="18"/>
      <c r="M415" s="18"/>
      <c r="AG415" s="18"/>
      <c r="AH415" s="18"/>
      <c r="AI415" s="18"/>
      <c r="AJ415" s="18"/>
      <c r="AL415" s="18"/>
      <c r="AM415" s="18"/>
      <c r="AN415" s="18"/>
      <c r="AO415" s="18"/>
      <c r="AQ415" s="18"/>
    </row>
    <row r="416">
      <c r="B416" s="18"/>
      <c r="C416" s="18"/>
      <c r="G416" s="18"/>
      <c r="K416" s="18"/>
      <c r="L416" s="18"/>
      <c r="M416" s="18"/>
      <c r="AG416" s="18"/>
      <c r="AH416" s="18"/>
      <c r="AI416" s="18"/>
      <c r="AJ416" s="18"/>
      <c r="AL416" s="18"/>
      <c r="AM416" s="18"/>
      <c r="AN416" s="18"/>
      <c r="AO416" s="18"/>
      <c r="AQ416" s="18"/>
    </row>
    <row r="417">
      <c r="B417" s="18"/>
      <c r="C417" s="18"/>
      <c r="G417" s="18"/>
      <c r="K417" s="18"/>
      <c r="L417" s="18"/>
      <c r="M417" s="18"/>
      <c r="AG417" s="18"/>
      <c r="AH417" s="18"/>
      <c r="AI417" s="18"/>
      <c r="AJ417" s="18"/>
      <c r="AL417" s="18"/>
      <c r="AM417" s="18"/>
      <c r="AN417" s="18"/>
      <c r="AO417" s="18"/>
      <c r="AQ417" s="18"/>
    </row>
    <row r="418">
      <c r="B418" s="18"/>
      <c r="C418" s="18"/>
      <c r="G418" s="18"/>
      <c r="K418" s="18"/>
      <c r="L418" s="18"/>
      <c r="M418" s="18"/>
      <c r="AG418" s="18"/>
      <c r="AH418" s="18"/>
      <c r="AI418" s="18"/>
      <c r="AJ418" s="18"/>
      <c r="AL418" s="18"/>
      <c r="AM418" s="18"/>
      <c r="AN418" s="18"/>
      <c r="AO418" s="18"/>
      <c r="AQ418" s="18"/>
    </row>
    <row r="419">
      <c r="B419" s="18"/>
      <c r="C419" s="18"/>
      <c r="G419" s="18"/>
      <c r="K419" s="18"/>
      <c r="L419" s="18"/>
      <c r="M419" s="18"/>
      <c r="AG419" s="18"/>
      <c r="AH419" s="18"/>
      <c r="AI419" s="18"/>
      <c r="AJ419" s="18"/>
      <c r="AL419" s="18"/>
      <c r="AM419" s="18"/>
      <c r="AN419" s="18"/>
      <c r="AO419" s="18"/>
      <c r="AQ419" s="18"/>
    </row>
    <row r="420">
      <c r="B420" s="18"/>
      <c r="C420" s="18"/>
      <c r="G420" s="18"/>
      <c r="K420" s="18"/>
      <c r="L420" s="18"/>
      <c r="M420" s="18"/>
      <c r="AG420" s="18"/>
      <c r="AH420" s="18"/>
      <c r="AI420" s="18"/>
      <c r="AJ420" s="18"/>
      <c r="AL420" s="18"/>
      <c r="AM420" s="18"/>
      <c r="AN420" s="18"/>
      <c r="AO420" s="18"/>
      <c r="AQ420" s="18"/>
    </row>
    <row r="421">
      <c r="B421" s="18"/>
      <c r="C421" s="18"/>
      <c r="G421" s="18"/>
      <c r="K421" s="18"/>
      <c r="L421" s="18"/>
      <c r="M421" s="18"/>
      <c r="AG421" s="18"/>
      <c r="AH421" s="18"/>
      <c r="AI421" s="18"/>
      <c r="AJ421" s="18"/>
      <c r="AL421" s="18"/>
      <c r="AM421" s="18"/>
      <c r="AN421" s="18"/>
      <c r="AO421" s="18"/>
      <c r="AQ421" s="18"/>
    </row>
    <row r="422">
      <c r="B422" s="18"/>
      <c r="C422" s="18"/>
      <c r="G422" s="18"/>
      <c r="K422" s="18"/>
      <c r="L422" s="18"/>
      <c r="M422" s="18"/>
      <c r="AG422" s="18"/>
      <c r="AH422" s="18"/>
      <c r="AI422" s="18"/>
      <c r="AJ422" s="18"/>
      <c r="AL422" s="18"/>
      <c r="AM422" s="18"/>
      <c r="AN422" s="18"/>
      <c r="AO422" s="18"/>
      <c r="AQ422" s="18"/>
    </row>
    <row r="423">
      <c r="B423" s="18"/>
      <c r="C423" s="18"/>
      <c r="G423" s="18"/>
      <c r="K423" s="18"/>
      <c r="L423" s="18"/>
      <c r="M423" s="18"/>
      <c r="AG423" s="18"/>
      <c r="AH423" s="18"/>
      <c r="AI423" s="18"/>
      <c r="AJ423" s="18"/>
      <c r="AL423" s="18"/>
      <c r="AM423" s="18"/>
      <c r="AN423" s="18"/>
      <c r="AO423" s="18"/>
      <c r="AQ423" s="18"/>
    </row>
    <row r="424">
      <c r="B424" s="18"/>
      <c r="C424" s="18"/>
      <c r="G424" s="18"/>
      <c r="K424" s="18"/>
      <c r="L424" s="18"/>
      <c r="M424" s="18"/>
      <c r="AG424" s="18"/>
      <c r="AH424" s="18"/>
      <c r="AI424" s="18"/>
      <c r="AJ424" s="18"/>
      <c r="AL424" s="18"/>
      <c r="AM424" s="18"/>
      <c r="AN424" s="18"/>
      <c r="AO424" s="18"/>
      <c r="AQ424" s="18"/>
    </row>
    <row r="425">
      <c r="B425" s="18"/>
      <c r="C425" s="18"/>
      <c r="G425" s="18"/>
      <c r="K425" s="18"/>
      <c r="L425" s="18"/>
      <c r="M425" s="18"/>
      <c r="AG425" s="18"/>
      <c r="AH425" s="18"/>
      <c r="AI425" s="18"/>
      <c r="AJ425" s="18"/>
      <c r="AL425" s="18"/>
      <c r="AM425" s="18"/>
      <c r="AN425" s="18"/>
      <c r="AO425" s="18"/>
      <c r="AQ425" s="18"/>
    </row>
    <row r="426">
      <c r="B426" s="18"/>
      <c r="C426" s="18"/>
      <c r="G426" s="18"/>
      <c r="K426" s="18"/>
      <c r="L426" s="18"/>
      <c r="M426" s="18"/>
      <c r="AG426" s="18"/>
      <c r="AH426" s="18"/>
      <c r="AI426" s="18"/>
      <c r="AJ426" s="18"/>
      <c r="AL426" s="18"/>
      <c r="AM426" s="18"/>
      <c r="AN426" s="18"/>
      <c r="AO426" s="18"/>
      <c r="AQ426" s="18"/>
    </row>
    <row r="427">
      <c r="B427" s="18"/>
      <c r="C427" s="18"/>
      <c r="G427" s="18"/>
      <c r="K427" s="18"/>
      <c r="L427" s="18"/>
      <c r="M427" s="18"/>
      <c r="AG427" s="18"/>
      <c r="AH427" s="18"/>
      <c r="AI427" s="18"/>
      <c r="AJ427" s="18"/>
      <c r="AL427" s="18"/>
      <c r="AM427" s="18"/>
      <c r="AN427" s="18"/>
      <c r="AO427" s="18"/>
      <c r="AQ427" s="18"/>
    </row>
    <row r="428">
      <c r="B428" s="18"/>
      <c r="C428" s="18"/>
      <c r="G428" s="18"/>
      <c r="K428" s="18"/>
      <c r="L428" s="18"/>
      <c r="M428" s="18"/>
      <c r="AG428" s="18"/>
      <c r="AH428" s="18"/>
      <c r="AI428" s="18"/>
      <c r="AJ428" s="18"/>
      <c r="AL428" s="18"/>
      <c r="AM428" s="18"/>
      <c r="AN428" s="18"/>
      <c r="AO428" s="18"/>
      <c r="AQ428" s="18"/>
    </row>
    <row r="429">
      <c r="B429" s="18"/>
      <c r="C429" s="18"/>
      <c r="G429" s="18"/>
      <c r="K429" s="18"/>
      <c r="L429" s="18"/>
      <c r="M429" s="18"/>
      <c r="AG429" s="18"/>
      <c r="AH429" s="18"/>
      <c r="AI429" s="18"/>
      <c r="AJ429" s="18"/>
      <c r="AL429" s="18"/>
      <c r="AM429" s="18"/>
      <c r="AN429" s="18"/>
      <c r="AO429" s="18"/>
      <c r="AQ429" s="18"/>
    </row>
    <row r="430">
      <c r="B430" s="18"/>
      <c r="C430" s="18"/>
      <c r="G430" s="18"/>
      <c r="K430" s="18"/>
      <c r="L430" s="18"/>
      <c r="M430" s="18"/>
      <c r="AG430" s="18"/>
      <c r="AH430" s="18"/>
      <c r="AI430" s="18"/>
      <c r="AJ430" s="18"/>
      <c r="AL430" s="18"/>
      <c r="AM430" s="18"/>
      <c r="AN430" s="18"/>
      <c r="AO430" s="18"/>
      <c r="AQ430" s="18"/>
    </row>
    <row r="431">
      <c r="B431" s="18"/>
      <c r="C431" s="18"/>
      <c r="G431" s="18"/>
      <c r="K431" s="18"/>
      <c r="L431" s="18"/>
      <c r="M431" s="18"/>
      <c r="AG431" s="18"/>
      <c r="AH431" s="18"/>
      <c r="AI431" s="18"/>
      <c r="AJ431" s="18"/>
      <c r="AL431" s="18"/>
      <c r="AM431" s="18"/>
      <c r="AN431" s="18"/>
      <c r="AO431" s="18"/>
      <c r="AQ431" s="18"/>
    </row>
    <row r="432">
      <c r="B432" s="18"/>
      <c r="C432" s="18"/>
      <c r="G432" s="18"/>
      <c r="K432" s="18"/>
      <c r="L432" s="18"/>
      <c r="M432" s="18"/>
      <c r="AG432" s="18"/>
      <c r="AH432" s="18"/>
      <c r="AI432" s="18"/>
      <c r="AJ432" s="18"/>
      <c r="AL432" s="18"/>
      <c r="AM432" s="18"/>
      <c r="AN432" s="18"/>
      <c r="AO432" s="18"/>
      <c r="AQ432" s="18"/>
    </row>
    <row r="433">
      <c r="B433" s="18"/>
      <c r="C433" s="18"/>
      <c r="G433" s="18"/>
      <c r="K433" s="18"/>
      <c r="L433" s="18"/>
      <c r="M433" s="18"/>
      <c r="AG433" s="18"/>
      <c r="AH433" s="18"/>
      <c r="AI433" s="18"/>
      <c r="AJ433" s="18"/>
      <c r="AL433" s="18"/>
      <c r="AM433" s="18"/>
      <c r="AN433" s="18"/>
      <c r="AO433" s="18"/>
      <c r="AQ433" s="18"/>
    </row>
    <row r="434">
      <c r="B434" s="18"/>
      <c r="C434" s="18"/>
      <c r="G434" s="18"/>
      <c r="K434" s="18"/>
      <c r="L434" s="18"/>
      <c r="M434" s="18"/>
      <c r="AG434" s="18"/>
      <c r="AH434" s="18"/>
      <c r="AI434" s="18"/>
      <c r="AJ434" s="18"/>
      <c r="AL434" s="18"/>
      <c r="AM434" s="18"/>
      <c r="AN434" s="18"/>
      <c r="AO434" s="18"/>
      <c r="AQ434" s="18"/>
    </row>
    <row r="435">
      <c r="B435" s="18"/>
      <c r="C435" s="18"/>
      <c r="G435" s="18"/>
      <c r="K435" s="18"/>
      <c r="L435" s="18"/>
      <c r="M435" s="18"/>
      <c r="AG435" s="18"/>
      <c r="AH435" s="18"/>
      <c r="AI435" s="18"/>
      <c r="AJ435" s="18"/>
      <c r="AL435" s="18"/>
      <c r="AM435" s="18"/>
      <c r="AN435" s="18"/>
      <c r="AO435" s="18"/>
      <c r="AQ435" s="18"/>
    </row>
    <row r="436">
      <c r="B436" s="18"/>
      <c r="C436" s="18"/>
      <c r="G436" s="18"/>
      <c r="K436" s="18"/>
      <c r="L436" s="18"/>
      <c r="M436" s="18"/>
      <c r="AG436" s="18"/>
      <c r="AH436" s="18"/>
      <c r="AI436" s="18"/>
      <c r="AJ436" s="18"/>
      <c r="AL436" s="18"/>
      <c r="AM436" s="18"/>
      <c r="AN436" s="18"/>
      <c r="AO436" s="18"/>
      <c r="AQ436" s="18"/>
    </row>
    <row r="437">
      <c r="B437" s="18"/>
      <c r="C437" s="18"/>
      <c r="G437" s="18"/>
      <c r="K437" s="18"/>
      <c r="L437" s="18"/>
      <c r="M437" s="18"/>
      <c r="AG437" s="18"/>
      <c r="AH437" s="18"/>
      <c r="AI437" s="18"/>
      <c r="AJ437" s="18"/>
      <c r="AL437" s="18"/>
      <c r="AM437" s="18"/>
      <c r="AN437" s="18"/>
      <c r="AO437" s="18"/>
      <c r="AQ437" s="18"/>
    </row>
    <row r="438">
      <c r="B438" s="18"/>
      <c r="C438" s="18"/>
      <c r="G438" s="18"/>
      <c r="K438" s="18"/>
      <c r="L438" s="18"/>
      <c r="M438" s="18"/>
      <c r="AG438" s="18"/>
      <c r="AH438" s="18"/>
      <c r="AI438" s="18"/>
      <c r="AJ438" s="18"/>
      <c r="AL438" s="18"/>
      <c r="AM438" s="18"/>
      <c r="AN438" s="18"/>
      <c r="AO438" s="18"/>
      <c r="AQ438" s="18"/>
    </row>
    <row r="439">
      <c r="B439" s="18"/>
      <c r="C439" s="18"/>
      <c r="G439" s="18"/>
      <c r="K439" s="18"/>
      <c r="L439" s="18"/>
      <c r="M439" s="18"/>
      <c r="AG439" s="18"/>
      <c r="AH439" s="18"/>
      <c r="AI439" s="18"/>
      <c r="AJ439" s="18"/>
      <c r="AL439" s="18"/>
      <c r="AM439" s="18"/>
      <c r="AN439" s="18"/>
      <c r="AO439" s="18"/>
      <c r="AQ439" s="18"/>
    </row>
    <row r="440">
      <c r="B440" s="18"/>
      <c r="C440" s="18"/>
      <c r="G440" s="18"/>
      <c r="K440" s="18"/>
      <c r="L440" s="18"/>
      <c r="M440" s="18"/>
      <c r="AG440" s="18"/>
      <c r="AH440" s="18"/>
      <c r="AI440" s="18"/>
      <c r="AJ440" s="18"/>
      <c r="AL440" s="18"/>
      <c r="AM440" s="18"/>
      <c r="AN440" s="18"/>
      <c r="AO440" s="18"/>
      <c r="AQ440" s="18"/>
    </row>
    <row r="441">
      <c r="B441" s="18"/>
      <c r="C441" s="18"/>
      <c r="G441" s="18"/>
      <c r="K441" s="18"/>
      <c r="L441" s="18"/>
      <c r="M441" s="18"/>
      <c r="AG441" s="18"/>
      <c r="AH441" s="18"/>
      <c r="AI441" s="18"/>
      <c r="AJ441" s="18"/>
      <c r="AL441" s="18"/>
      <c r="AM441" s="18"/>
      <c r="AN441" s="18"/>
      <c r="AO441" s="18"/>
      <c r="AQ441" s="18"/>
    </row>
    <row r="442">
      <c r="B442" s="18"/>
      <c r="C442" s="18"/>
      <c r="G442" s="18"/>
      <c r="K442" s="18"/>
      <c r="L442" s="18"/>
      <c r="M442" s="18"/>
      <c r="AG442" s="18"/>
      <c r="AH442" s="18"/>
      <c r="AI442" s="18"/>
      <c r="AJ442" s="18"/>
      <c r="AL442" s="18"/>
      <c r="AM442" s="18"/>
      <c r="AN442" s="18"/>
      <c r="AO442" s="18"/>
      <c r="AQ442" s="18"/>
    </row>
    <row r="443">
      <c r="B443" s="18"/>
      <c r="C443" s="18"/>
      <c r="G443" s="18"/>
      <c r="K443" s="18"/>
      <c r="L443" s="18"/>
      <c r="M443" s="18"/>
      <c r="AG443" s="18"/>
      <c r="AH443" s="18"/>
      <c r="AI443" s="18"/>
      <c r="AJ443" s="18"/>
      <c r="AL443" s="18"/>
      <c r="AM443" s="18"/>
      <c r="AN443" s="18"/>
      <c r="AO443" s="18"/>
      <c r="AQ443" s="18"/>
    </row>
    <row r="444">
      <c r="B444" s="18"/>
      <c r="C444" s="18"/>
      <c r="G444" s="18"/>
      <c r="K444" s="18"/>
      <c r="L444" s="18"/>
      <c r="M444" s="18"/>
      <c r="AG444" s="18"/>
      <c r="AH444" s="18"/>
      <c r="AI444" s="18"/>
      <c r="AJ444" s="18"/>
      <c r="AL444" s="18"/>
      <c r="AM444" s="18"/>
      <c r="AN444" s="18"/>
      <c r="AO444" s="18"/>
      <c r="AQ444" s="18"/>
    </row>
    <row r="445">
      <c r="B445" s="18"/>
      <c r="C445" s="18"/>
      <c r="G445" s="18"/>
      <c r="K445" s="18"/>
      <c r="L445" s="18"/>
      <c r="M445" s="18"/>
      <c r="AG445" s="18"/>
      <c r="AH445" s="18"/>
      <c r="AI445" s="18"/>
      <c r="AJ445" s="18"/>
      <c r="AL445" s="18"/>
      <c r="AM445" s="18"/>
      <c r="AN445" s="18"/>
      <c r="AO445" s="18"/>
      <c r="AQ445" s="18"/>
    </row>
    <row r="446">
      <c r="B446" s="18"/>
      <c r="C446" s="18"/>
      <c r="G446" s="18"/>
      <c r="K446" s="18"/>
      <c r="L446" s="18"/>
      <c r="M446" s="18"/>
      <c r="AG446" s="18"/>
      <c r="AH446" s="18"/>
      <c r="AI446" s="18"/>
      <c r="AJ446" s="18"/>
      <c r="AL446" s="18"/>
      <c r="AM446" s="18"/>
      <c r="AN446" s="18"/>
      <c r="AO446" s="18"/>
      <c r="AQ446" s="18"/>
    </row>
    <row r="447">
      <c r="B447" s="18"/>
      <c r="C447" s="18"/>
      <c r="G447" s="18"/>
      <c r="K447" s="18"/>
      <c r="L447" s="18"/>
      <c r="M447" s="18"/>
      <c r="AG447" s="18"/>
      <c r="AH447" s="18"/>
      <c r="AI447" s="18"/>
      <c r="AJ447" s="18"/>
      <c r="AL447" s="18"/>
      <c r="AM447" s="18"/>
      <c r="AN447" s="18"/>
      <c r="AO447" s="18"/>
      <c r="AQ447" s="18"/>
    </row>
    <row r="448">
      <c r="B448" s="18"/>
      <c r="C448" s="18"/>
      <c r="G448" s="18"/>
      <c r="K448" s="18"/>
      <c r="L448" s="18"/>
      <c r="M448" s="18"/>
      <c r="AG448" s="18"/>
      <c r="AH448" s="18"/>
      <c r="AI448" s="18"/>
      <c r="AJ448" s="18"/>
      <c r="AL448" s="18"/>
      <c r="AM448" s="18"/>
      <c r="AN448" s="18"/>
      <c r="AO448" s="18"/>
      <c r="AQ448" s="18"/>
    </row>
    <row r="449">
      <c r="B449" s="18"/>
      <c r="C449" s="18"/>
      <c r="G449" s="18"/>
      <c r="K449" s="18"/>
      <c r="L449" s="18"/>
      <c r="M449" s="18"/>
      <c r="AG449" s="18"/>
      <c r="AH449" s="18"/>
      <c r="AI449" s="18"/>
      <c r="AJ449" s="18"/>
      <c r="AL449" s="18"/>
      <c r="AM449" s="18"/>
      <c r="AN449" s="18"/>
      <c r="AO449" s="18"/>
      <c r="AQ449" s="18"/>
    </row>
    <row r="450">
      <c r="B450" s="18"/>
      <c r="C450" s="18"/>
      <c r="G450" s="18"/>
      <c r="K450" s="18"/>
      <c r="L450" s="18"/>
      <c r="M450" s="18"/>
      <c r="AG450" s="18"/>
      <c r="AH450" s="18"/>
      <c r="AI450" s="18"/>
      <c r="AJ450" s="18"/>
      <c r="AL450" s="18"/>
      <c r="AM450" s="18"/>
      <c r="AN450" s="18"/>
      <c r="AO450" s="18"/>
      <c r="AQ450" s="18"/>
    </row>
    <row r="451">
      <c r="B451" s="18"/>
      <c r="C451" s="18"/>
      <c r="G451" s="18"/>
      <c r="K451" s="18"/>
      <c r="L451" s="18"/>
      <c r="M451" s="18"/>
      <c r="AG451" s="18"/>
      <c r="AH451" s="18"/>
      <c r="AI451" s="18"/>
      <c r="AJ451" s="18"/>
      <c r="AL451" s="18"/>
      <c r="AM451" s="18"/>
      <c r="AN451" s="18"/>
      <c r="AO451" s="18"/>
      <c r="AQ451" s="18"/>
    </row>
    <row r="452">
      <c r="B452" s="18"/>
      <c r="C452" s="18"/>
      <c r="G452" s="18"/>
      <c r="K452" s="18"/>
      <c r="L452" s="18"/>
      <c r="M452" s="18"/>
      <c r="AG452" s="18"/>
      <c r="AH452" s="18"/>
      <c r="AI452" s="18"/>
      <c r="AJ452" s="18"/>
      <c r="AL452" s="18"/>
      <c r="AM452" s="18"/>
      <c r="AN452" s="18"/>
      <c r="AO452" s="18"/>
      <c r="AQ452" s="18"/>
    </row>
    <row r="453">
      <c r="B453" s="18"/>
      <c r="C453" s="18"/>
      <c r="G453" s="18"/>
      <c r="K453" s="18"/>
      <c r="L453" s="18"/>
      <c r="M453" s="18"/>
      <c r="AG453" s="18"/>
      <c r="AH453" s="18"/>
      <c r="AI453" s="18"/>
      <c r="AJ453" s="18"/>
      <c r="AL453" s="18"/>
      <c r="AM453" s="18"/>
      <c r="AN453" s="18"/>
      <c r="AO453" s="18"/>
      <c r="AQ453" s="18"/>
    </row>
    <row r="454">
      <c r="B454" s="18"/>
      <c r="C454" s="18"/>
      <c r="G454" s="18"/>
      <c r="K454" s="18"/>
      <c r="L454" s="18"/>
      <c r="M454" s="18"/>
      <c r="AG454" s="18"/>
      <c r="AH454" s="18"/>
      <c r="AI454" s="18"/>
      <c r="AJ454" s="18"/>
      <c r="AL454" s="18"/>
      <c r="AM454" s="18"/>
      <c r="AN454" s="18"/>
      <c r="AO454" s="18"/>
      <c r="AQ454" s="18"/>
    </row>
    <row r="455">
      <c r="B455" s="18"/>
      <c r="C455" s="18"/>
      <c r="G455" s="18"/>
      <c r="K455" s="18"/>
      <c r="L455" s="18"/>
      <c r="M455" s="18"/>
      <c r="AG455" s="18"/>
      <c r="AH455" s="18"/>
      <c r="AI455" s="18"/>
      <c r="AJ455" s="18"/>
      <c r="AL455" s="18"/>
      <c r="AM455" s="18"/>
      <c r="AN455" s="18"/>
      <c r="AO455" s="18"/>
      <c r="AQ455" s="18"/>
    </row>
    <row r="456">
      <c r="B456" s="18"/>
      <c r="C456" s="18"/>
      <c r="G456" s="18"/>
      <c r="K456" s="18"/>
      <c r="L456" s="18"/>
      <c r="M456" s="18"/>
      <c r="AG456" s="18"/>
      <c r="AH456" s="18"/>
      <c r="AI456" s="18"/>
      <c r="AJ456" s="18"/>
      <c r="AL456" s="18"/>
      <c r="AM456" s="18"/>
      <c r="AN456" s="18"/>
      <c r="AO456" s="18"/>
      <c r="AQ456" s="18"/>
    </row>
    <row r="457">
      <c r="B457" s="18"/>
      <c r="C457" s="18"/>
      <c r="G457" s="18"/>
      <c r="K457" s="18"/>
      <c r="L457" s="18"/>
      <c r="M457" s="18"/>
      <c r="AG457" s="18"/>
      <c r="AH457" s="18"/>
      <c r="AI457" s="18"/>
      <c r="AJ457" s="18"/>
      <c r="AL457" s="18"/>
      <c r="AM457" s="18"/>
      <c r="AN457" s="18"/>
      <c r="AO457" s="18"/>
      <c r="AQ457" s="18"/>
    </row>
    <row r="458">
      <c r="B458" s="18"/>
      <c r="C458" s="18"/>
      <c r="G458" s="18"/>
      <c r="K458" s="18"/>
      <c r="L458" s="18"/>
      <c r="M458" s="18"/>
      <c r="AG458" s="18"/>
      <c r="AH458" s="18"/>
      <c r="AI458" s="18"/>
      <c r="AJ458" s="18"/>
      <c r="AL458" s="18"/>
      <c r="AM458" s="18"/>
      <c r="AN458" s="18"/>
      <c r="AO458" s="18"/>
      <c r="AQ458" s="18"/>
    </row>
    <row r="459">
      <c r="B459" s="18"/>
      <c r="C459" s="18"/>
      <c r="G459" s="18"/>
      <c r="K459" s="18"/>
      <c r="L459" s="18"/>
      <c r="M459" s="18"/>
      <c r="AG459" s="18"/>
      <c r="AH459" s="18"/>
      <c r="AI459" s="18"/>
      <c r="AJ459" s="18"/>
      <c r="AL459" s="18"/>
      <c r="AM459" s="18"/>
      <c r="AN459" s="18"/>
      <c r="AO459" s="18"/>
      <c r="AQ459" s="18"/>
    </row>
    <row r="460">
      <c r="B460" s="18"/>
      <c r="C460" s="18"/>
      <c r="G460" s="18"/>
      <c r="K460" s="18"/>
      <c r="L460" s="18"/>
      <c r="M460" s="18"/>
      <c r="AG460" s="18"/>
      <c r="AH460" s="18"/>
      <c r="AI460" s="18"/>
      <c r="AJ460" s="18"/>
      <c r="AL460" s="18"/>
      <c r="AM460" s="18"/>
      <c r="AN460" s="18"/>
      <c r="AO460" s="18"/>
      <c r="AQ460" s="18"/>
    </row>
    <row r="461">
      <c r="B461" s="18"/>
      <c r="C461" s="18"/>
      <c r="G461" s="18"/>
      <c r="K461" s="18"/>
      <c r="L461" s="18"/>
      <c r="M461" s="18"/>
      <c r="AG461" s="18"/>
      <c r="AH461" s="18"/>
      <c r="AI461" s="18"/>
      <c r="AJ461" s="18"/>
      <c r="AL461" s="18"/>
      <c r="AM461" s="18"/>
      <c r="AN461" s="18"/>
      <c r="AO461" s="18"/>
      <c r="AQ461" s="18"/>
    </row>
    <row r="462">
      <c r="B462" s="18"/>
      <c r="C462" s="18"/>
      <c r="G462" s="18"/>
      <c r="K462" s="18"/>
      <c r="L462" s="18"/>
      <c r="M462" s="18"/>
      <c r="AG462" s="18"/>
      <c r="AH462" s="18"/>
      <c r="AI462" s="18"/>
      <c r="AJ462" s="18"/>
      <c r="AL462" s="18"/>
      <c r="AM462" s="18"/>
      <c r="AN462" s="18"/>
      <c r="AO462" s="18"/>
      <c r="AQ462" s="18"/>
    </row>
    <row r="463">
      <c r="B463" s="18"/>
      <c r="C463" s="18"/>
      <c r="G463" s="18"/>
      <c r="K463" s="18"/>
      <c r="L463" s="18"/>
      <c r="M463" s="18"/>
      <c r="AG463" s="18"/>
      <c r="AH463" s="18"/>
      <c r="AI463" s="18"/>
      <c r="AJ463" s="18"/>
      <c r="AL463" s="18"/>
      <c r="AM463" s="18"/>
      <c r="AN463" s="18"/>
      <c r="AO463" s="18"/>
      <c r="AQ463" s="18"/>
    </row>
    <row r="464">
      <c r="B464" s="18"/>
      <c r="C464" s="18"/>
      <c r="G464" s="18"/>
      <c r="K464" s="18"/>
      <c r="L464" s="18"/>
      <c r="M464" s="18"/>
      <c r="AG464" s="18"/>
      <c r="AH464" s="18"/>
      <c r="AI464" s="18"/>
      <c r="AJ464" s="18"/>
      <c r="AL464" s="18"/>
      <c r="AM464" s="18"/>
      <c r="AN464" s="18"/>
      <c r="AO464" s="18"/>
      <c r="AQ464" s="18"/>
    </row>
    <row r="465">
      <c r="B465" s="18"/>
      <c r="C465" s="18"/>
      <c r="G465" s="18"/>
      <c r="K465" s="18"/>
      <c r="L465" s="18"/>
      <c r="M465" s="18"/>
      <c r="AG465" s="18"/>
      <c r="AH465" s="18"/>
      <c r="AI465" s="18"/>
      <c r="AJ465" s="18"/>
      <c r="AL465" s="18"/>
      <c r="AM465" s="18"/>
      <c r="AN465" s="18"/>
      <c r="AO465" s="18"/>
      <c r="AQ465" s="18"/>
    </row>
    <row r="466">
      <c r="B466" s="18"/>
      <c r="C466" s="18"/>
      <c r="G466" s="18"/>
      <c r="K466" s="18"/>
      <c r="L466" s="18"/>
      <c r="M466" s="18"/>
      <c r="AG466" s="18"/>
      <c r="AH466" s="18"/>
      <c r="AI466" s="18"/>
      <c r="AJ466" s="18"/>
      <c r="AL466" s="18"/>
      <c r="AM466" s="18"/>
      <c r="AN466" s="18"/>
      <c r="AO466" s="18"/>
      <c r="AQ466" s="18"/>
    </row>
    <row r="467">
      <c r="B467" s="18"/>
      <c r="C467" s="18"/>
      <c r="G467" s="18"/>
      <c r="K467" s="18"/>
      <c r="L467" s="18"/>
      <c r="M467" s="18"/>
      <c r="AG467" s="18"/>
      <c r="AH467" s="18"/>
      <c r="AI467" s="18"/>
      <c r="AJ467" s="18"/>
      <c r="AL467" s="18"/>
      <c r="AM467" s="18"/>
      <c r="AN467" s="18"/>
      <c r="AO467" s="18"/>
      <c r="AQ467" s="18"/>
    </row>
    <row r="468">
      <c r="B468" s="18"/>
      <c r="C468" s="18"/>
      <c r="G468" s="18"/>
      <c r="K468" s="18"/>
      <c r="L468" s="18"/>
      <c r="M468" s="18"/>
      <c r="AG468" s="18"/>
      <c r="AH468" s="18"/>
      <c r="AI468" s="18"/>
      <c r="AJ468" s="18"/>
      <c r="AL468" s="18"/>
      <c r="AM468" s="18"/>
      <c r="AN468" s="18"/>
      <c r="AO468" s="18"/>
      <c r="AQ468" s="18"/>
    </row>
    <row r="469">
      <c r="B469" s="18"/>
      <c r="C469" s="18"/>
      <c r="G469" s="18"/>
      <c r="K469" s="18"/>
      <c r="L469" s="18"/>
      <c r="M469" s="18"/>
      <c r="AG469" s="18"/>
      <c r="AH469" s="18"/>
      <c r="AI469" s="18"/>
      <c r="AJ469" s="18"/>
      <c r="AL469" s="18"/>
      <c r="AM469" s="18"/>
      <c r="AN469" s="18"/>
      <c r="AO469" s="18"/>
      <c r="AQ469" s="18"/>
    </row>
    <row r="470">
      <c r="B470" s="18"/>
      <c r="C470" s="18"/>
      <c r="G470" s="18"/>
      <c r="K470" s="18"/>
      <c r="L470" s="18"/>
      <c r="M470" s="18"/>
      <c r="AG470" s="18"/>
      <c r="AH470" s="18"/>
      <c r="AI470" s="18"/>
      <c r="AJ470" s="18"/>
      <c r="AL470" s="18"/>
      <c r="AM470" s="18"/>
      <c r="AN470" s="18"/>
      <c r="AO470" s="18"/>
      <c r="AQ470" s="18"/>
    </row>
    <row r="471">
      <c r="B471" s="18"/>
      <c r="C471" s="18"/>
      <c r="G471" s="18"/>
      <c r="K471" s="18"/>
      <c r="L471" s="18"/>
      <c r="M471" s="18"/>
      <c r="AG471" s="18"/>
      <c r="AH471" s="18"/>
      <c r="AI471" s="18"/>
      <c r="AJ471" s="18"/>
      <c r="AL471" s="18"/>
      <c r="AM471" s="18"/>
      <c r="AN471" s="18"/>
      <c r="AO471" s="18"/>
      <c r="AQ471" s="18"/>
    </row>
    <row r="472">
      <c r="B472" s="18"/>
      <c r="C472" s="18"/>
      <c r="G472" s="18"/>
      <c r="K472" s="18"/>
      <c r="L472" s="18"/>
      <c r="M472" s="18"/>
      <c r="AG472" s="18"/>
      <c r="AH472" s="18"/>
      <c r="AI472" s="18"/>
      <c r="AJ472" s="18"/>
      <c r="AL472" s="18"/>
      <c r="AM472" s="18"/>
      <c r="AN472" s="18"/>
      <c r="AO472" s="18"/>
      <c r="AQ472" s="18"/>
    </row>
    <row r="473">
      <c r="B473" s="18"/>
      <c r="C473" s="18"/>
      <c r="G473" s="18"/>
      <c r="K473" s="18"/>
      <c r="L473" s="18"/>
      <c r="M473" s="18"/>
      <c r="AG473" s="18"/>
      <c r="AH473" s="18"/>
      <c r="AI473" s="18"/>
      <c r="AJ473" s="18"/>
      <c r="AL473" s="18"/>
      <c r="AM473" s="18"/>
      <c r="AN473" s="18"/>
      <c r="AO473" s="18"/>
      <c r="AQ473" s="18"/>
    </row>
    <row r="474">
      <c r="B474" s="18"/>
      <c r="C474" s="18"/>
      <c r="G474" s="18"/>
      <c r="K474" s="18"/>
      <c r="L474" s="18"/>
      <c r="M474" s="18"/>
      <c r="AG474" s="18"/>
      <c r="AH474" s="18"/>
      <c r="AI474" s="18"/>
      <c r="AJ474" s="18"/>
      <c r="AL474" s="18"/>
      <c r="AM474" s="18"/>
      <c r="AN474" s="18"/>
      <c r="AO474" s="18"/>
      <c r="AQ474" s="18"/>
    </row>
    <row r="475">
      <c r="B475" s="18"/>
      <c r="C475" s="18"/>
      <c r="G475" s="18"/>
      <c r="K475" s="18"/>
      <c r="L475" s="18"/>
      <c r="M475" s="18"/>
      <c r="AG475" s="18"/>
      <c r="AH475" s="18"/>
      <c r="AI475" s="18"/>
      <c r="AJ475" s="18"/>
      <c r="AL475" s="18"/>
      <c r="AM475" s="18"/>
      <c r="AN475" s="18"/>
      <c r="AO475" s="18"/>
      <c r="AQ475" s="18"/>
    </row>
    <row r="476">
      <c r="B476" s="18"/>
      <c r="C476" s="18"/>
      <c r="G476" s="18"/>
      <c r="K476" s="18"/>
      <c r="L476" s="18"/>
      <c r="M476" s="18"/>
      <c r="AG476" s="18"/>
      <c r="AH476" s="18"/>
      <c r="AI476" s="18"/>
      <c r="AJ476" s="18"/>
      <c r="AL476" s="18"/>
      <c r="AM476" s="18"/>
      <c r="AN476" s="18"/>
      <c r="AO476" s="18"/>
      <c r="AQ476" s="18"/>
    </row>
    <row r="477">
      <c r="B477" s="18"/>
      <c r="C477" s="18"/>
      <c r="G477" s="18"/>
      <c r="K477" s="18"/>
      <c r="L477" s="18"/>
      <c r="M477" s="18"/>
      <c r="AG477" s="18"/>
      <c r="AH477" s="18"/>
      <c r="AI477" s="18"/>
      <c r="AJ477" s="18"/>
      <c r="AL477" s="18"/>
      <c r="AM477" s="18"/>
      <c r="AN477" s="18"/>
      <c r="AO477" s="18"/>
      <c r="AQ477" s="18"/>
    </row>
    <row r="478">
      <c r="B478" s="18"/>
      <c r="C478" s="18"/>
      <c r="G478" s="18"/>
      <c r="K478" s="18"/>
      <c r="L478" s="18"/>
      <c r="M478" s="18"/>
      <c r="AG478" s="18"/>
      <c r="AH478" s="18"/>
      <c r="AI478" s="18"/>
      <c r="AJ478" s="18"/>
      <c r="AL478" s="18"/>
      <c r="AM478" s="18"/>
      <c r="AN478" s="18"/>
      <c r="AO478" s="18"/>
      <c r="AQ478" s="18"/>
    </row>
    <row r="479">
      <c r="B479" s="18"/>
      <c r="C479" s="18"/>
      <c r="G479" s="18"/>
      <c r="K479" s="18"/>
      <c r="L479" s="18"/>
      <c r="M479" s="18"/>
      <c r="AG479" s="18"/>
      <c r="AH479" s="18"/>
      <c r="AI479" s="18"/>
      <c r="AJ479" s="18"/>
      <c r="AL479" s="18"/>
      <c r="AM479" s="18"/>
      <c r="AN479" s="18"/>
      <c r="AO479" s="18"/>
      <c r="AQ479" s="18"/>
    </row>
    <row r="480">
      <c r="B480" s="18"/>
      <c r="C480" s="18"/>
      <c r="G480" s="18"/>
      <c r="K480" s="18"/>
      <c r="L480" s="18"/>
      <c r="M480" s="18"/>
      <c r="AG480" s="18"/>
      <c r="AH480" s="18"/>
      <c r="AI480" s="18"/>
      <c r="AJ480" s="18"/>
      <c r="AL480" s="18"/>
      <c r="AM480" s="18"/>
      <c r="AN480" s="18"/>
      <c r="AO480" s="18"/>
      <c r="AQ480" s="18"/>
    </row>
    <row r="481">
      <c r="B481" s="18"/>
      <c r="C481" s="18"/>
      <c r="G481" s="18"/>
      <c r="K481" s="18"/>
      <c r="L481" s="18"/>
      <c r="M481" s="18"/>
      <c r="AG481" s="18"/>
      <c r="AH481" s="18"/>
      <c r="AI481" s="18"/>
      <c r="AJ481" s="18"/>
      <c r="AL481" s="18"/>
      <c r="AM481" s="18"/>
      <c r="AN481" s="18"/>
      <c r="AO481" s="18"/>
      <c r="AQ481" s="18"/>
    </row>
    <row r="482">
      <c r="B482" s="18"/>
      <c r="C482" s="18"/>
      <c r="G482" s="18"/>
      <c r="K482" s="18"/>
      <c r="L482" s="18"/>
      <c r="M482" s="18"/>
      <c r="AG482" s="18"/>
      <c r="AH482" s="18"/>
      <c r="AI482" s="18"/>
      <c r="AJ482" s="18"/>
      <c r="AL482" s="18"/>
      <c r="AM482" s="18"/>
      <c r="AN482" s="18"/>
      <c r="AO482" s="18"/>
      <c r="AQ482" s="18"/>
    </row>
    <row r="483">
      <c r="B483" s="18"/>
      <c r="C483" s="18"/>
      <c r="G483" s="18"/>
      <c r="K483" s="18"/>
      <c r="L483" s="18"/>
      <c r="M483" s="18"/>
      <c r="AG483" s="18"/>
      <c r="AH483" s="18"/>
      <c r="AI483" s="18"/>
      <c r="AJ483" s="18"/>
      <c r="AL483" s="18"/>
      <c r="AM483" s="18"/>
      <c r="AN483" s="18"/>
      <c r="AO483" s="18"/>
      <c r="AQ483" s="18"/>
    </row>
    <row r="484">
      <c r="B484" s="18"/>
      <c r="C484" s="18"/>
      <c r="G484" s="18"/>
      <c r="K484" s="18"/>
      <c r="L484" s="18"/>
      <c r="M484" s="18"/>
      <c r="AG484" s="18"/>
      <c r="AH484" s="18"/>
      <c r="AI484" s="18"/>
      <c r="AJ484" s="18"/>
      <c r="AL484" s="18"/>
      <c r="AM484" s="18"/>
      <c r="AN484" s="18"/>
      <c r="AO484" s="18"/>
      <c r="AQ484" s="18"/>
    </row>
    <row r="485">
      <c r="B485" s="18"/>
      <c r="C485" s="18"/>
      <c r="G485" s="18"/>
      <c r="K485" s="18"/>
      <c r="L485" s="18"/>
      <c r="M485" s="18"/>
      <c r="AG485" s="18"/>
      <c r="AH485" s="18"/>
      <c r="AI485" s="18"/>
      <c r="AJ485" s="18"/>
      <c r="AL485" s="18"/>
      <c r="AM485" s="18"/>
      <c r="AN485" s="18"/>
      <c r="AO485" s="18"/>
      <c r="AQ485" s="18"/>
    </row>
    <row r="486">
      <c r="B486" s="18"/>
      <c r="C486" s="18"/>
      <c r="G486" s="18"/>
      <c r="K486" s="18"/>
      <c r="L486" s="18"/>
      <c r="M486" s="18"/>
      <c r="AG486" s="18"/>
      <c r="AH486" s="18"/>
      <c r="AI486" s="18"/>
      <c r="AJ486" s="18"/>
      <c r="AL486" s="18"/>
      <c r="AM486" s="18"/>
      <c r="AN486" s="18"/>
      <c r="AO486" s="18"/>
      <c r="AQ486" s="18"/>
    </row>
    <row r="487">
      <c r="B487" s="18"/>
      <c r="C487" s="18"/>
      <c r="G487" s="18"/>
      <c r="K487" s="18"/>
      <c r="L487" s="18"/>
      <c r="M487" s="18"/>
      <c r="AG487" s="18"/>
      <c r="AH487" s="18"/>
      <c r="AI487" s="18"/>
      <c r="AJ487" s="18"/>
      <c r="AL487" s="18"/>
      <c r="AM487" s="18"/>
      <c r="AN487" s="18"/>
      <c r="AO487" s="18"/>
      <c r="AQ487" s="18"/>
    </row>
    <row r="488">
      <c r="B488" s="18"/>
      <c r="C488" s="18"/>
      <c r="G488" s="18"/>
      <c r="K488" s="18"/>
      <c r="L488" s="18"/>
      <c r="M488" s="18"/>
      <c r="AG488" s="18"/>
      <c r="AH488" s="18"/>
      <c r="AI488" s="18"/>
      <c r="AJ488" s="18"/>
      <c r="AL488" s="18"/>
      <c r="AM488" s="18"/>
      <c r="AN488" s="18"/>
      <c r="AO488" s="18"/>
      <c r="AQ488" s="18"/>
    </row>
    <row r="489">
      <c r="B489" s="18"/>
      <c r="C489" s="18"/>
      <c r="G489" s="18"/>
      <c r="K489" s="18"/>
      <c r="L489" s="18"/>
      <c r="M489" s="18"/>
      <c r="AG489" s="18"/>
      <c r="AH489" s="18"/>
      <c r="AI489" s="18"/>
      <c r="AJ489" s="18"/>
      <c r="AL489" s="18"/>
      <c r="AM489" s="18"/>
      <c r="AN489" s="18"/>
      <c r="AO489" s="18"/>
      <c r="AQ489" s="18"/>
    </row>
    <row r="490">
      <c r="B490" s="18"/>
      <c r="C490" s="18"/>
      <c r="G490" s="18"/>
      <c r="K490" s="18"/>
      <c r="L490" s="18"/>
      <c r="M490" s="18"/>
      <c r="AG490" s="18"/>
      <c r="AH490" s="18"/>
      <c r="AI490" s="18"/>
      <c r="AJ490" s="18"/>
      <c r="AL490" s="18"/>
      <c r="AM490" s="18"/>
      <c r="AN490" s="18"/>
      <c r="AO490" s="18"/>
      <c r="AQ490" s="18"/>
    </row>
    <row r="491">
      <c r="B491" s="18"/>
      <c r="C491" s="18"/>
      <c r="G491" s="18"/>
      <c r="K491" s="18"/>
      <c r="L491" s="18"/>
      <c r="M491" s="18"/>
      <c r="AG491" s="18"/>
      <c r="AH491" s="18"/>
      <c r="AI491" s="18"/>
      <c r="AJ491" s="18"/>
      <c r="AL491" s="18"/>
      <c r="AM491" s="18"/>
      <c r="AN491" s="18"/>
      <c r="AO491" s="18"/>
      <c r="AQ491" s="18"/>
    </row>
    <row r="492">
      <c r="B492" s="18"/>
      <c r="C492" s="18"/>
      <c r="G492" s="18"/>
      <c r="K492" s="18"/>
      <c r="L492" s="18"/>
      <c r="M492" s="18"/>
      <c r="AG492" s="18"/>
      <c r="AH492" s="18"/>
      <c r="AI492" s="18"/>
      <c r="AJ492" s="18"/>
      <c r="AL492" s="18"/>
      <c r="AM492" s="18"/>
      <c r="AN492" s="18"/>
      <c r="AO492" s="18"/>
      <c r="AQ492" s="18"/>
    </row>
    <row r="493">
      <c r="B493" s="18"/>
      <c r="C493" s="18"/>
      <c r="G493" s="18"/>
      <c r="K493" s="18"/>
      <c r="L493" s="18"/>
      <c r="M493" s="18"/>
      <c r="AG493" s="18"/>
      <c r="AH493" s="18"/>
      <c r="AI493" s="18"/>
      <c r="AJ493" s="18"/>
      <c r="AL493" s="18"/>
      <c r="AM493" s="18"/>
      <c r="AN493" s="18"/>
      <c r="AO493" s="18"/>
      <c r="AQ493" s="18"/>
    </row>
    <row r="494">
      <c r="B494" s="18"/>
      <c r="C494" s="18"/>
      <c r="G494" s="18"/>
      <c r="K494" s="18"/>
      <c r="L494" s="18"/>
      <c r="M494" s="18"/>
      <c r="AG494" s="18"/>
      <c r="AH494" s="18"/>
      <c r="AI494" s="18"/>
      <c r="AJ494" s="18"/>
      <c r="AL494" s="18"/>
      <c r="AM494" s="18"/>
      <c r="AN494" s="18"/>
      <c r="AO494" s="18"/>
      <c r="AQ494" s="18"/>
    </row>
    <row r="495">
      <c r="B495" s="18"/>
      <c r="C495" s="18"/>
      <c r="G495" s="18"/>
      <c r="K495" s="18"/>
      <c r="L495" s="18"/>
      <c r="M495" s="18"/>
      <c r="AG495" s="18"/>
      <c r="AH495" s="18"/>
      <c r="AI495" s="18"/>
      <c r="AJ495" s="18"/>
      <c r="AL495" s="18"/>
      <c r="AM495" s="18"/>
      <c r="AN495" s="18"/>
      <c r="AO495" s="18"/>
      <c r="AQ495" s="18"/>
    </row>
    <row r="496">
      <c r="B496" s="18"/>
      <c r="C496" s="18"/>
      <c r="G496" s="18"/>
      <c r="K496" s="18"/>
      <c r="L496" s="18"/>
      <c r="M496" s="18"/>
      <c r="AG496" s="18"/>
      <c r="AH496" s="18"/>
      <c r="AI496" s="18"/>
      <c r="AJ496" s="18"/>
      <c r="AL496" s="18"/>
      <c r="AM496" s="18"/>
      <c r="AN496" s="18"/>
      <c r="AO496" s="18"/>
      <c r="AQ496" s="18"/>
    </row>
    <row r="497">
      <c r="B497" s="18"/>
      <c r="C497" s="18"/>
      <c r="G497" s="18"/>
      <c r="K497" s="18"/>
      <c r="L497" s="18"/>
      <c r="M497" s="18"/>
      <c r="AG497" s="18"/>
      <c r="AH497" s="18"/>
      <c r="AI497" s="18"/>
      <c r="AJ497" s="18"/>
      <c r="AL497" s="18"/>
      <c r="AM497" s="18"/>
      <c r="AN497" s="18"/>
      <c r="AO497" s="18"/>
      <c r="AQ497" s="18"/>
    </row>
    <row r="498">
      <c r="B498" s="18"/>
      <c r="C498" s="18"/>
      <c r="G498" s="18"/>
      <c r="K498" s="18"/>
      <c r="L498" s="18"/>
      <c r="M498" s="18"/>
      <c r="AG498" s="18"/>
      <c r="AH498" s="18"/>
      <c r="AI498" s="18"/>
      <c r="AJ498" s="18"/>
      <c r="AL498" s="18"/>
      <c r="AM498" s="18"/>
      <c r="AN498" s="18"/>
      <c r="AO498" s="18"/>
      <c r="AQ498" s="18"/>
    </row>
    <row r="499">
      <c r="B499" s="18"/>
      <c r="C499" s="18"/>
      <c r="G499" s="18"/>
      <c r="K499" s="18"/>
      <c r="L499" s="18"/>
      <c r="M499" s="18"/>
      <c r="AG499" s="18"/>
      <c r="AH499" s="18"/>
      <c r="AI499" s="18"/>
      <c r="AJ499" s="18"/>
      <c r="AL499" s="18"/>
      <c r="AM499" s="18"/>
      <c r="AN499" s="18"/>
      <c r="AO499" s="18"/>
      <c r="AQ499" s="18"/>
    </row>
    <row r="500">
      <c r="B500" s="18"/>
      <c r="C500" s="18"/>
      <c r="G500" s="18"/>
      <c r="K500" s="18"/>
      <c r="L500" s="18"/>
      <c r="M500" s="18"/>
      <c r="AG500" s="18"/>
      <c r="AH500" s="18"/>
      <c r="AI500" s="18"/>
      <c r="AJ500" s="18"/>
      <c r="AL500" s="18"/>
      <c r="AM500" s="18"/>
      <c r="AN500" s="18"/>
      <c r="AO500" s="18"/>
      <c r="AQ500" s="18"/>
    </row>
    <row r="501">
      <c r="B501" s="18"/>
      <c r="C501" s="18"/>
      <c r="G501" s="18"/>
      <c r="K501" s="18"/>
      <c r="L501" s="18"/>
      <c r="M501" s="18"/>
      <c r="AG501" s="18"/>
      <c r="AH501" s="18"/>
      <c r="AI501" s="18"/>
      <c r="AJ501" s="18"/>
      <c r="AL501" s="18"/>
      <c r="AM501" s="18"/>
      <c r="AN501" s="18"/>
      <c r="AO501" s="18"/>
      <c r="AQ501" s="18"/>
    </row>
    <row r="502">
      <c r="B502" s="18"/>
      <c r="C502" s="18"/>
      <c r="G502" s="18"/>
      <c r="K502" s="18"/>
      <c r="L502" s="18"/>
      <c r="M502" s="18"/>
      <c r="AG502" s="18"/>
      <c r="AH502" s="18"/>
      <c r="AI502" s="18"/>
      <c r="AJ502" s="18"/>
      <c r="AL502" s="18"/>
      <c r="AM502" s="18"/>
      <c r="AN502" s="18"/>
      <c r="AO502" s="18"/>
      <c r="AQ502" s="18"/>
    </row>
    <row r="503">
      <c r="B503" s="18"/>
      <c r="C503" s="18"/>
      <c r="G503" s="18"/>
      <c r="K503" s="18"/>
      <c r="L503" s="18"/>
      <c r="M503" s="18"/>
      <c r="AG503" s="18"/>
      <c r="AH503" s="18"/>
      <c r="AI503" s="18"/>
      <c r="AJ503" s="18"/>
      <c r="AL503" s="18"/>
      <c r="AM503" s="18"/>
      <c r="AN503" s="18"/>
      <c r="AO503" s="18"/>
      <c r="AQ503" s="18"/>
    </row>
    <row r="504">
      <c r="B504" s="18"/>
      <c r="C504" s="18"/>
      <c r="G504" s="18"/>
      <c r="K504" s="18"/>
      <c r="L504" s="18"/>
      <c r="M504" s="18"/>
      <c r="AG504" s="18"/>
      <c r="AH504" s="18"/>
      <c r="AI504" s="18"/>
      <c r="AJ504" s="18"/>
      <c r="AL504" s="18"/>
      <c r="AM504" s="18"/>
      <c r="AN504" s="18"/>
      <c r="AO504" s="18"/>
      <c r="AQ504" s="18"/>
    </row>
    <row r="505">
      <c r="B505" s="18"/>
      <c r="C505" s="18"/>
      <c r="G505" s="18"/>
      <c r="K505" s="18"/>
      <c r="L505" s="18"/>
      <c r="M505" s="18"/>
      <c r="AG505" s="18"/>
      <c r="AH505" s="18"/>
      <c r="AI505" s="18"/>
      <c r="AJ505" s="18"/>
      <c r="AL505" s="18"/>
      <c r="AM505" s="18"/>
      <c r="AN505" s="18"/>
      <c r="AO505" s="18"/>
      <c r="AQ505" s="18"/>
    </row>
    <row r="506">
      <c r="B506" s="18"/>
      <c r="C506" s="18"/>
      <c r="G506" s="18"/>
      <c r="K506" s="18"/>
      <c r="L506" s="18"/>
      <c r="M506" s="18"/>
      <c r="AG506" s="18"/>
      <c r="AH506" s="18"/>
      <c r="AI506" s="18"/>
      <c r="AJ506" s="18"/>
      <c r="AL506" s="18"/>
      <c r="AM506" s="18"/>
      <c r="AN506" s="18"/>
      <c r="AO506" s="18"/>
      <c r="AQ506" s="18"/>
    </row>
    <row r="507">
      <c r="B507" s="18"/>
      <c r="C507" s="18"/>
      <c r="G507" s="18"/>
      <c r="K507" s="18"/>
      <c r="L507" s="18"/>
      <c r="M507" s="18"/>
      <c r="AG507" s="18"/>
      <c r="AH507" s="18"/>
      <c r="AI507" s="18"/>
      <c r="AJ507" s="18"/>
      <c r="AL507" s="18"/>
      <c r="AM507" s="18"/>
      <c r="AN507" s="18"/>
      <c r="AO507" s="18"/>
      <c r="AQ507" s="18"/>
    </row>
    <row r="508">
      <c r="B508" s="18"/>
      <c r="C508" s="18"/>
      <c r="G508" s="18"/>
      <c r="K508" s="18"/>
      <c r="L508" s="18"/>
      <c r="M508" s="18"/>
      <c r="AG508" s="18"/>
      <c r="AH508" s="18"/>
      <c r="AI508" s="18"/>
      <c r="AJ508" s="18"/>
      <c r="AL508" s="18"/>
      <c r="AM508" s="18"/>
      <c r="AN508" s="18"/>
      <c r="AO508" s="18"/>
      <c r="AQ508" s="18"/>
    </row>
    <row r="509">
      <c r="B509" s="18"/>
      <c r="C509" s="18"/>
      <c r="G509" s="18"/>
      <c r="K509" s="18"/>
      <c r="L509" s="18"/>
      <c r="M509" s="18"/>
      <c r="AG509" s="18"/>
      <c r="AH509" s="18"/>
      <c r="AI509" s="18"/>
      <c r="AJ509" s="18"/>
      <c r="AL509" s="18"/>
      <c r="AM509" s="18"/>
      <c r="AN509" s="18"/>
      <c r="AO509" s="18"/>
      <c r="AQ509" s="18"/>
    </row>
    <row r="510">
      <c r="B510" s="18"/>
      <c r="C510" s="18"/>
      <c r="G510" s="18"/>
      <c r="K510" s="18"/>
      <c r="L510" s="18"/>
      <c r="M510" s="18"/>
      <c r="AG510" s="18"/>
      <c r="AH510" s="18"/>
      <c r="AI510" s="18"/>
      <c r="AJ510" s="18"/>
      <c r="AL510" s="18"/>
      <c r="AM510" s="18"/>
      <c r="AN510" s="18"/>
      <c r="AO510" s="18"/>
      <c r="AQ510" s="18"/>
    </row>
    <row r="511">
      <c r="B511" s="18"/>
      <c r="C511" s="18"/>
      <c r="G511" s="18"/>
      <c r="K511" s="18"/>
      <c r="L511" s="18"/>
      <c r="M511" s="18"/>
      <c r="AG511" s="18"/>
      <c r="AH511" s="18"/>
      <c r="AI511" s="18"/>
      <c r="AJ511" s="18"/>
      <c r="AL511" s="18"/>
      <c r="AM511" s="18"/>
      <c r="AN511" s="18"/>
      <c r="AO511" s="18"/>
      <c r="AQ511" s="18"/>
    </row>
    <row r="512">
      <c r="B512" s="18"/>
      <c r="C512" s="18"/>
      <c r="G512" s="18"/>
      <c r="K512" s="18"/>
      <c r="L512" s="18"/>
      <c r="M512" s="18"/>
      <c r="AG512" s="18"/>
      <c r="AH512" s="18"/>
      <c r="AI512" s="18"/>
      <c r="AJ512" s="18"/>
      <c r="AL512" s="18"/>
      <c r="AM512" s="18"/>
      <c r="AN512" s="18"/>
      <c r="AO512" s="18"/>
      <c r="AQ512" s="18"/>
    </row>
    <row r="513">
      <c r="B513" s="18"/>
      <c r="C513" s="18"/>
      <c r="G513" s="18"/>
      <c r="K513" s="18"/>
      <c r="L513" s="18"/>
      <c r="M513" s="18"/>
      <c r="AG513" s="18"/>
      <c r="AH513" s="18"/>
      <c r="AI513" s="18"/>
      <c r="AJ513" s="18"/>
      <c r="AL513" s="18"/>
      <c r="AM513" s="18"/>
      <c r="AN513" s="18"/>
      <c r="AO513" s="18"/>
      <c r="AQ513" s="18"/>
    </row>
    <row r="514">
      <c r="B514" s="18"/>
      <c r="C514" s="18"/>
      <c r="G514" s="18"/>
      <c r="K514" s="18"/>
      <c r="L514" s="18"/>
      <c r="M514" s="18"/>
      <c r="AG514" s="18"/>
      <c r="AH514" s="18"/>
      <c r="AI514" s="18"/>
      <c r="AJ514" s="18"/>
      <c r="AL514" s="18"/>
      <c r="AM514" s="18"/>
      <c r="AN514" s="18"/>
      <c r="AO514" s="18"/>
      <c r="AQ514" s="18"/>
    </row>
    <row r="515">
      <c r="B515" s="18"/>
      <c r="C515" s="18"/>
      <c r="G515" s="18"/>
      <c r="K515" s="18"/>
      <c r="L515" s="18"/>
      <c r="M515" s="18"/>
      <c r="AG515" s="18"/>
      <c r="AH515" s="18"/>
      <c r="AI515" s="18"/>
      <c r="AJ515" s="18"/>
      <c r="AL515" s="18"/>
      <c r="AM515" s="18"/>
      <c r="AN515" s="18"/>
      <c r="AO515" s="18"/>
      <c r="AQ515" s="18"/>
    </row>
    <row r="516">
      <c r="B516" s="18"/>
      <c r="C516" s="18"/>
      <c r="G516" s="18"/>
      <c r="K516" s="18"/>
      <c r="L516" s="18"/>
      <c r="M516" s="18"/>
      <c r="AG516" s="18"/>
      <c r="AH516" s="18"/>
      <c r="AI516" s="18"/>
      <c r="AJ516" s="18"/>
      <c r="AL516" s="18"/>
      <c r="AM516" s="18"/>
      <c r="AN516" s="18"/>
      <c r="AO516" s="18"/>
      <c r="AQ516" s="18"/>
    </row>
    <row r="517">
      <c r="B517" s="18"/>
      <c r="C517" s="18"/>
      <c r="G517" s="18"/>
      <c r="K517" s="18"/>
      <c r="L517" s="18"/>
      <c r="M517" s="18"/>
      <c r="AG517" s="18"/>
      <c r="AH517" s="18"/>
      <c r="AI517" s="18"/>
      <c r="AJ517" s="18"/>
      <c r="AL517" s="18"/>
      <c r="AM517" s="18"/>
      <c r="AN517" s="18"/>
      <c r="AO517" s="18"/>
      <c r="AQ517" s="18"/>
    </row>
    <row r="518">
      <c r="B518" s="18"/>
      <c r="C518" s="18"/>
      <c r="G518" s="18"/>
      <c r="K518" s="18"/>
      <c r="L518" s="18"/>
      <c r="M518" s="18"/>
      <c r="AG518" s="18"/>
      <c r="AH518" s="18"/>
      <c r="AI518" s="18"/>
      <c r="AJ518" s="18"/>
      <c r="AL518" s="18"/>
      <c r="AM518" s="18"/>
      <c r="AN518" s="18"/>
      <c r="AO518" s="18"/>
      <c r="AQ518" s="18"/>
    </row>
    <row r="519">
      <c r="B519" s="18"/>
      <c r="C519" s="18"/>
      <c r="G519" s="18"/>
      <c r="K519" s="18"/>
      <c r="L519" s="18"/>
      <c r="M519" s="18"/>
      <c r="AG519" s="18"/>
      <c r="AH519" s="18"/>
      <c r="AI519" s="18"/>
      <c r="AJ519" s="18"/>
      <c r="AL519" s="18"/>
      <c r="AM519" s="18"/>
      <c r="AN519" s="18"/>
      <c r="AO519" s="18"/>
      <c r="AQ519" s="18"/>
    </row>
    <row r="520">
      <c r="B520" s="18"/>
      <c r="C520" s="18"/>
      <c r="G520" s="18"/>
      <c r="K520" s="18"/>
      <c r="L520" s="18"/>
      <c r="M520" s="18"/>
      <c r="AG520" s="18"/>
      <c r="AH520" s="18"/>
      <c r="AI520" s="18"/>
      <c r="AJ520" s="18"/>
      <c r="AL520" s="18"/>
      <c r="AM520" s="18"/>
      <c r="AN520" s="18"/>
      <c r="AO520" s="18"/>
      <c r="AQ520" s="18"/>
    </row>
    <row r="521">
      <c r="B521" s="18"/>
      <c r="C521" s="18"/>
      <c r="G521" s="18"/>
      <c r="K521" s="18"/>
      <c r="L521" s="18"/>
      <c r="M521" s="18"/>
      <c r="AG521" s="18"/>
      <c r="AH521" s="18"/>
      <c r="AI521" s="18"/>
      <c r="AJ521" s="18"/>
      <c r="AL521" s="18"/>
      <c r="AM521" s="18"/>
      <c r="AN521" s="18"/>
      <c r="AO521" s="18"/>
      <c r="AQ521" s="18"/>
    </row>
    <row r="522">
      <c r="B522" s="18"/>
      <c r="C522" s="18"/>
      <c r="G522" s="18"/>
      <c r="K522" s="18"/>
      <c r="L522" s="18"/>
      <c r="M522" s="18"/>
      <c r="AG522" s="18"/>
      <c r="AH522" s="18"/>
      <c r="AI522" s="18"/>
      <c r="AJ522" s="18"/>
      <c r="AL522" s="18"/>
      <c r="AM522" s="18"/>
      <c r="AN522" s="18"/>
      <c r="AO522" s="18"/>
      <c r="AQ522" s="18"/>
    </row>
    <row r="523">
      <c r="B523" s="18"/>
      <c r="C523" s="18"/>
      <c r="G523" s="18"/>
      <c r="K523" s="18"/>
      <c r="L523" s="18"/>
      <c r="M523" s="18"/>
      <c r="AG523" s="18"/>
      <c r="AH523" s="18"/>
      <c r="AI523" s="18"/>
      <c r="AJ523" s="18"/>
      <c r="AL523" s="18"/>
      <c r="AM523" s="18"/>
      <c r="AN523" s="18"/>
      <c r="AO523" s="18"/>
      <c r="AQ523" s="18"/>
    </row>
    <row r="524">
      <c r="B524" s="18"/>
      <c r="C524" s="18"/>
      <c r="G524" s="18"/>
      <c r="K524" s="18"/>
      <c r="L524" s="18"/>
      <c r="M524" s="18"/>
      <c r="AG524" s="18"/>
      <c r="AH524" s="18"/>
      <c r="AI524" s="18"/>
      <c r="AJ524" s="18"/>
      <c r="AL524" s="18"/>
      <c r="AM524" s="18"/>
      <c r="AN524" s="18"/>
      <c r="AO524" s="18"/>
      <c r="AQ524" s="18"/>
    </row>
    <row r="525">
      <c r="B525" s="18"/>
      <c r="C525" s="18"/>
      <c r="G525" s="18"/>
      <c r="K525" s="18"/>
      <c r="L525" s="18"/>
      <c r="M525" s="18"/>
      <c r="AG525" s="18"/>
      <c r="AH525" s="18"/>
      <c r="AI525" s="18"/>
      <c r="AJ525" s="18"/>
      <c r="AL525" s="18"/>
      <c r="AM525" s="18"/>
      <c r="AN525" s="18"/>
      <c r="AO525" s="18"/>
      <c r="AQ525" s="18"/>
    </row>
    <row r="526">
      <c r="B526" s="18"/>
      <c r="C526" s="18"/>
      <c r="G526" s="18"/>
      <c r="K526" s="18"/>
      <c r="L526" s="18"/>
      <c r="M526" s="18"/>
      <c r="AG526" s="18"/>
      <c r="AH526" s="18"/>
      <c r="AI526" s="18"/>
      <c r="AJ526" s="18"/>
      <c r="AL526" s="18"/>
      <c r="AM526" s="18"/>
      <c r="AN526" s="18"/>
      <c r="AO526" s="18"/>
      <c r="AQ526" s="18"/>
    </row>
    <row r="527">
      <c r="B527" s="18"/>
      <c r="C527" s="18"/>
      <c r="G527" s="18"/>
      <c r="K527" s="18"/>
      <c r="L527" s="18"/>
      <c r="M527" s="18"/>
      <c r="AG527" s="18"/>
      <c r="AH527" s="18"/>
      <c r="AI527" s="18"/>
      <c r="AJ527" s="18"/>
      <c r="AL527" s="18"/>
      <c r="AM527" s="18"/>
      <c r="AN527" s="18"/>
      <c r="AO527" s="18"/>
      <c r="AQ527" s="18"/>
    </row>
    <row r="528">
      <c r="B528" s="18"/>
      <c r="C528" s="18"/>
      <c r="G528" s="18"/>
      <c r="K528" s="18"/>
      <c r="L528" s="18"/>
      <c r="M528" s="18"/>
      <c r="AG528" s="18"/>
      <c r="AH528" s="18"/>
      <c r="AI528" s="18"/>
      <c r="AJ528" s="18"/>
      <c r="AL528" s="18"/>
      <c r="AM528" s="18"/>
      <c r="AN528" s="18"/>
      <c r="AO528" s="18"/>
      <c r="AQ528" s="18"/>
    </row>
    <row r="529">
      <c r="B529" s="18"/>
      <c r="C529" s="18"/>
      <c r="G529" s="18"/>
      <c r="K529" s="18"/>
      <c r="L529" s="18"/>
      <c r="M529" s="18"/>
      <c r="AG529" s="18"/>
      <c r="AH529" s="18"/>
      <c r="AI529" s="18"/>
      <c r="AJ529" s="18"/>
      <c r="AL529" s="18"/>
      <c r="AM529" s="18"/>
      <c r="AN529" s="18"/>
      <c r="AO529" s="18"/>
      <c r="AQ529" s="18"/>
    </row>
    <row r="530">
      <c r="B530" s="18"/>
      <c r="C530" s="18"/>
      <c r="G530" s="18"/>
      <c r="K530" s="18"/>
      <c r="L530" s="18"/>
      <c r="M530" s="18"/>
      <c r="AG530" s="18"/>
      <c r="AH530" s="18"/>
      <c r="AI530" s="18"/>
      <c r="AJ530" s="18"/>
      <c r="AL530" s="18"/>
      <c r="AM530" s="18"/>
      <c r="AN530" s="18"/>
      <c r="AO530" s="18"/>
      <c r="AQ530" s="18"/>
    </row>
    <row r="531">
      <c r="B531" s="18"/>
      <c r="C531" s="18"/>
      <c r="G531" s="18"/>
      <c r="K531" s="18"/>
      <c r="L531" s="18"/>
      <c r="M531" s="18"/>
      <c r="AG531" s="18"/>
      <c r="AH531" s="18"/>
      <c r="AI531" s="18"/>
      <c r="AJ531" s="18"/>
      <c r="AL531" s="18"/>
      <c r="AM531" s="18"/>
      <c r="AN531" s="18"/>
      <c r="AO531" s="18"/>
      <c r="AQ531" s="18"/>
    </row>
    <row r="532">
      <c r="B532" s="18"/>
      <c r="C532" s="18"/>
      <c r="G532" s="18"/>
      <c r="K532" s="18"/>
      <c r="L532" s="18"/>
      <c r="M532" s="18"/>
      <c r="AG532" s="18"/>
      <c r="AH532" s="18"/>
      <c r="AI532" s="18"/>
      <c r="AJ532" s="18"/>
      <c r="AL532" s="18"/>
      <c r="AM532" s="18"/>
      <c r="AN532" s="18"/>
      <c r="AO532" s="18"/>
      <c r="AQ532" s="18"/>
    </row>
    <row r="533">
      <c r="B533" s="18"/>
      <c r="C533" s="18"/>
      <c r="G533" s="18"/>
      <c r="K533" s="18"/>
      <c r="L533" s="18"/>
      <c r="M533" s="18"/>
      <c r="AG533" s="18"/>
      <c r="AH533" s="18"/>
      <c r="AI533" s="18"/>
      <c r="AJ533" s="18"/>
      <c r="AL533" s="18"/>
      <c r="AM533" s="18"/>
      <c r="AN533" s="18"/>
      <c r="AO533" s="18"/>
      <c r="AQ533" s="18"/>
    </row>
    <row r="534">
      <c r="B534" s="18"/>
      <c r="C534" s="18"/>
      <c r="G534" s="18"/>
      <c r="K534" s="18"/>
      <c r="L534" s="18"/>
      <c r="M534" s="18"/>
      <c r="AG534" s="18"/>
      <c r="AH534" s="18"/>
      <c r="AI534" s="18"/>
      <c r="AJ534" s="18"/>
      <c r="AL534" s="18"/>
      <c r="AM534" s="18"/>
      <c r="AN534" s="18"/>
      <c r="AO534" s="18"/>
      <c r="AQ534" s="18"/>
    </row>
    <row r="535">
      <c r="B535" s="18"/>
      <c r="C535" s="18"/>
      <c r="G535" s="18"/>
      <c r="K535" s="18"/>
      <c r="L535" s="18"/>
      <c r="M535" s="18"/>
      <c r="AG535" s="18"/>
      <c r="AH535" s="18"/>
      <c r="AI535" s="18"/>
      <c r="AJ535" s="18"/>
      <c r="AL535" s="18"/>
      <c r="AM535" s="18"/>
      <c r="AN535" s="18"/>
      <c r="AO535" s="18"/>
      <c r="AQ535" s="18"/>
    </row>
    <row r="536">
      <c r="B536" s="18"/>
      <c r="C536" s="18"/>
      <c r="G536" s="18"/>
      <c r="K536" s="18"/>
      <c r="L536" s="18"/>
      <c r="M536" s="18"/>
      <c r="AG536" s="18"/>
      <c r="AH536" s="18"/>
      <c r="AI536" s="18"/>
      <c r="AJ536" s="18"/>
      <c r="AL536" s="18"/>
      <c r="AM536" s="18"/>
      <c r="AN536" s="18"/>
      <c r="AO536" s="18"/>
      <c r="AQ536" s="18"/>
    </row>
    <row r="537">
      <c r="B537" s="18"/>
      <c r="C537" s="18"/>
      <c r="G537" s="18"/>
      <c r="K537" s="18"/>
      <c r="L537" s="18"/>
      <c r="M537" s="18"/>
      <c r="AG537" s="18"/>
      <c r="AH537" s="18"/>
      <c r="AI537" s="18"/>
      <c r="AJ537" s="18"/>
      <c r="AL537" s="18"/>
      <c r="AM537" s="18"/>
      <c r="AN537" s="18"/>
      <c r="AO537" s="18"/>
      <c r="AQ537" s="18"/>
    </row>
    <row r="538">
      <c r="B538" s="18"/>
      <c r="C538" s="18"/>
      <c r="G538" s="18"/>
      <c r="K538" s="18"/>
      <c r="L538" s="18"/>
      <c r="M538" s="18"/>
      <c r="AG538" s="18"/>
      <c r="AH538" s="18"/>
      <c r="AI538" s="18"/>
      <c r="AJ538" s="18"/>
      <c r="AL538" s="18"/>
      <c r="AM538" s="18"/>
      <c r="AN538" s="18"/>
      <c r="AO538" s="18"/>
      <c r="AQ538" s="18"/>
    </row>
    <row r="539">
      <c r="B539" s="18"/>
      <c r="C539" s="18"/>
      <c r="G539" s="18"/>
      <c r="K539" s="18"/>
      <c r="L539" s="18"/>
      <c r="M539" s="18"/>
      <c r="AG539" s="18"/>
      <c r="AH539" s="18"/>
      <c r="AI539" s="18"/>
      <c r="AJ539" s="18"/>
      <c r="AL539" s="18"/>
      <c r="AM539" s="18"/>
      <c r="AN539" s="18"/>
      <c r="AO539" s="18"/>
      <c r="AQ539" s="18"/>
    </row>
    <row r="540">
      <c r="B540" s="18"/>
      <c r="C540" s="18"/>
      <c r="G540" s="18"/>
      <c r="K540" s="18"/>
      <c r="L540" s="18"/>
      <c r="M540" s="18"/>
      <c r="AG540" s="18"/>
      <c r="AH540" s="18"/>
      <c r="AI540" s="18"/>
      <c r="AJ540" s="18"/>
      <c r="AL540" s="18"/>
      <c r="AM540" s="18"/>
      <c r="AN540" s="18"/>
      <c r="AO540" s="18"/>
      <c r="AQ540" s="18"/>
    </row>
    <row r="541">
      <c r="B541" s="18"/>
      <c r="C541" s="18"/>
      <c r="G541" s="18"/>
      <c r="K541" s="18"/>
      <c r="L541" s="18"/>
      <c r="M541" s="18"/>
      <c r="AG541" s="18"/>
      <c r="AH541" s="18"/>
      <c r="AI541" s="18"/>
      <c r="AJ541" s="18"/>
      <c r="AL541" s="18"/>
      <c r="AM541" s="18"/>
      <c r="AN541" s="18"/>
      <c r="AO541" s="18"/>
      <c r="AQ541" s="18"/>
    </row>
    <row r="542">
      <c r="B542" s="18"/>
      <c r="C542" s="18"/>
      <c r="G542" s="18"/>
      <c r="K542" s="18"/>
      <c r="L542" s="18"/>
      <c r="M542" s="18"/>
      <c r="AG542" s="18"/>
      <c r="AH542" s="18"/>
      <c r="AI542" s="18"/>
      <c r="AJ542" s="18"/>
      <c r="AL542" s="18"/>
      <c r="AM542" s="18"/>
      <c r="AN542" s="18"/>
      <c r="AO542" s="18"/>
      <c r="AQ542" s="18"/>
    </row>
    <row r="543">
      <c r="B543" s="18"/>
      <c r="C543" s="18"/>
      <c r="G543" s="18"/>
      <c r="K543" s="18"/>
      <c r="L543" s="18"/>
      <c r="M543" s="18"/>
      <c r="AG543" s="18"/>
      <c r="AH543" s="18"/>
      <c r="AI543" s="18"/>
      <c r="AJ543" s="18"/>
      <c r="AL543" s="18"/>
      <c r="AM543" s="18"/>
      <c r="AN543" s="18"/>
      <c r="AO543" s="18"/>
      <c r="AQ543" s="18"/>
    </row>
    <row r="544">
      <c r="B544" s="18"/>
      <c r="C544" s="18"/>
      <c r="G544" s="18"/>
      <c r="K544" s="18"/>
      <c r="L544" s="18"/>
      <c r="M544" s="18"/>
      <c r="AG544" s="18"/>
      <c r="AH544" s="18"/>
      <c r="AI544" s="18"/>
      <c r="AJ544" s="18"/>
      <c r="AL544" s="18"/>
      <c r="AM544" s="18"/>
      <c r="AN544" s="18"/>
      <c r="AO544" s="18"/>
      <c r="AQ544" s="18"/>
    </row>
    <row r="545">
      <c r="B545" s="18"/>
      <c r="C545" s="18"/>
      <c r="G545" s="18"/>
      <c r="K545" s="18"/>
      <c r="L545" s="18"/>
      <c r="M545" s="18"/>
      <c r="AG545" s="18"/>
      <c r="AH545" s="18"/>
      <c r="AI545" s="18"/>
      <c r="AJ545" s="18"/>
      <c r="AL545" s="18"/>
      <c r="AM545" s="18"/>
      <c r="AN545" s="18"/>
      <c r="AO545" s="18"/>
      <c r="AQ545" s="18"/>
    </row>
    <row r="546">
      <c r="B546" s="18"/>
      <c r="C546" s="18"/>
      <c r="G546" s="18"/>
      <c r="K546" s="18"/>
      <c r="L546" s="18"/>
      <c r="M546" s="18"/>
      <c r="AG546" s="18"/>
      <c r="AH546" s="18"/>
      <c r="AI546" s="18"/>
      <c r="AJ546" s="18"/>
      <c r="AL546" s="18"/>
      <c r="AM546" s="18"/>
      <c r="AN546" s="18"/>
      <c r="AO546" s="18"/>
      <c r="AQ546" s="18"/>
    </row>
    <row r="547">
      <c r="B547" s="18"/>
      <c r="C547" s="18"/>
      <c r="G547" s="18"/>
      <c r="K547" s="18"/>
      <c r="L547" s="18"/>
      <c r="M547" s="18"/>
      <c r="AG547" s="18"/>
      <c r="AH547" s="18"/>
      <c r="AI547" s="18"/>
      <c r="AJ547" s="18"/>
      <c r="AL547" s="18"/>
      <c r="AM547" s="18"/>
      <c r="AN547" s="18"/>
      <c r="AO547" s="18"/>
      <c r="AQ547" s="18"/>
    </row>
    <row r="548">
      <c r="B548" s="18"/>
      <c r="C548" s="18"/>
      <c r="G548" s="18"/>
      <c r="K548" s="18"/>
      <c r="L548" s="18"/>
      <c r="M548" s="18"/>
      <c r="AG548" s="18"/>
      <c r="AH548" s="18"/>
      <c r="AI548" s="18"/>
      <c r="AJ548" s="18"/>
      <c r="AL548" s="18"/>
      <c r="AM548" s="18"/>
      <c r="AN548" s="18"/>
      <c r="AO548" s="18"/>
      <c r="AQ548" s="18"/>
    </row>
    <row r="549">
      <c r="B549" s="18"/>
      <c r="C549" s="18"/>
      <c r="G549" s="18"/>
      <c r="K549" s="18"/>
      <c r="L549" s="18"/>
      <c r="M549" s="18"/>
      <c r="AG549" s="18"/>
      <c r="AH549" s="18"/>
      <c r="AI549" s="18"/>
      <c r="AJ549" s="18"/>
      <c r="AL549" s="18"/>
      <c r="AM549" s="18"/>
      <c r="AN549" s="18"/>
      <c r="AO549" s="18"/>
      <c r="AQ549" s="18"/>
    </row>
    <row r="550">
      <c r="B550" s="18"/>
      <c r="C550" s="18"/>
      <c r="G550" s="18"/>
      <c r="K550" s="18"/>
      <c r="L550" s="18"/>
      <c r="M550" s="18"/>
      <c r="AG550" s="18"/>
      <c r="AH550" s="18"/>
      <c r="AI550" s="18"/>
      <c r="AJ550" s="18"/>
      <c r="AL550" s="18"/>
      <c r="AM550" s="18"/>
      <c r="AN550" s="18"/>
      <c r="AO550" s="18"/>
      <c r="AQ550" s="18"/>
    </row>
    <row r="551">
      <c r="B551" s="18"/>
      <c r="C551" s="18"/>
      <c r="G551" s="18"/>
      <c r="K551" s="18"/>
      <c r="L551" s="18"/>
      <c r="M551" s="18"/>
      <c r="AG551" s="18"/>
      <c r="AH551" s="18"/>
      <c r="AI551" s="18"/>
      <c r="AJ551" s="18"/>
      <c r="AL551" s="18"/>
      <c r="AM551" s="18"/>
      <c r="AN551" s="18"/>
      <c r="AO551" s="18"/>
      <c r="AQ551" s="18"/>
    </row>
    <row r="552">
      <c r="B552" s="18"/>
      <c r="C552" s="18"/>
      <c r="G552" s="18"/>
      <c r="K552" s="18"/>
      <c r="L552" s="18"/>
      <c r="M552" s="18"/>
      <c r="AG552" s="18"/>
      <c r="AH552" s="18"/>
      <c r="AI552" s="18"/>
      <c r="AJ552" s="18"/>
      <c r="AL552" s="18"/>
      <c r="AM552" s="18"/>
      <c r="AN552" s="18"/>
      <c r="AO552" s="18"/>
      <c r="AQ552" s="18"/>
    </row>
    <row r="553">
      <c r="B553" s="18"/>
      <c r="C553" s="18"/>
      <c r="G553" s="18"/>
      <c r="K553" s="18"/>
      <c r="L553" s="18"/>
      <c r="M553" s="18"/>
      <c r="AG553" s="18"/>
      <c r="AH553" s="18"/>
      <c r="AI553" s="18"/>
      <c r="AJ553" s="18"/>
      <c r="AL553" s="18"/>
      <c r="AM553" s="18"/>
      <c r="AN553" s="18"/>
      <c r="AO553" s="18"/>
      <c r="AQ553" s="18"/>
    </row>
    <row r="554">
      <c r="B554" s="18"/>
      <c r="C554" s="18"/>
      <c r="G554" s="18"/>
      <c r="K554" s="18"/>
      <c r="L554" s="18"/>
      <c r="M554" s="18"/>
      <c r="AG554" s="18"/>
      <c r="AH554" s="18"/>
      <c r="AI554" s="18"/>
      <c r="AJ554" s="18"/>
      <c r="AL554" s="18"/>
      <c r="AM554" s="18"/>
      <c r="AN554" s="18"/>
      <c r="AO554" s="18"/>
      <c r="AQ554" s="18"/>
    </row>
    <row r="555">
      <c r="B555" s="18"/>
      <c r="C555" s="18"/>
      <c r="G555" s="18"/>
      <c r="K555" s="18"/>
      <c r="L555" s="18"/>
      <c r="M555" s="18"/>
      <c r="AG555" s="18"/>
      <c r="AH555" s="18"/>
      <c r="AI555" s="18"/>
      <c r="AJ555" s="18"/>
      <c r="AL555" s="18"/>
      <c r="AM555" s="18"/>
      <c r="AN555" s="18"/>
      <c r="AO555" s="18"/>
      <c r="AQ555" s="18"/>
    </row>
    <row r="556">
      <c r="B556" s="18"/>
      <c r="C556" s="18"/>
      <c r="G556" s="18"/>
      <c r="K556" s="18"/>
      <c r="L556" s="18"/>
      <c r="M556" s="18"/>
      <c r="AG556" s="18"/>
      <c r="AH556" s="18"/>
      <c r="AI556" s="18"/>
      <c r="AJ556" s="18"/>
      <c r="AL556" s="18"/>
      <c r="AM556" s="18"/>
      <c r="AN556" s="18"/>
      <c r="AO556" s="18"/>
      <c r="AQ556" s="18"/>
    </row>
    <row r="557">
      <c r="B557" s="18"/>
      <c r="C557" s="18"/>
      <c r="G557" s="18"/>
      <c r="K557" s="18"/>
      <c r="L557" s="18"/>
      <c r="M557" s="18"/>
      <c r="AG557" s="18"/>
      <c r="AH557" s="18"/>
      <c r="AI557" s="18"/>
      <c r="AJ557" s="18"/>
      <c r="AL557" s="18"/>
      <c r="AM557" s="18"/>
      <c r="AN557" s="18"/>
      <c r="AO557" s="18"/>
      <c r="AQ557" s="18"/>
    </row>
    <row r="558">
      <c r="B558" s="18"/>
      <c r="C558" s="18"/>
      <c r="G558" s="18"/>
      <c r="K558" s="18"/>
      <c r="L558" s="18"/>
      <c r="M558" s="18"/>
      <c r="AG558" s="18"/>
      <c r="AH558" s="18"/>
      <c r="AI558" s="18"/>
      <c r="AJ558" s="18"/>
      <c r="AL558" s="18"/>
      <c r="AM558" s="18"/>
      <c r="AN558" s="18"/>
      <c r="AO558" s="18"/>
      <c r="AQ558" s="18"/>
    </row>
    <row r="559">
      <c r="B559" s="18"/>
      <c r="C559" s="18"/>
      <c r="G559" s="18"/>
      <c r="K559" s="18"/>
      <c r="L559" s="18"/>
      <c r="M559" s="18"/>
      <c r="AG559" s="18"/>
      <c r="AH559" s="18"/>
      <c r="AI559" s="18"/>
      <c r="AJ559" s="18"/>
      <c r="AL559" s="18"/>
      <c r="AM559" s="18"/>
      <c r="AN559" s="18"/>
      <c r="AO559" s="18"/>
      <c r="AQ559" s="18"/>
    </row>
    <row r="560">
      <c r="B560" s="18"/>
      <c r="C560" s="18"/>
      <c r="G560" s="18"/>
      <c r="K560" s="18"/>
      <c r="L560" s="18"/>
      <c r="M560" s="18"/>
      <c r="AG560" s="18"/>
      <c r="AH560" s="18"/>
      <c r="AI560" s="18"/>
      <c r="AJ560" s="18"/>
      <c r="AL560" s="18"/>
      <c r="AM560" s="18"/>
      <c r="AN560" s="18"/>
      <c r="AO560" s="18"/>
      <c r="AQ560" s="18"/>
    </row>
    <row r="561">
      <c r="B561" s="18"/>
      <c r="C561" s="18"/>
      <c r="G561" s="18"/>
      <c r="K561" s="18"/>
      <c r="L561" s="18"/>
      <c r="M561" s="18"/>
      <c r="AG561" s="18"/>
      <c r="AH561" s="18"/>
      <c r="AI561" s="18"/>
      <c r="AJ561" s="18"/>
      <c r="AL561" s="18"/>
      <c r="AM561" s="18"/>
      <c r="AN561" s="18"/>
      <c r="AO561" s="18"/>
      <c r="AQ561" s="18"/>
    </row>
    <row r="562">
      <c r="B562" s="18"/>
      <c r="C562" s="18"/>
      <c r="G562" s="18"/>
      <c r="K562" s="18"/>
      <c r="L562" s="18"/>
      <c r="M562" s="18"/>
      <c r="AG562" s="18"/>
      <c r="AH562" s="18"/>
      <c r="AI562" s="18"/>
      <c r="AJ562" s="18"/>
      <c r="AL562" s="18"/>
      <c r="AM562" s="18"/>
      <c r="AN562" s="18"/>
      <c r="AO562" s="18"/>
      <c r="AQ562" s="18"/>
    </row>
    <row r="563">
      <c r="B563" s="18"/>
      <c r="C563" s="18"/>
      <c r="G563" s="18"/>
      <c r="K563" s="18"/>
      <c r="L563" s="18"/>
      <c r="M563" s="18"/>
      <c r="AG563" s="18"/>
      <c r="AH563" s="18"/>
      <c r="AI563" s="18"/>
      <c r="AJ563" s="18"/>
      <c r="AL563" s="18"/>
      <c r="AM563" s="18"/>
      <c r="AN563" s="18"/>
      <c r="AO563" s="18"/>
      <c r="AQ563" s="18"/>
    </row>
    <row r="564">
      <c r="B564" s="18"/>
      <c r="C564" s="18"/>
      <c r="G564" s="18"/>
      <c r="K564" s="18"/>
      <c r="L564" s="18"/>
      <c r="M564" s="18"/>
      <c r="AG564" s="18"/>
      <c r="AH564" s="18"/>
      <c r="AI564" s="18"/>
      <c r="AJ564" s="18"/>
      <c r="AL564" s="18"/>
      <c r="AM564" s="18"/>
      <c r="AN564" s="18"/>
      <c r="AO564" s="18"/>
      <c r="AQ564" s="18"/>
    </row>
    <row r="565">
      <c r="B565" s="18"/>
      <c r="C565" s="18"/>
      <c r="G565" s="18"/>
      <c r="K565" s="18"/>
      <c r="L565" s="18"/>
      <c r="M565" s="18"/>
      <c r="AG565" s="18"/>
      <c r="AH565" s="18"/>
      <c r="AI565" s="18"/>
      <c r="AJ565" s="18"/>
      <c r="AL565" s="18"/>
      <c r="AM565" s="18"/>
      <c r="AN565" s="18"/>
      <c r="AO565" s="18"/>
      <c r="AQ565" s="18"/>
    </row>
    <row r="566">
      <c r="B566" s="18"/>
      <c r="C566" s="18"/>
      <c r="G566" s="18"/>
      <c r="K566" s="18"/>
      <c r="L566" s="18"/>
      <c r="M566" s="18"/>
      <c r="AG566" s="18"/>
      <c r="AH566" s="18"/>
      <c r="AI566" s="18"/>
      <c r="AJ566" s="18"/>
      <c r="AL566" s="18"/>
      <c r="AM566" s="18"/>
      <c r="AN566" s="18"/>
      <c r="AO566" s="18"/>
      <c r="AQ566" s="18"/>
    </row>
    <row r="567">
      <c r="B567" s="18"/>
      <c r="C567" s="18"/>
      <c r="G567" s="18"/>
      <c r="K567" s="18"/>
      <c r="L567" s="18"/>
      <c r="M567" s="18"/>
      <c r="AG567" s="18"/>
      <c r="AH567" s="18"/>
      <c r="AI567" s="18"/>
      <c r="AJ567" s="18"/>
      <c r="AL567" s="18"/>
      <c r="AM567" s="18"/>
      <c r="AN567" s="18"/>
      <c r="AO567" s="18"/>
      <c r="AQ567" s="18"/>
    </row>
    <row r="568">
      <c r="B568" s="18"/>
      <c r="C568" s="18"/>
      <c r="G568" s="18"/>
      <c r="K568" s="18"/>
      <c r="L568" s="18"/>
      <c r="M568" s="18"/>
      <c r="AG568" s="18"/>
      <c r="AH568" s="18"/>
      <c r="AI568" s="18"/>
      <c r="AJ568" s="18"/>
      <c r="AL568" s="18"/>
      <c r="AM568" s="18"/>
      <c r="AN568" s="18"/>
      <c r="AO568" s="18"/>
      <c r="AQ568" s="18"/>
    </row>
    <row r="569">
      <c r="B569" s="18"/>
      <c r="C569" s="18"/>
      <c r="G569" s="18"/>
      <c r="K569" s="18"/>
      <c r="L569" s="18"/>
      <c r="M569" s="18"/>
      <c r="AG569" s="18"/>
      <c r="AH569" s="18"/>
      <c r="AI569" s="18"/>
      <c r="AJ569" s="18"/>
      <c r="AL569" s="18"/>
      <c r="AM569" s="18"/>
      <c r="AN569" s="18"/>
      <c r="AO569" s="18"/>
      <c r="AQ569" s="18"/>
    </row>
    <row r="570">
      <c r="B570" s="18"/>
      <c r="C570" s="18"/>
      <c r="G570" s="18"/>
      <c r="K570" s="18"/>
      <c r="L570" s="18"/>
      <c r="M570" s="18"/>
      <c r="AG570" s="18"/>
      <c r="AH570" s="18"/>
      <c r="AI570" s="18"/>
      <c r="AJ570" s="18"/>
      <c r="AL570" s="18"/>
      <c r="AM570" s="18"/>
      <c r="AN570" s="18"/>
      <c r="AO570" s="18"/>
      <c r="AQ570" s="18"/>
    </row>
    <row r="571">
      <c r="B571" s="18"/>
      <c r="C571" s="18"/>
      <c r="G571" s="18"/>
      <c r="K571" s="18"/>
      <c r="L571" s="18"/>
      <c r="M571" s="18"/>
      <c r="AG571" s="18"/>
      <c r="AH571" s="18"/>
      <c r="AI571" s="18"/>
      <c r="AJ571" s="18"/>
      <c r="AL571" s="18"/>
      <c r="AM571" s="18"/>
      <c r="AN571" s="18"/>
      <c r="AO571" s="18"/>
      <c r="AQ571" s="18"/>
    </row>
    <row r="572">
      <c r="B572" s="18"/>
      <c r="C572" s="18"/>
      <c r="G572" s="18"/>
      <c r="K572" s="18"/>
      <c r="L572" s="18"/>
      <c r="M572" s="18"/>
      <c r="AG572" s="18"/>
      <c r="AH572" s="18"/>
      <c r="AI572" s="18"/>
      <c r="AJ572" s="18"/>
      <c r="AL572" s="18"/>
      <c r="AM572" s="18"/>
      <c r="AN572" s="18"/>
      <c r="AO572" s="18"/>
      <c r="AQ572" s="18"/>
    </row>
    <row r="573">
      <c r="B573" s="18"/>
      <c r="C573" s="18"/>
      <c r="G573" s="18"/>
      <c r="K573" s="18"/>
      <c r="L573" s="18"/>
      <c r="M573" s="18"/>
      <c r="AG573" s="18"/>
      <c r="AH573" s="18"/>
      <c r="AI573" s="18"/>
      <c r="AJ573" s="18"/>
      <c r="AL573" s="18"/>
      <c r="AM573" s="18"/>
      <c r="AN573" s="18"/>
      <c r="AO573" s="18"/>
      <c r="AQ573" s="18"/>
    </row>
    <row r="574">
      <c r="B574" s="18"/>
      <c r="C574" s="18"/>
      <c r="G574" s="18"/>
      <c r="K574" s="18"/>
      <c r="L574" s="18"/>
      <c r="M574" s="18"/>
      <c r="AG574" s="18"/>
      <c r="AH574" s="18"/>
      <c r="AI574" s="18"/>
      <c r="AJ574" s="18"/>
      <c r="AL574" s="18"/>
      <c r="AM574" s="18"/>
      <c r="AN574" s="18"/>
      <c r="AO574" s="18"/>
      <c r="AQ574" s="18"/>
    </row>
    <row r="575">
      <c r="B575" s="18"/>
      <c r="C575" s="18"/>
      <c r="G575" s="18"/>
      <c r="K575" s="18"/>
      <c r="L575" s="18"/>
      <c r="M575" s="18"/>
      <c r="AG575" s="18"/>
      <c r="AH575" s="18"/>
      <c r="AI575" s="18"/>
      <c r="AJ575" s="18"/>
      <c r="AL575" s="18"/>
      <c r="AM575" s="18"/>
      <c r="AN575" s="18"/>
      <c r="AO575" s="18"/>
      <c r="AQ575" s="18"/>
    </row>
    <row r="576">
      <c r="B576" s="18"/>
      <c r="C576" s="18"/>
      <c r="G576" s="18"/>
      <c r="K576" s="18"/>
      <c r="L576" s="18"/>
      <c r="M576" s="18"/>
      <c r="AG576" s="18"/>
      <c r="AH576" s="18"/>
      <c r="AI576" s="18"/>
      <c r="AJ576" s="18"/>
      <c r="AL576" s="18"/>
      <c r="AM576" s="18"/>
      <c r="AN576" s="18"/>
      <c r="AO576" s="18"/>
      <c r="AQ576" s="18"/>
    </row>
    <row r="577">
      <c r="B577" s="18"/>
      <c r="C577" s="18"/>
      <c r="G577" s="18"/>
      <c r="K577" s="18"/>
      <c r="L577" s="18"/>
      <c r="M577" s="18"/>
      <c r="AG577" s="18"/>
      <c r="AH577" s="18"/>
      <c r="AI577" s="18"/>
      <c r="AJ577" s="18"/>
      <c r="AL577" s="18"/>
      <c r="AM577" s="18"/>
      <c r="AN577" s="18"/>
      <c r="AO577" s="18"/>
      <c r="AQ577" s="18"/>
    </row>
    <row r="578">
      <c r="B578" s="18"/>
      <c r="C578" s="18"/>
      <c r="G578" s="18"/>
      <c r="K578" s="18"/>
      <c r="L578" s="18"/>
      <c r="M578" s="18"/>
      <c r="AG578" s="18"/>
      <c r="AH578" s="18"/>
      <c r="AI578" s="18"/>
      <c r="AJ578" s="18"/>
      <c r="AL578" s="18"/>
      <c r="AM578" s="18"/>
      <c r="AN578" s="18"/>
      <c r="AO578" s="18"/>
      <c r="AQ578" s="18"/>
    </row>
    <row r="579">
      <c r="B579" s="18"/>
      <c r="C579" s="18"/>
      <c r="G579" s="18"/>
      <c r="K579" s="18"/>
      <c r="L579" s="18"/>
      <c r="M579" s="18"/>
      <c r="AG579" s="18"/>
      <c r="AH579" s="18"/>
      <c r="AI579" s="18"/>
      <c r="AJ579" s="18"/>
      <c r="AL579" s="18"/>
      <c r="AM579" s="18"/>
      <c r="AN579" s="18"/>
      <c r="AO579" s="18"/>
      <c r="AQ579" s="18"/>
    </row>
    <row r="580">
      <c r="B580" s="18"/>
      <c r="C580" s="18"/>
      <c r="G580" s="18"/>
      <c r="K580" s="18"/>
      <c r="L580" s="18"/>
      <c r="M580" s="18"/>
      <c r="AG580" s="18"/>
      <c r="AH580" s="18"/>
      <c r="AI580" s="18"/>
      <c r="AJ580" s="18"/>
      <c r="AL580" s="18"/>
      <c r="AM580" s="18"/>
      <c r="AN580" s="18"/>
      <c r="AO580" s="18"/>
      <c r="AQ580" s="18"/>
    </row>
    <row r="581">
      <c r="B581" s="18"/>
      <c r="C581" s="18"/>
      <c r="G581" s="18"/>
      <c r="K581" s="18"/>
      <c r="L581" s="18"/>
      <c r="M581" s="18"/>
      <c r="AG581" s="18"/>
      <c r="AH581" s="18"/>
      <c r="AI581" s="18"/>
      <c r="AJ581" s="18"/>
      <c r="AL581" s="18"/>
      <c r="AM581" s="18"/>
      <c r="AN581" s="18"/>
      <c r="AO581" s="18"/>
      <c r="AQ581" s="18"/>
    </row>
    <row r="582">
      <c r="B582" s="18"/>
      <c r="C582" s="18"/>
      <c r="G582" s="18"/>
      <c r="K582" s="18"/>
      <c r="L582" s="18"/>
      <c r="M582" s="18"/>
      <c r="AG582" s="18"/>
      <c r="AH582" s="18"/>
      <c r="AI582" s="18"/>
      <c r="AJ582" s="18"/>
      <c r="AL582" s="18"/>
      <c r="AM582" s="18"/>
      <c r="AN582" s="18"/>
      <c r="AO582" s="18"/>
      <c r="AQ582" s="18"/>
    </row>
    <row r="583">
      <c r="B583" s="18"/>
      <c r="C583" s="18"/>
      <c r="G583" s="18"/>
      <c r="K583" s="18"/>
      <c r="L583" s="18"/>
      <c r="M583" s="18"/>
      <c r="AG583" s="18"/>
      <c r="AH583" s="18"/>
      <c r="AI583" s="18"/>
      <c r="AJ583" s="18"/>
      <c r="AL583" s="18"/>
      <c r="AM583" s="18"/>
      <c r="AN583" s="18"/>
      <c r="AO583" s="18"/>
      <c r="AQ583" s="18"/>
    </row>
    <row r="584">
      <c r="B584" s="18"/>
      <c r="C584" s="18"/>
      <c r="G584" s="18"/>
      <c r="K584" s="18"/>
      <c r="L584" s="18"/>
      <c r="M584" s="18"/>
      <c r="AG584" s="18"/>
      <c r="AH584" s="18"/>
      <c r="AI584" s="18"/>
      <c r="AJ584" s="18"/>
      <c r="AL584" s="18"/>
      <c r="AM584" s="18"/>
      <c r="AN584" s="18"/>
      <c r="AO584" s="18"/>
      <c r="AQ584" s="18"/>
    </row>
    <row r="585">
      <c r="B585" s="18"/>
      <c r="C585" s="18"/>
      <c r="G585" s="18"/>
      <c r="K585" s="18"/>
      <c r="L585" s="18"/>
      <c r="M585" s="18"/>
      <c r="AG585" s="18"/>
      <c r="AH585" s="18"/>
      <c r="AI585" s="18"/>
      <c r="AJ585" s="18"/>
      <c r="AL585" s="18"/>
      <c r="AM585" s="18"/>
      <c r="AN585" s="18"/>
      <c r="AO585" s="18"/>
      <c r="AQ585" s="18"/>
    </row>
    <row r="586">
      <c r="B586" s="18"/>
      <c r="C586" s="18"/>
      <c r="G586" s="18"/>
      <c r="K586" s="18"/>
      <c r="L586" s="18"/>
      <c r="M586" s="18"/>
      <c r="AG586" s="18"/>
      <c r="AH586" s="18"/>
      <c r="AI586" s="18"/>
      <c r="AJ586" s="18"/>
      <c r="AL586" s="18"/>
      <c r="AM586" s="18"/>
      <c r="AN586" s="18"/>
      <c r="AO586" s="18"/>
      <c r="AQ586" s="18"/>
    </row>
    <row r="587">
      <c r="B587" s="18"/>
      <c r="C587" s="18"/>
      <c r="G587" s="18"/>
      <c r="K587" s="18"/>
      <c r="L587" s="18"/>
      <c r="M587" s="18"/>
      <c r="AG587" s="18"/>
      <c r="AH587" s="18"/>
      <c r="AI587" s="18"/>
      <c r="AJ587" s="18"/>
      <c r="AL587" s="18"/>
      <c r="AM587" s="18"/>
      <c r="AN587" s="18"/>
      <c r="AO587" s="18"/>
      <c r="AQ587" s="18"/>
    </row>
    <row r="588">
      <c r="B588" s="18"/>
      <c r="C588" s="18"/>
      <c r="G588" s="18"/>
      <c r="K588" s="18"/>
      <c r="L588" s="18"/>
      <c r="M588" s="18"/>
      <c r="AG588" s="18"/>
      <c r="AH588" s="18"/>
      <c r="AI588" s="18"/>
      <c r="AJ588" s="18"/>
      <c r="AL588" s="18"/>
      <c r="AM588" s="18"/>
      <c r="AN588" s="18"/>
      <c r="AO588" s="18"/>
      <c r="AQ588" s="18"/>
    </row>
    <row r="589">
      <c r="B589" s="18"/>
      <c r="C589" s="18"/>
      <c r="G589" s="18"/>
      <c r="K589" s="18"/>
      <c r="L589" s="18"/>
      <c r="M589" s="18"/>
      <c r="AG589" s="18"/>
      <c r="AH589" s="18"/>
      <c r="AI589" s="18"/>
      <c r="AJ589" s="18"/>
      <c r="AL589" s="18"/>
      <c r="AM589" s="18"/>
      <c r="AN589" s="18"/>
      <c r="AO589" s="18"/>
      <c r="AQ589" s="18"/>
    </row>
    <row r="590">
      <c r="B590" s="18"/>
      <c r="C590" s="18"/>
      <c r="G590" s="18"/>
      <c r="K590" s="18"/>
      <c r="L590" s="18"/>
      <c r="M590" s="18"/>
      <c r="AG590" s="18"/>
      <c r="AH590" s="18"/>
      <c r="AI590" s="18"/>
      <c r="AJ590" s="18"/>
      <c r="AL590" s="18"/>
      <c r="AM590" s="18"/>
      <c r="AN590" s="18"/>
      <c r="AO590" s="18"/>
      <c r="AQ590" s="18"/>
    </row>
    <row r="591">
      <c r="B591" s="18"/>
      <c r="C591" s="18"/>
      <c r="G591" s="18"/>
      <c r="K591" s="18"/>
      <c r="L591" s="18"/>
      <c r="M591" s="18"/>
      <c r="AG591" s="18"/>
      <c r="AH591" s="18"/>
      <c r="AI591" s="18"/>
      <c r="AJ591" s="18"/>
      <c r="AL591" s="18"/>
      <c r="AM591" s="18"/>
      <c r="AN591" s="18"/>
      <c r="AO591" s="18"/>
      <c r="AQ591" s="18"/>
    </row>
    <row r="592">
      <c r="B592" s="18"/>
      <c r="C592" s="18"/>
      <c r="G592" s="18"/>
      <c r="K592" s="18"/>
      <c r="L592" s="18"/>
      <c r="M592" s="18"/>
      <c r="AG592" s="18"/>
      <c r="AH592" s="18"/>
      <c r="AI592" s="18"/>
      <c r="AJ592" s="18"/>
      <c r="AL592" s="18"/>
      <c r="AM592" s="18"/>
      <c r="AN592" s="18"/>
      <c r="AO592" s="18"/>
      <c r="AQ592" s="18"/>
    </row>
    <row r="593">
      <c r="B593" s="18"/>
      <c r="C593" s="18"/>
      <c r="G593" s="18"/>
      <c r="K593" s="18"/>
      <c r="L593" s="18"/>
      <c r="M593" s="18"/>
      <c r="AG593" s="18"/>
      <c r="AH593" s="18"/>
      <c r="AI593" s="18"/>
      <c r="AJ593" s="18"/>
      <c r="AL593" s="18"/>
      <c r="AM593" s="18"/>
      <c r="AN593" s="18"/>
      <c r="AO593" s="18"/>
      <c r="AQ593" s="18"/>
    </row>
    <row r="594">
      <c r="B594" s="18"/>
      <c r="C594" s="18"/>
      <c r="G594" s="18"/>
      <c r="K594" s="18"/>
      <c r="L594" s="18"/>
      <c r="M594" s="18"/>
      <c r="AG594" s="18"/>
      <c r="AH594" s="18"/>
      <c r="AI594" s="18"/>
      <c r="AJ594" s="18"/>
      <c r="AL594" s="18"/>
      <c r="AM594" s="18"/>
      <c r="AN594" s="18"/>
      <c r="AO594" s="18"/>
      <c r="AQ594" s="18"/>
    </row>
    <row r="595">
      <c r="B595" s="18"/>
      <c r="C595" s="18"/>
      <c r="G595" s="18"/>
      <c r="K595" s="18"/>
      <c r="L595" s="18"/>
      <c r="M595" s="18"/>
      <c r="AG595" s="18"/>
      <c r="AH595" s="18"/>
      <c r="AI595" s="18"/>
      <c r="AJ595" s="18"/>
      <c r="AL595" s="18"/>
      <c r="AM595" s="18"/>
      <c r="AN595" s="18"/>
      <c r="AO595" s="18"/>
      <c r="AQ595" s="18"/>
    </row>
    <row r="596">
      <c r="B596" s="18"/>
      <c r="C596" s="18"/>
      <c r="G596" s="18"/>
      <c r="K596" s="18"/>
      <c r="L596" s="18"/>
      <c r="M596" s="18"/>
      <c r="AG596" s="18"/>
      <c r="AH596" s="18"/>
      <c r="AI596" s="18"/>
      <c r="AJ596" s="18"/>
      <c r="AL596" s="18"/>
      <c r="AM596" s="18"/>
      <c r="AN596" s="18"/>
      <c r="AO596" s="18"/>
      <c r="AQ596" s="18"/>
    </row>
    <row r="597">
      <c r="B597" s="18"/>
      <c r="C597" s="18"/>
      <c r="G597" s="18"/>
      <c r="K597" s="18"/>
      <c r="L597" s="18"/>
      <c r="M597" s="18"/>
      <c r="AG597" s="18"/>
      <c r="AH597" s="18"/>
      <c r="AI597" s="18"/>
      <c r="AJ597" s="18"/>
      <c r="AL597" s="18"/>
      <c r="AM597" s="18"/>
      <c r="AN597" s="18"/>
      <c r="AO597" s="18"/>
      <c r="AQ597" s="18"/>
    </row>
    <row r="598">
      <c r="B598" s="18"/>
      <c r="C598" s="18"/>
      <c r="G598" s="18"/>
      <c r="K598" s="18"/>
      <c r="L598" s="18"/>
      <c r="M598" s="18"/>
      <c r="AG598" s="18"/>
      <c r="AH598" s="18"/>
      <c r="AI598" s="18"/>
      <c r="AJ598" s="18"/>
      <c r="AL598" s="18"/>
      <c r="AM598" s="18"/>
      <c r="AN598" s="18"/>
      <c r="AO598" s="18"/>
      <c r="AQ598" s="18"/>
    </row>
    <row r="599">
      <c r="B599" s="18"/>
      <c r="C599" s="18"/>
      <c r="G599" s="18"/>
      <c r="K599" s="18"/>
      <c r="L599" s="18"/>
      <c r="M599" s="18"/>
      <c r="AG599" s="18"/>
      <c r="AH599" s="18"/>
      <c r="AI599" s="18"/>
      <c r="AJ599" s="18"/>
      <c r="AL599" s="18"/>
      <c r="AM599" s="18"/>
      <c r="AN599" s="18"/>
      <c r="AO599" s="18"/>
      <c r="AQ599" s="18"/>
    </row>
    <row r="600">
      <c r="B600" s="18"/>
      <c r="C600" s="18"/>
      <c r="G600" s="18"/>
      <c r="K600" s="18"/>
      <c r="L600" s="18"/>
      <c r="M600" s="18"/>
      <c r="AG600" s="18"/>
      <c r="AH600" s="18"/>
      <c r="AI600" s="18"/>
      <c r="AJ600" s="18"/>
      <c r="AL600" s="18"/>
      <c r="AM600" s="18"/>
      <c r="AN600" s="18"/>
      <c r="AO600" s="18"/>
      <c r="AQ600" s="18"/>
    </row>
    <row r="601">
      <c r="B601" s="18"/>
      <c r="C601" s="18"/>
      <c r="G601" s="18"/>
      <c r="K601" s="18"/>
      <c r="L601" s="18"/>
      <c r="M601" s="18"/>
      <c r="AG601" s="18"/>
      <c r="AH601" s="18"/>
      <c r="AI601" s="18"/>
      <c r="AJ601" s="18"/>
      <c r="AL601" s="18"/>
      <c r="AM601" s="18"/>
      <c r="AN601" s="18"/>
      <c r="AO601" s="18"/>
      <c r="AQ601" s="18"/>
    </row>
    <row r="602">
      <c r="B602" s="18"/>
      <c r="C602" s="18"/>
      <c r="G602" s="18"/>
      <c r="K602" s="18"/>
      <c r="L602" s="18"/>
      <c r="M602" s="18"/>
      <c r="AG602" s="18"/>
      <c r="AH602" s="18"/>
      <c r="AI602" s="18"/>
      <c r="AJ602" s="18"/>
      <c r="AL602" s="18"/>
      <c r="AM602" s="18"/>
      <c r="AN602" s="18"/>
      <c r="AO602" s="18"/>
      <c r="AQ602" s="18"/>
    </row>
    <row r="603">
      <c r="B603" s="18"/>
      <c r="C603" s="18"/>
      <c r="G603" s="18"/>
      <c r="K603" s="18"/>
      <c r="L603" s="18"/>
      <c r="M603" s="18"/>
      <c r="AG603" s="18"/>
      <c r="AH603" s="18"/>
      <c r="AI603" s="18"/>
      <c r="AJ603" s="18"/>
      <c r="AL603" s="18"/>
      <c r="AM603" s="18"/>
      <c r="AN603" s="18"/>
      <c r="AO603" s="18"/>
      <c r="AQ603" s="18"/>
    </row>
    <row r="604">
      <c r="B604" s="18"/>
      <c r="C604" s="18"/>
      <c r="G604" s="18"/>
      <c r="K604" s="18"/>
      <c r="L604" s="18"/>
      <c r="M604" s="18"/>
      <c r="AG604" s="18"/>
      <c r="AH604" s="18"/>
      <c r="AI604" s="18"/>
      <c r="AJ604" s="18"/>
      <c r="AL604" s="18"/>
      <c r="AM604" s="18"/>
      <c r="AN604" s="18"/>
      <c r="AO604" s="18"/>
      <c r="AQ604" s="18"/>
    </row>
    <row r="605">
      <c r="B605" s="18"/>
      <c r="C605" s="18"/>
      <c r="G605" s="18"/>
      <c r="K605" s="18"/>
      <c r="L605" s="18"/>
      <c r="M605" s="18"/>
      <c r="AG605" s="18"/>
      <c r="AH605" s="18"/>
      <c r="AI605" s="18"/>
      <c r="AJ605" s="18"/>
      <c r="AL605" s="18"/>
      <c r="AM605" s="18"/>
      <c r="AN605" s="18"/>
      <c r="AO605" s="18"/>
      <c r="AQ605" s="18"/>
    </row>
    <row r="606">
      <c r="B606" s="18"/>
      <c r="C606" s="18"/>
      <c r="G606" s="18"/>
      <c r="K606" s="18"/>
      <c r="L606" s="18"/>
      <c r="M606" s="18"/>
      <c r="AG606" s="18"/>
      <c r="AH606" s="18"/>
      <c r="AI606" s="18"/>
      <c r="AJ606" s="18"/>
      <c r="AL606" s="18"/>
      <c r="AM606" s="18"/>
      <c r="AN606" s="18"/>
      <c r="AO606" s="18"/>
      <c r="AQ606" s="18"/>
    </row>
    <row r="607">
      <c r="B607" s="18"/>
      <c r="C607" s="18"/>
      <c r="G607" s="18"/>
      <c r="K607" s="18"/>
      <c r="L607" s="18"/>
      <c r="M607" s="18"/>
      <c r="AG607" s="18"/>
      <c r="AH607" s="18"/>
      <c r="AI607" s="18"/>
      <c r="AJ607" s="18"/>
      <c r="AL607" s="18"/>
      <c r="AM607" s="18"/>
      <c r="AN607" s="18"/>
      <c r="AO607" s="18"/>
      <c r="AQ607" s="18"/>
    </row>
    <row r="608">
      <c r="B608" s="18"/>
      <c r="C608" s="18"/>
      <c r="G608" s="18"/>
      <c r="K608" s="18"/>
      <c r="L608" s="18"/>
      <c r="M608" s="18"/>
      <c r="AG608" s="18"/>
      <c r="AH608" s="18"/>
      <c r="AI608" s="18"/>
      <c r="AJ608" s="18"/>
      <c r="AL608" s="18"/>
      <c r="AM608" s="18"/>
      <c r="AN608" s="18"/>
      <c r="AO608" s="18"/>
      <c r="AQ608" s="18"/>
    </row>
    <row r="609">
      <c r="B609" s="18"/>
      <c r="C609" s="18"/>
      <c r="G609" s="18"/>
      <c r="K609" s="18"/>
      <c r="L609" s="18"/>
      <c r="M609" s="18"/>
      <c r="AG609" s="18"/>
      <c r="AH609" s="18"/>
      <c r="AI609" s="18"/>
      <c r="AJ609" s="18"/>
      <c r="AL609" s="18"/>
      <c r="AM609" s="18"/>
      <c r="AN609" s="18"/>
      <c r="AO609" s="18"/>
      <c r="AQ609" s="18"/>
    </row>
    <row r="610">
      <c r="B610" s="18"/>
      <c r="C610" s="18"/>
      <c r="G610" s="18"/>
      <c r="K610" s="18"/>
      <c r="L610" s="18"/>
      <c r="M610" s="18"/>
      <c r="AG610" s="18"/>
      <c r="AH610" s="18"/>
      <c r="AI610" s="18"/>
      <c r="AJ610" s="18"/>
      <c r="AL610" s="18"/>
      <c r="AM610" s="18"/>
      <c r="AN610" s="18"/>
      <c r="AO610" s="18"/>
      <c r="AQ610" s="18"/>
    </row>
    <row r="611">
      <c r="B611" s="18"/>
      <c r="C611" s="18"/>
      <c r="G611" s="18"/>
      <c r="K611" s="18"/>
      <c r="L611" s="18"/>
      <c r="M611" s="18"/>
      <c r="AG611" s="18"/>
      <c r="AH611" s="18"/>
      <c r="AI611" s="18"/>
      <c r="AJ611" s="18"/>
      <c r="AL611" s="18"/>
      <c r="AM611" s="18"/>
      <c r="AN611" s="18"/>
      <c r="AO611" s="18"/>
      <c r="AQ611" s="18"/>
    </row>
    <row r="612">
      <c r="B612" s="18"/>
      <c r="C612" s="18"/>
      <c r="G612" s="18"/>
      <c r="K612" s="18"/>
      <c r="L612" s="18"/>
      <c r="M612" s="18"/>
      <c r="AG612" s="18"/>
      <c r="AH612" s="18"/>
      <c r="AI612" s="18"/>
      <c r="AJ612" s="18"/>
      <c r="AL612" s="18"/>
      <c r="AM612" s="18"/>
      <c r="AN612" s="18"/>
      <c r="AO612" s="18"/>
      <c r="AQ612" s="18"/>
    </row>
    <row r="613">
      <c r="B613" s="18"/>
      <c r="C613" s="18"/>
      <c r="G613" s="18"/>
      <c r="K613" s="18"/>
      <c r="L613" s="18"/>
      <c r="M613" s="18"/>
      <c r="AG613" s="18"/>
      <c r="AH613" s="18"/>
      <c r="AI613" s="18"/>
      <c r="AJ613" s="18"/>
      <c r="AL613" s="18"/>
      <c r="AM613" s="18"/>
      <c r="AN613" s="18"/>
      <c r="AO613" s="18"/>
      <c r="AQ613" s="18"/>
    </row>
    <row r="614">
      <c r="B614" s="18"/>
      <c r="C614" s="18"/>
      <c r="G614" s="18"/>
      <c r="K614" s="18"/>
      <c r="L614" s="18"/>
      <c r="M614" s="18"/>
      <c r="AG614" s="18"/>
      <c r="AH614" s="18"/>
      <c r="AI614" s="18"/>
      <c r="AJ614" s="18"/>
      <c r="AL614" s="18"/>
      <c r="AM614" s="18"/>
      <c r="AN614" s="18"/>
      <c r="AO614" s="18"/>
      <c r="AQ614" s="18"/>
    </row>
    <row r="615">
      <c r="B615" s="18"/>
      <c r="C615" s="18"/>
      <c r="G615" s="18"/>
      <c r="K615" s="18"/>
      <c r="L615" s="18"/>
      <c r="M615" s="18"/>
      <c r="AG615" s="18"/>
      <c r="AH615" s="18"/>
      <c r="AI615" s="18"/>
      <c r="AJ615" s="18"/>
      <c r="AL615" s="18"/>
      <c r="AM615" s="18"/>
      <c r="AN615" s="18"/>
      <c r="AO615" s="18"/>
      <c r="AQ615" s="18"/>
    </row>
    <row r="616">
      <c r="B616" s="18"/>
      <c r="C616" s="18"/>
      <c r="G616" s="18"/>
      <c r="K616" s="18"/>
      <c r="L616" s="18"/>
      <c r="M616" s="18"/>
      <c r="AG616" s="18"/>
      <c r="AH616" s="18"/>
      <c r="AI616" s="18"/>
      <c r="AJ616" s="18"/>
      <c r="AL616" s="18"/>
      <c r="AM616" s="18"/>
      <c r="AN616" s="18"/>
      <c r="AO616" s="18"/>
      <c r="AQ616" s="18"/>
    </row>
    <row r="617">
      <c r="B617" s="18"/>
      <c r="C617" s="18"/>
      <c r="G617" s="18"/>
      <c r="K617" s="18"/>
      <c r="L617" s="18"/>
      <c r="M617" s="18"/>
      <c r="AG617" s="18"/>
      <c r="AH617" s="18"/>
      <c r="AI617" s="18"/>
      <c r="AJ617" s="18"/>
      <c r="AL617" s="18"/>
      <c r="AM617" s="18"/>
      <c r="AN617" s="18"/>
      <c r="AO617" s="18"/>
      <c r="AQ617" s="18"/>
    </row>
    <row r="618">
      <c r="B618" s="18"/>
      <c r="C618" s="18"/>
      <c r="G618" s="18"/>
      <c r="K618" s="18"/>
      <c r="L618" s="18"/>
      <c r="M618" s="18"/>
      <c r="AG618" s="18"/>
      <c r="AH618" s="18"/>
      <c r="AI618" s="18"/>
      <c r="AJ618" s="18"/>
      <c r="AL618" s="18"/>
      <c r="AM618" s="18"/>
      <c r="AN618" s="18"/>
      <c r="AO618" s="18"/>
      <c r="AQ618" s="18"/>
    </row>
    <row r="619">
      <c r="B619" s="18"/>
      <c r="C619" s="18"/>
      <c r="G619" s="18"/>
      <c r="K619" s="18"/>
      <c r="L619" s="18"/>
      <c r="M619" s="18"/>
      <c r="AG619" s="18"/>
      <c r="AH619" s="18"/>
      <c r="AI619" s="18"/>
      <c r="AJ619" s="18"/>
      <c r="AL619" s="18"/>
      <c r="AM619" s="18"/>
      <c r="AN619" s="18"/>
      <c r="AO619" s="18"/>
      <c r="AQ619" s="18"/>
    </row>
    <row r="620">
      <c r="B620" s="18"/>
      <c r="C620" s="18"/>
      <c r="G620" s="18"/>
      <c r="K620" s="18"/>
      <c r="L620" s="18"/>
      <c r="M620" s="18"/>
      <c r="AG620" s="18"/>
      <c r="AH620" s="18"/>
      <c r="AI620" s="18"/>
      <c r="AJ620" s="18"/>
      <c r="AL620" s="18"/>
      <c r="AM620" s="18"/>
      <c r="AN620" s="18"/>
      <c r="AO620" s="18"/>
      <c r="AQ620" s="18"/>
    </row>
    <row r="621">
      <c r="B621" s="18"/>
      <c r="C621" s="18"/>
      <c r="G621" s="18"/>
      <c r="K621" s="18"/>
      <c r="L621" s="18"/>
      <c r="M621" s="18"/>
      <c r="AG621" s="18"/>
      <c r="AH621" s="18"/>
      <c r="AI621" s="18"/>
      <c r="AJ621" s="18"/>
      <c r="AL621" s="18"/>
      <c r="AM621" s="18"/>
      <c r="AN621" s="18"/>
      <c r="AO621" s="18"/>
      <c r="AQ621" s="18"/>
    </row>
    <row r="622">
      <c r="B622" s="18"/>
      <c r="C622" s="18"/>
      <c r="G622" s="18"/>
      <c r="K622" s="18"/>
      <c r="L622" s="18"/>
      <c r="M622" s="18"/>
      <c r="AG622" s="18"/>
      <c r="AH622" s="18"/>
      <c r="AI622" s="18"/>
      <c r="AJ622" s="18"/>
      <c r="AL622" s="18"/>
      <c r="AM622" s="18"/>
      <c r="AN622" s="18"/>
      <c r="AO622" s="18"/>
      <c r="AQ622" s="18"/>
    </row>
    <row r="623">
      <c r="B623" s="18"/>
      <c r="C623" s="18"/>
      <c r="G623" s="18"/>
      <c r="K623" s="18"/>
      <c r="L623" s="18"/>
      <c r="M623" s="18"/>
      <c r="AG623" s="18"/>
      <c r="AH623" s="18"/>
      <c r="AI623" s="18"/>
      <c r="AJ623" s="18"/>
      <c r="AL623" s="18"/>
      <c r="AM623" s="18"/>
      <c r="AN623" s="18"/>
      <c r="AO623" s="18"/>
      <c r="AQ623" s="18"/>
    </row>
    <row r="624">
      <c r="B624" s="18"/>
      <c r="C624" s="18"/>
      <c r="G624" s="18"/>
      <c r="K624" s="18"/>
      <c r="L624" s="18"/>
      <c r="M624" s="18"/>
      <c r="AG624" s="18"/>
      <c r="AH624" s="18"/>
      <c r="AI624" s="18"/>
      <c r="AJ624" s="18"/>
      <c r="AL624" s="18"/>
      <c r="AM624" s="18"/>
      <c r="AN624" s="18"/>
      <c r="AO624" s="18"/>
      <c r="AQ624" s="18"/>
    </row>
    <row r="625">
      <c r="B625" s="18"/>
      <c r="C625" s="18"/>
      <c r="G625" s="18"/>
      <c r="K625" s="18"/>
      <c r="L625" s="18"/>
      <c r="M625" s="18"/>
      <c r="AG625" s="18"/>
      <c r="AH625" s="18"/>
      <c r="AI625" s="18"/>
      <c r="AJ625" s="18"/>
      <c r="AL625" s="18"/>
      <c r="AM625" s="18"/>
      <c r="AN625" s="18"/>
      <c r="AO625" s="18"/>
      <c r="AQ625" s="18"/>
    </row>
    <row r="626">
      <c r="B626" s="18"/>
      <c r="C626" s="18"/>
      <c r="G626" s="18"/>
      <c r="K626" s="18"/>
      <c r="L626" s="18"/>
      <c r="M626" s="18"/>
      <c r="AG626" s="18"/>
      <c r="AH626" s="18"/>
      <c r="AI626" s="18"/>
      <c r="AJ626" s="18"/>
      <c r="AL626" s="18"/>
      <c r="AM626" s="18"/>
      <c r="AN626" s="18"/>
      <c r="AO626" s="18"/>
      <c r="AQ626" s="18"/>
    </row>
    <row r="627">
      <c r="B627" s="18"/>
      <c r="C627" s="18"/>
      <c r="G627" s="18"/>
      <c r="K627" s="18"/>
      <c r="L627" s="18"/>
      <c r="M627" s="18"/>
      <c r="AG627" s="18"/>
      <c r="AH627" s="18"/>
      <c r="AI627" s="18"/>
      <c r="AJ627" s="18"/>
      <c r="AL627" s="18"/>
      <c r="AM627" s="18"/>
      <c r="AN627" s="18"/>
      <c r="AO627" s="18"/>
      <c r="AQ627" s="18"/>
    </row>
    <row r="628">
      <c r="B628" s="18"/>
      <c r="C628" s="18"/>
      <c r="G628" s="18"/>
      <c r="K628" s="18"/>
      <c r="L628" s="18"/>
      <c r="M628" s="18"/>
      <c r="AG628" s="18"/>
      <c r="AH628" s="18"/>
      <c r="AI628" s="18"/>
      <c r="AJ628" s="18"/>
      <c r="AL628" s="18"/>
      <c r="AM628" s="18"/>
      <c r="AN628" s="18"/>
      <c r="AO628" s="18"/>
      <c r="AQ628" s="18"/>
    </row>
    <row r="629">
      <c r="B629" s="18"/>
      <c r="C629" s="18"/>
      <c r="G629" s="18"/>
      <c r="K629" s="18"/>
      <c r="L629" s="18"/>
      <c r="M629" s="18"/>
      <c r="AG629" s="18"/>
      <c r="AH629" s="18"/>
      <c r="AI629" s="18"/>
      <c r="AJ629" s="18"/>
      <c r="AL629" s="18"/>
      <c r="AM629" s="18"/>
      <c r="AN629" s="18"/>
      <c r="AO629" s="18"/>
      <c r="AQ629" s="18"/>
    </row>
    <row r="630">
      <c r="B630" s="18"/>
      <c r="C630" s="18"/>
      <c r="G630" s="18"/>
      <c r="K630" s="18"/>
      <c r="L630" s="18"/>
      <c r="M630" s="18"/>
      <c r="AG630" s="18"/>
      <c r="AH630" s="18"/>
      <c r="AI630" s="18"/>
      <c r="AJ630" s="18"/>
      <c r="AL630" s="18"/>
      <c r="AM630" s="18"/>
      <c r="AN630" s="18"/>
      <c r="AO630" s="18"/>
      <c r="AQ630" s="18"/>
    </row>
    <row r="631">
      <c r="B631" s="18"/>
      <c r="C631" s="18"/>
      <c r="G631" s="18"/>
      <c r="K631" s="18"/>
      <c r="L631" s="18"/>
      <c r="M631" s="18"/>
      <c r="AG631" s="18"/>
      <c r="AH631" s="18"/>
      <c r="AI631" s="18"/>
      <c r="AJ631" s="18"/>
      <c r="AL631" s="18"/>
      <c r="AM631" s="18"/>
      <c r="AN631" s="18"/>
      <c r="AO631" s="18"/>
      <c r="AQ631" s="18"/>
    </row>
    <row r="632">
      <c r="B632" s="18"/>
      <c r="C632" s="18"/>
      <c r="G632" s="18"/>
      <c r="K632" s="18"/>
      <c r="L632" s="18"/>
      <c r="M632" s="18"/>
      <c r="AG632" s="18"/>
      <c r="AH632" s="18"/>
      <c r="AI632" s="18"/>
      <c r="AJ632" s="18"/>
      <c r="AL632" s="18"/>
      <c r="AM632" s="18"/>
      <c r="AN632" s="18"/>
      <c r="AO632" s="18"/>
      <c r="AQ632" s="18"/>
    </row>
    <row r="633">
      <c r="B633" s="18"/>
      <c r="C633" s="18"/>
      <c r="G633" s="18"/>
      <c r="K633" s="18"/>
      <c r="L633" s="18"/>
      <c r="M633" s="18"/>
      <c r="AG633" s="18"/>
      <c r="AH633" s="18"/>
      <c r="AI633" s="18"/>
      <c r="AJ633" s="18"/>
      <c r="AL633" s="18"/>
      <c r="AM633" s="18"/>
      <c r="AN633" s="18"/>
      <c r="AO633" s="18"/>
      <c r="AQ633" s="18"/>
    </row>
    <row r="634">
      <c r="B634" s="18"/>
      <c r="C634" s="18"/>
      <c r="G634" s="18"/>
      <c r="K634" s="18"/>
      <c r="L634" s="18"/>
      <c r="M634" s="18"/>
      <c r="AG634" s="18"/>
      <c r="AH634" s="18"/>
      <c r="AI634" s="18"/>
      <c r="AJ634" s="18"/>
      <c r="AL634" s="18"/>
      <c r="AM634" s="18"/>
      <c r="AN634" s="18"/>
      <c r="AO634" s="18"/>
      <c r="AQ634" s="18"/>
    </row>
    <row r="635">
      <c r="B635" s="18"/>
      <c r="C635" s="18"/>
      <c r="G635" s="18"/>
      <c r="K635" s="18"/>
      <c r="L635" s="18"/>
      <c r="M635" s="18"/>
      <c r="AG635" s="18"/>
      <c r="AH635" s="18"/>
      <c r="AI635" s="18"/>
      <c r="AJ635" s="18"/>
      <c r="AL635" s="18"/>
      <c r="AM635" s="18"/>
      <c r="AN635" s="18"/>
      <c r="AO635" s="18"/>
      <c r="AQ635" s="18"/>
    </row>
    <row r="636">
      <c r="B636" s="18"/>
      <c r="C636" s="18"/>
      <c r="G636" s="18"/>
      <c r="K636" s="18"/>
      <c r="L636" s="18"/>
      <c r="M636" s="18"/>
      <c r="AG636" s="18"/>
      <c r="AH636" s="18"/>
      <c r="AI636" s="18"/>
      <c r="AJ636" s="18"/>
      <c r="AL636" s="18"/>
      <c r="AM636" s="18"/>
      <c r="AN636" s="18"/>
      <c r="AO636" s="18"/>
      <c r="AQ636" s="18"/>
    </row>
    <row r="637">
      <c r="B637" s="18"/>
      <c r="C637" s="18"/>
      <c r="G637" s="18"/>
      <c r="K637" s="18"/>
      <c r="L637" s="18"/>
      <c r="M637" s="18"/>
      <c r="AG637" s="18"/>
      <c r="AH637" s="18"/>
      <c r="AI637" s="18"/>
      <c r="AJ637" s="18"/>
      <c r="AL637" s="18"/>
      <c r="AM637" s="18"/>
      <c r="AN637" s="18"/>
      <c r="AO637" s="18"/>
      <c r="AQ637" s="18"/>
    </row>
    <row r="638">
      <c r="B638" s="18"/>
      <c r="C638" s="18"/>
      <c r="G638" s="18"/>
      <c r="K638" s="18"/>
      <c r="L638" s="18"/>
      <c r="M638" s="18"/>
      <c r="AG638" s="18"/>
      <c r="AH638" s="18"/>
      <c r="AI638" s="18"/>
      <c r="AJ638" s="18"/>
      <c r="AL638" s="18"/>
      <c r="AM638" s="18"/>
      <c r="AN638" s="18"/>
      <c r="AO638" s="18"/>
      <c r="AQ638" s="18"/>
    </row>
    <row r="639">
      <c r="B639" s="18"/>
      <c r="C639" s="18"/>
      <c r="G639" s="18"/>
      <c r="K639" s="18"/>
      <c r="L639" s="18"/>
      <c r="M639" s="18"/>
      <c r="AG639" s="18"/>
      <c r="AH639" s="18"/>
      <c r="AI639" s="18"/>
      <c r="AJ639" s="18"/>
      <c r="AL639" s="18"/>
      <c r="AM639" s="18"/>
      <c r="AN639" s="18"/>
      <c r="AO639" s="18"/>
      <c r="AQ639" s="18"/>
    </row>
    <row r="640">
      <c r="B640" s="18"/>
      <c r="C640" s="18"/>
      <c r="G640" s="18"/>
      <c r="K640" s="18"/>
      <c r="L640" s="18"/>
      <c r="M640" s="18"/>
      <c r="AG640" s="18"/>
      <c r="AH640" s="18"/>
      <c r="AI640" s="18"/>
      <c r="AJ640" s="18"/>
      <c r="AL640" s="18"/>
      <c r="AM640" s="18"/>
      <c r="AN640" s="18"/>
      <c r="AO640" s="18"/>
      <c r="AQ640" s="18"/>
    </row>
    <row r="641">
      <c r="B641" s="18"/>
      <c r="C641" s="18"/>
      <c r="G641" s="18"/>
      <c r="K641" s="18"/>
      <c r="L641" s="18"/>
      <c r="M641" s="18"/>
      <c r="AG641" s="18"/>
      <c r="AH641" s="18"/>
      <c r="AI641" s="18"/>
      <c r="AJ641" s="18"/>
      <c r="AL641" s="18"/>
      <c r="AM641" s="18"/>
      <c r="AN641" s="18"/>
      <c r="AO641" s="18"/>
      <c r="AQ641" s="18"/>
    </row>
    <row r="642">
      <c r="B642" s="18"/>
      <c r="C642" s="18"/>
      <c r="G642" s="18"/>
      <c r="K642" s="18"/>
      <c r="L642" s="18"/>
      <c r="M642" s="18"/>
      <c r="AG642" s="18"/>
      <c r="AH642" s="18"/>
      <c r="AI642" s="18"/>
      <c r="AJ642" s="18"/>
      <c r="AL642" s="18"/>
      <c r="AM642" s="18"/>
      <c r="AN642" s="18"/>
      <c r="AO642" s="18"/>
      <c r="AQ642" s="18"/>
    </row>
    <row r="643">
      <c r="B643" s="18"/>
      <c r="C643" s="18"/>
      <c r="G643" s="18"/>
      <c r="K643" s="18"/>
      <c r="L643" s="18"/>
      <c r="M643" s="18"/>
      <c r="AG643" s="18"/>
      <c r="AH643" s="18"/>
      <c r="AI643" s="18"/>
      <c r="AJ643" s="18"/>
      <c r="AL643" s="18"/>
      <c r="AM643" s="18"/>
      <c r="AN643" s="18"/>
      <c r="AO643" s="18"/>
      <c r="AQ643" s="18"/>
    </row>
    <row r="644">
      <c r="B644" s="18"/>
      <c r="C644" s="18"/>
      <c r="G644" s="18"/>
      <c r="K644" s="18"/>
      <c r="L644" s="18"/>
      <c r="M644" s="18"/>
      <c r="AG644" s="18"/>
      <c r="AH644" s="18"/>
      <c r="AI644" s="18"/>
      <c r="AJ644" s="18"/>
      <c r="AL644" s="18"/>
      <c r="AM644" s="18"/>
      <c r="AN644" s="18"/>
      <c r="AO644" s="18"/>
      <c r="AQ644" s="18"/>
    </row>
    <row r="645">
      <c r="B645" s="18"/>
      <c r="C645" s="18"/>
      <c r="G645" s="18"/>
      <c r="K645" s="18"/>
      <c r="L645" s="18"/>
      <c r="M645" s="18"/>
      <c r="AG645" s="18"/>
      <c r="AH645" s="18"/>
      <c r="AI645" s="18"/>
      <c r="AJ645" s="18"/>
      <c r="AL645" s="18"/>
      <c r="AM645" s="18"/>
      <c r="AN645" s="18"/>
      <c r="AO645" s="18"/>
      <c r="AQ645" s="18"/>
    </row>
    <row r="646">
      <c r="B646" s="18"/>
      <c r="C646" s="18"/>
      <c r="G646" s="18"/>
      <c r="K646" s="18"/>
      <c r="L646" s="18"/>
      <c r="M646" s="18"/>
      <c r="AG646" s="18"/>
      <c r="AH646" s="18"/>
      <c r="AI646" s="18"/>
      <c r="AJ646" s="18"/>
      <c r="AL646" s="18"/>
      <c r="AM646" s="18"/>
      <c r="AN646" s="18"/>
      <c r="AO646" s="18"/>
      <c r="AQ646" s="18"/>
    </row>
    <row r="647">
      <c r="B647" s="18"/>
      <c r="C647" s="18"/>
      <c r="G647" s="18"/>
      <c r="K647" s="18"/>
      <c r="L647" s="18"/>
      <c r="M647" s="18"/>
      <c r="AG647" s="18"/>
      <c r="AH647" s="18"/>
      <c r="AI647" s="18"/>
      <c r="AJ647" s="18"/>
      <c r="AL647" s="18"/>
      <c r="AM647" s="18"/>
      <c r="AN647" s="18"/>
      <c r="AO647" s="18"/>
      <c r="AQ647" s="18"/>
    </row>
    <row r="648">
      <c r="B648" s="18"/>
      <c r="C648" s="18"/>
      <c r="G648" s="18"/>
      <c r="K648" s="18"/>
      <c r="L648" s="18"/>
      <c r="M648" s="18"/>
      <c r="AG648" s="18"/>
      <c r="AH648" s="18"/>
      <c r="AI648" s="18"/>
      <c r="AJ648" s="18"/>
      <c r="AL648" s="18"/>
      <c r="AM648" s="18"/>
      <c r="AN648" s="18"/>
      <c r="AO648" s="18"/>
      <c r="AQ648" s="18"/>
    </row>
    <row r="649">
      <c r="B649" s="18"/>
      <c r="C649" s="18"/>
      <c r="G649" s="18"/>
      <c r="K649" s="18"/>
      <c r="L649" s="18"/>
      <c r="M649" s="18"/>
      <c r="AG649" s="18"/>
      <c r="AH649" s="18"/>
      <c r="AI649" s="18"/>
      <c r="AJ649" s="18"/>
      <c r="AL649" s="18"/>
      <c r="AM649" s="18"/>
      <c r="AN649" s="18"/>
      <c r="AO649" s="18"/>
      <c r="AQ649" s="18"/>
    </row>
    <row r="650">
      <c r="B650" s="18"/>
      <c r="C650" s="18"/>
      <c r="G650" s="18"/>
      <c r="K650" s="18"/>
      <c r="L650" s="18"/>
      <c r="M650" s="18"/>
      <c r="AG650" s="18"/>
      <c r="AH650" s="18"/>
      <c r="AI650" s="18"/>
      <c r="AJ650" s="18"/>
      <c r="AL650" s="18"/>
      <c r="AM650" s="18"/>
      <c r="AN650" s="18"/>
      <c r="AO650" s="18"/>
      <c r="AQ650" s="18"/>
    </row>
    <row r="651">
      <c r="B651" s="18"/>
      <c r="C651" s="18"/>
      <c r="G651" s="18"/>
      <c r="K651" s="18"/>
      <c r="L651" s="18"/>
      <c r="M651" s="18"/>
      <c r="AG651" s="18"/>
      <c r="AH651" s="18"/>
      <c r="AI651" s="18"/>
      <c r="AJ651" s="18"/>
      <c r="AL651" s="18"/>
      <c r="AM651" s="18"/>
      <c r="AN651" s="18"/>
      <c r="AO651" s="18"/>
      <c r="AQ651" s="18"/>
    </row>
    <row r="652">
      <c r="B652" s="18"/>
      <c r="C652" s="18"/>
      <c r="G652" s="18"/>
      <c r="K652" s="18"/>
      <c r="L652" s="18"/>
      <c r="M652" s="18"/>
      <c r="AG652" s="18"/>
      <c r="AH652" s="18"/>
      <c r="AI652" s="18"/>
      <c r="AJ652" s="18"/>
      <c r="AL652" s="18"/>
      <c r="AM652" s="18"/>
      <c r="AN652" s="18"/>
      <c r="AO652" s="18"/>
      <c r="AQ652" s="18"/>
    </row>
    <row r="653">
      <c r="B653" s="18"/>
      <c r="C653" s="18"/>
      <c r="G653" s="18"/>
      <c r="K653" s="18"/>
      <c r="L653" s="18"/>
      <c r="M653" s="18"/>
      <c r="AG653" s="18"/>
      <c r="AH653" s="18"/>
      <c r="AI653" s="18"/>
      <c r="AJ653" s="18"/>
      <c r="AL653" s="18"/>
      <c r="AM653" s="18"/>
      <c r="AN653" s="18"/>
      <c r="AO653" s="18"/>
      <c r="AQ653" s="18"/>
    </row>
    <row r="654">
      <c r="B654" s="18"/>
      <c r="C654" s="18"/>
      <c r="G654" s="18"/>
      <c r="K654" s="18"/>
      <c r="L654" s="18"/>
      <c r="M654" s="18"/>
      <c r="AG654" s="18"/>
      <c r="AH654" s="18"/>
      <c r="AI654" s="18"/>
      <c r="AJ654" s="18"/>
      <c r="AL654" s="18"/>
      <c r="AM654" s="18"/>
      <c r="AN654" s="18"/>
      <c r="AO654" s="18"/>
      <c r="AQ654" s="18"/>
    </row>
    <row r="655">
      <c r="B655" s="18"/>
      <c r="C655" s="18"/>
      <c r="G655" s="18"/>
      <c r="K655" s="18"/>
      <c r="L655" s="18"/>
      <c r="M655" s="18"/>
      <c r="AG655" s="18"/>
      <c r="AH655" s="18"/>
      <c r="AI655" s="18"/>
      <c r="AJ655" s="18"/>
      <c r="AL655" s="18"/>
      <c r="AM655" s="18"/>
      <c r="AN655" s="18"/>
      <c r="AO655" s="18"/>
      <c r="AQ655" s="18"/>
    </row>
    <row r="656">
      <c r="B656" s="18"/>
      <c r="C656" s="18"/>
      <c r="G656" s="18"/>
      <c r="K656" s="18"/>
      <c r="L656" s="18"/>
      <c r="M656" s="18"/>
      <c r="AG656" s="18"/>
      <c r="AH656" s="18"/>
      <c r="AI656" s="18"/>
      <c r="AJ656" s="18"/>
      <c r="AL656" s="18"/>
      <c r="AM656" s="18"/>
      <c r="AN656" s="18"/>
      <c r="AO656" s="18"/>
      <c r="AQ656" s="18"/>
    </row>
    <row r="657">
      <c r="B657" s="18"/>
      <c r="C657" s="18"/>
      <c r="G657" s="18"/>
      <c r="K657" s="18"/>
      <c r="L657" s="18"/>
      <c r="M657" s="18"/>
      <c r="AG657" s="18"/>
      <c r="AH657" s="18"/>
      <c r="AI657" s="18"/>
      <c r="AJ657" s="18"/>
      <c r="AL657" s="18"/>
      <c r="AM657" s="18"/>
      <c r="AN657" s="18"/>
      <c r="AO657" s="18"/>
      <c r="AQ657" s="18"/>
    </row>
    <row r="658">
      <c r="B658" s="18"/>
      <c r="C658" s="18"/>
      <c r="G658" s="18"/>
      <c r="K658" s="18"/>
      <c r="L658" s="18"/>
      <c r="M658" s="18"/>
      <c r="AG658" s="18"/>
      <c r="AH658" s="18"/>
      <c r="AI658" s="18"/>
      <c r="AJ658" s="18"/>
      <c r="AL658" s="18"/>
      <c r="AM658" s="18"/>
      <c r="AN658" s="18"/>
      <c r="AO658" s="18"/>
      <c r="AQ658" s="18"/>
    </row>
    <row r="659">
      <c r="B659" s="18"/>
      <c r="C659" s="18"/>
      <c r="G659" s="18"/>
      <c r="K659" s="18"/>
      <c r="L659" s="18"/>
      <c r="M659" s="18"/>
      <c r="AG659" s="18"/>
      <c r="AH659" s="18"/>
      <c r="AI659" s="18"/>
      <c r="AJ659" s="18"/>
      <c r="AL659" s="18"/>
      <c r="AM659" s="18"/>
      <c r="AN659" s="18"/>
      <c r="AO659" s="18"/>
      <c r="AQ659" s="18"/>
    </row>
    <row r="660">
      <c r="B660" s="18"/>
      <c r="C660" s="18"/>
      <c r="G660" s="18"/>
      <c r="K660" s="18"/>
      <c r="L660" s="18"/>
      <c r="M660" s="18"/>
      <c r="AG660" s="18"/>
      <c r="AH660" s="18"/>
      <c r="AI660" s="18"/>
      <c r="AJ660" s="18"/>
      <c r="AL660" s="18"/>
      <c r="AM660" s="18"/>
      <c r="AN660" s="18"/>
      <c r="AO660" s="18"/>
      <c r="AQ660" s="18"/>
    </row>
    <row r="661">
      <c r="B661" s="18"/>
      <c r="C661" s="18"/>
      <c r="G661" s="18"/>
      <c r="K661" s="18"/>
      <c r="L661" s="18"/>
      <c r="M661" s="18"/>
      <c r="AG661" s="18"/>
      <c r="AH661" s="18"/>
      <c r="AI661" s="18"/>
      <c r="AJ661" s="18"/>
      <c r="AL661" s="18"/>
      <c r="AM661" s="18"/>
      <c r="AN661" s="18"/>
      <c r="AO661" s="18"/>
      <c r="AQ661" s="18"/>
    </row>
    <row r="662">
      <c r="B662" s="18"/>
      <c r="C662" s="18"/>
      <c r="G662" s="18"/>
      <c r="K662" s="18"/>
      <c r="L662" s="18"/>
      <c r="M662" s="18"/>
      <c r="AG662" s="18"/>
      <c r="AH662" s="18"/>
      <c r="AI662" s="18"/>
      <c r="AJ662" s="18"/>
      <c r="AL662" s="18"/>
      <c r="AM662" s="18"/>
      <c r="AN662" s="18"/>
      <c r="AO662" s="18"/>
      <c r="AQ662" s="18"/>
    </row>
    <row r="663">
      <c r="B663" s="18"/>
      <c r="C663" s="18"/>
      <c r="G663" s="18"/>
      <c r="K663" s="18"/>
      <c r="L663" s="18"/>
      <c r="M663" s="18"/>
      <c r="AG663" s="18"/>
      <c r="AH663" s="18"/>
      <c r="AI663" s="18"/>
      <c r="AJ663" s="18"/>
      <c r="AL663" s="18"/>
      <c r="AM663" s="18"/>
      <c r="AN663" s="18"/>
      <c r="AO663" s="18"/>
      <c r="AQ663" s="18"/>
    </row>
    <row r="664">
      <c r="B664" s="18"/>
      <c r="C664" s="18"/>
      <c r="G664" s="18"/>
      <c r="K664" s="18"/>
      <c r="L664" s="18"/>
      <c r="M664" s="18"/>
      <c r="AG664" s="18"/>
      <c r="AH664" s="18"/>
      <c r="AI664" s="18"/>
      <c r="AJ664" s="18"/>
      <c r="AL664" s="18"/>
      <c r="AM664" s="18"/>
      <c r="AN664" s="18"/>
      <c r="AO664" s="18"/>
      <c r="AQ664" s="18"/>
    </row>
    <row r="665">
      <c r="B665" s="18"/>
      <c r="C665" s="18"/>
      <c r="G665" s="18"/>
      <c r="K665" s="18"/>
      <c r="L665" s="18"/>
      <c r="M665" s="18"/>
      <c r="AG665" s="18"/>
      <c r="AH665" s="18"/>
      <c r="AI665" s="18"/>
      <c r="AJ665" s="18"/>
      <c r="AL665" s="18"/>
      <c r="AM665" s="18"/>
      <c r="AN665" s="18"/>
      <c r="AO665" s="18"/>
      <c r="AQ665" s="18"/>
    </row>
    <row r="666">
      <c r="B666" s="18"/>
      <c r="C666" s="18"/>
      <c r="G666" s="18"/>
      <c r="K666" s="18"/>
      <c r="L666" s="18"/>
      <c r="M666" s="18"/>
      <c r="AG666" s="18"/>
      <c r="AH666" s="18"/>
      <c r="AI666" s="18"/>
      <c r="AJ666" s="18"/>
      <c r="AL666" s="18"/>
      <c r="AM666" s="18"/>
      <c r="AN666" s="18"/>
      <c r="AO666" s="18"/>
      <c r="AQ666" s="18"/>
    </row>
    <row r="667">
      <c r="B667" s="18"/>
      <c r="C667" s="18"/>
      <c r="G667" s="18"/>
      <c r="K667" s="18"/>
      <c r="L667" s="18"/>
      <c r="M667" s="18"/>
      <c r="AG667" s="18"/>
      <c r="AH667" s="18"/>
      <c r="AI667" s="18"/>
      <c r="AJ667" s="18"/>
      <c r="AL667" s="18"/>
      <c r="AM667" s="18"/>
      <c r="AN667" s="18"/>
      <c r="AO667" s="18"/>
      <c r="AQ667" s="18"/>
    </row>
    <row r="668">
      <c r="B668" s="18"/>
      <c r="C668" s="18"/>
      <c r="G668" s="18"/>
      <c r="K668" s="18"/>
      <c r="L668" s="18"/>
      <c r="M668" s="18"/>
      <c r="AG668" s="18"/>
      <c r="AH668" s="18"/>
      <c r="AI668" s="18"/>
      <c r="AJ668" s="18"/>
      <c r="AL668" s="18"/>
      <c r="AM668" s="18"/>
      <c r="AN668" s="18"/>
      <c r="AO668" s="18"/>
      <c r="AQ668" s="18"/>
    </row>
    <row r="669">
      <c r="B669" s="18"/>
      <c r="C669" s="18"/>
      <c r="G669" s="18"/>
      <c r="K669" s="18"/>
      <c r="L669" s="18"/>
      <c r="M669" s="18"/>
      <c r="AG669" s="18"/>
      <c r="AH669" s="18"/>
      <c r="AI669" s="18"/>
      <c r="AJ669" s="18"/>
      <c r="AL669" s="18"/>
      <c r="AM669" s="18"/>
      <c r="AN669" s="18"/>
      <c r="AO669" s="18"/>
      <c r="AQ669" s="18"/>
    </row>
    <row r="670">
      <c r="B670" s="18"/>
      <c r="C670" s="18"/>
      <c r="G670" s="18"/>
      <c r="K670" s="18"/>
      <c r="L670" s="18"/>
      <c r="M670" s="18"/>
      <c r="AG670" s="18"/>
      <c r="AH670" s="18"/>
      <c r="AI670" s="18"/>
      <c r="AJ670" s="18"/>
      <c r="AL670" s="18"/>
      <c r="AM670" s="18"/>
      <c r="AN670" s="18"/>
      <c r="AO670" s="18"/>
      <c r="AQ670" s="18"/>
    </row>
    <row r="671">
      <c r="B671" s="18"/>
      <c r="C671" s="18"/>
      <c r="G671" s="18"/>
      <c r="K671" s="18"/>
      <c r="L671" s="18"/>
      <c r="M671" s="18"/>
      <c r="AG671" s="18"/>
      <c r="AH671" s="18"/>
      <c r="AI671" s="18"/>
      <c r="AJ671" s="18"/>
      <c r="AL671" s="18"/>
      <c r="AM671" s="18"/>
      <c r="AN671" s="18"/>
      <c r="AO671" s="18"/>
      <c r="AQ671" s="18"/>
    </row>
    <row r="672">
      <c r="B672" s="18"/>
      <c r="C672" s="18"/>
      <c r="G672" s="18"/>
      <c r="K672" s="18"/>
      <c r="L672" s="18"/>
      <c r="M672" s="18"/>
      <c r="AG672" s="18"/>
      <c r="AH672" s="18"/>
      <c r="AI672" s="18"/>
      <c r="AJ672" s="18"/>
      <c r="AL672" s="18"/>
      <c r="AM672" s="18"/>
      <c r="AN672" s="18"/>
      <c r="AO672" s="18"/>
      <c r="AQ672" s="18"/>
    </row>
    <row r="673">
      <c r="B673" s="18"/>
      <c r="C673" s="18"/>
      <c r="G673" s="18"/>
      <c r="K673" s="18"/>
      <c r="L673" s="18"/>
      <c r="M673" s="18"/>
      <c r="AG673" s="18"/>
      <c r="AH673" s="18"/>
      <c r="AI673" s="18"/>
      <c r="AJ673" s="18"/>
      <c r="AL673" s="18"/>
      <c r="AM673" s="18"/>
      <c r="AN673" s="18"/>
      <c r="AO673" s="18"/>
      <c r="AQ673" s="18"/>
    </row>
    <row r="674">
      <c r="B674" s="18"/>
      <c r="C674" s="18"/>
      <c r="G674" s="18"/>
      <c r="K674" s="18"/>
      <c r="L674" s="18"/>
      <c r="M674" s="18"/>
      <c r="AG674" s="18"/>
      <c r="AH674" s="18"/>
      <c r="AI674" s="18"/>
      <c r="AJ674" s="18"/>
      <c r="AL674" s="18"/>
      <c r="AM674" s="18"/>
      <c r="AN674" s="18"/>
      <c r="AO674" s="18"/>
      <c r="AQ674" s="18"/>
    </row>
    <row r="675">
      <c r="B675" s="18"/>
      <c r="C675" s="18"/>
      <c r="G675" s="18"/>
      <c r="K675" s="18"/>
      <c r="L675" s="18"/>
      <c r="M675" s="18"/>
      <c r="AG675" s="18"/>
      <c r="AH675" s="18"/>
      <c r="AI675" s="18"/>
      <c r="AJ675" s="18"/>
      <c r="AL675" s="18"/>
      <c r="AM675" s="18"/>
      <c r="AN675" s="18"/>
      <c r="AO675" s="18"/>
      <c r="AQ675" s="18"/>
    </row>
    <row r="676">
      <c r="B676" s="18"/>
      <c r="C676" s="18"/>
      <c r="G676" s="18"/>
      <c r="K676" s="18"/>
      <c r="L676" s="18"/>
      <c r="M676" s="18"/>
      <c r="AG676" s="18"/>
      <c r="AH676" s="18"/>
      <c r="AI676" s="18"/>
      <c r="AJ676" s="18"/>
      <c r="AL676" s="18"/>
      <c r="AM676" s="18"/>
      <c r="AN676" s="18"/>
      <c r="AO676" s="18"/>
      <c r="AQ676" s="18"/>
    </row>
    <row r="677">
      <c r="B677" s="18"/>
      <c r="C677" s="18"/>
      <c r="G677" s="18"/>
      <c r="K677" s="18"/>
      <c r="L677" s="18"/>
      <c r="M677" s="18"/>
      <c r="AG677" s="18"/>
      <c r="AH677" s="18"/>
      <c r="AI677" s="18"/>
      <c r="AJ677" s="18"/>
      <c r="AL677" s="18"/>
      <c r="AM677" s="18"/>
      <c r="AN677" s="18"/>
      <c r="AO677" s="18"/>
      <c r="AQ677" s="18"/>
    </row>
    <row r="678">
      <c r="B678" s="18"/>
      <c r="C678" s="18"/>
      <c r="G678" s="18"/>
      <c r="K678" s="18"/>
      <c r="L678" s="18"/>
      <c r="M678" s="18"/>
      <c r="AG678" s="18"/>
      <c r="AH678" s="18"/>
      <c r="AI678" s="18"/>
      <c r="AJ678" s="18"/>
      <c r="AL678" s="18"/>
      <c r="AM678" s="18"/>
      <c r="AN678" s="18"/>
      <c r="AO678" s="18"/>
      <c r="AQ678" s="18"/>
    </row>
    <row r="679">
      <c r="B679" s="18"/>
      <c r="C679" s="18"/>
      <c r="G679" s="18"/>
      <c r="K679" s="18"/>
      <c r="L679" s="18"/>
      <c r="M679" s="18"/>
      <c r="AG679" s="18"/>
      <c r="AH679" s="18"/>
      <c r="AI679" s="18"/>
      <c r="AJ679" s="18"/>
      <c r="AL679" s="18"/>
      <c r="AM679" s="18"/>
      <c r="AN679" s="18"/>
      <c r="AO679" s="18"/>
      <c r="AQ679" s="18"/>
    </row>
    <row r="680">
      <c r="B680" s="18"/>
      <c r="C680" s="18"/>
      <c r="G680" s="18"/>
      <c r="K680" s="18"/>
      <c r="L680" s="18"/>
      <c r="M680" s="18"/>
      <c r="AG680" s="18"/>
      <c r="AH680" s="18"/>
      <c r="AI680" s="18"/>
      <c r="AJ680" s="18"/>
      <c r="AL680" s="18"/>
      <c r="AM680" s="18"/>
      <c r="AN680" s="18"/>
      <c r="AO680" s="18"/>
      <c r="AQ680" s="18"/>
    </row>
    <row r="681">
      <c r="B681" s="18"/>
      <c r="C681" s="18"/>
      <c r="G681" s="18"/>
      <c r="K681" s="18"/>
      <c r="L681" s="18"/>
      <c r="M681" s="18"/>
      <c r="AG681" s="18"/>
      <c r="AH681" s="18"/>
      <c r="AI681" s="18"/>
      <c r="AJ681" s="18"/>
      <c r="AL681" s="18"/>
      <c r="AM681" s="18"/>
      <c r="AN681" s="18"/>
      <c r="AO681" s="18"/>
      <c r="AQ681" s="18"/>
    </row>
    <row r="682">
      <c r="B682" s="18"/>
      <c r="C682" s="18"/>
      <c r="G682" s="18"/>
      <c r="K682" s="18"/>
      <c r="L682" s="18"/>
      <c r="M682" s="18"/>
      <c r="AG682" s="18"/>
      <c r="AH682" s="18"/>
      <c r="AI682" s="18"/>
      <c r="AJ682" s="18"/>
      <c r="AL682" s="18"/>
      <c r="AM682" s="18"/>
      <c r="AN682" s="18"/>
      <c r="AO682" s="18"/>
      <c r="AQ682" s="18"/>
    </row>
    <row r="683">
      <c r="B683" s="18"/>
      <c r="C683" s="18"/>
      <c r="G683" s="18"/>
      <c r="K683" s="18"/>
      <c r="L683" s="18"/>
      <c r="M683" s="18"/>
      <c r="AG683" s="18"/>
      <c r="AH683" s="18"/>
      <c r="AI683" s="18"/>
      <c r="AJ683" s="18"/>
      <c r="AL683" s="18"/>
      <c r="AM683" s="18"/>
      <c r="AN683" s="18"/>
      <c r="AO683" s="18"/>
      <c r="AQ683" s="18"/>
    </row>
    <row r="684">
      <c r="B684" s="18"/>
      <c r="C684" s="18"/>
      <c r="G684" s="18"/>
      <c r="K684" s="18"/>
      <c r="L684" s="18"/>
      <c r="M684" s="18"/>
      <c r="AG684" s="18"/>
      <c r="AH684" s="18"/>
      <c r="AI684" s="18"/>
      <c r="AJ684" s="18"/>
      <c r="AL684" s="18"/>
      <c r="AM684" s="18"/>
      <c r="AN684" s="18"/>
      <c r="AO684" s="18"/>
      <c r="AQ684" s="18"/>
    </row>
    <row r="685">
      <c r="B685" s="18"/>
      <c r="C685" s="18"/>
      <c r="G685" s="18"/>
      <c r="K685" s="18"/>
      <c r="L685" s="18"/>
      <c r="M685" s="18"/>
      <c r="AG685" s="18"/>
      <c r="AH685" s="18"/>
      <c r="AI685" s="18"/>
      <c r="AJ685" s="18"/>
      <c r="AL685" s="18"/>
      <c r="AM685" s="18"/>
      <c r="AN685" s="18"/>
      <c r="AO685" s="18"/>
      <c r="AQ685" s="18"/>
    </row>
    <row r="686">
      <c r="B686" s="18"/>
      <c r="C686" s="18"/>
      <c r="G686" s="18"/>
      <c r="K686" s="18"/>
      <c r="L686" s="18"/>
      <c r="M686" s="18"/>
      <c r="AG686" s="18"/>
      <c r="AH686" s="18"/>
      <c r="AI686" s="18"/>
      <c r="AJ686" s="18"/>
      <c r="AL686" s="18"/>
      <c r="AM686" s="18"/>
      <c r="AN686" s="18"/>
      <c r="AO686" s="18"/>
      <c r="AQ686" s="18"/>
    </row>
    <row r="687">
      <c r="B687" s="18"/>
      <c r="C687" s="18"/>
      <c r="G687" s="18"/>
      <c r="K687" s="18"/>
      <c r="L687" s="18"/>
      <c r="M687" s="18"/>
      <c r="AG687" s="18"/>
      <c r="AH687" s="18"/>
      <c r="AI687" s="18"/>
      <c r="AJ687" s="18"/>
      <c r="AL687" s="18"/>
      <c r="AM687" s="18"/>
      <c r="AN687" s="18"/>
      <c r="AO687" s="18"/>
      <c r="AQ687" s="18"/>
    </row>
    <row r="688">
      <c r="B688" s="18"/>
      <c r="C688" s="18"/>
      <c r="G688" s="18"/>
      <c r="K688" s="18"/>
      <c r="L688" s="18"/>
      <c r="M688" s="18"/>
      <c r="AG688" s="18"/>
      <c r="AH688" s="18"/>
      <c r="AI688" s="18"/>
      <c r="AJ688" s="18"/>
      <c r="AL688" s="18"/>
      <c r="AM688" s="18"/>
      <c r="AN688" s="18"/>
      <c r="AO688" s="18"/>
      <c r="AQ688" s="18"/>
    </row>
    <row r="689">
      <c r="B689" s="18"/>
      <c r="C689" s="18"/>
      <c r="G689" s="18"/>
      <c r="K689" s="18"/>
      <c r="L689" s="18"/>
      <c r="M689" s="18"/>
      <c r="AG689" s="18"/>
      <c r="AH689" s="18"/>
      <c r="AI689" s="18"/>
      <c r="AJ689" s="18"/>
      <c r="AL689" s="18"/>
      <c r="AM689" s="18"/>
      <c r="AN689" s="18"/>
      <c r="AO689" s="18"/>
      <c r="AQ689" s="18"/>
    </row>
    <row r="690">
      <c r="B690" s="18"/>
      <c r="C690" s="18"/>
      <c r="G690" s="18"/>
      <c r="K690" s="18"/>
      <c r="L690" s="18"/>
      <c r="M690" s="18"/>
      <c r="AG690" s="18"/>
      <c r="AH690" s="18"/>
      <c r="AI690" s="18"/>
      <c r="AJ690" s="18"/>
      <c r="AL690" s="18"/>
      <c r="AM690" s="18"/>
      <c r="AN690" s="18"/>
      <c r="AO690" s="18"/>
      <c r="AQ690" s="18"/>
    </row>
    <row r="691">
      <c r="B691" s="18"/>
      <c r="C691" s="18"/>
      <c r="G691" s="18"/>
      <c r="K691" s="18"/>
      <c r="L691" s="18"/>
      <c r="M691" s="18"/>
      <c r="AG691" s="18"/>
      <c r="AH691" s="18"/>
      <c r="AI691" s="18"/>
      <c r="AJ691" s="18"/>
      <c r="AL691" s="18"/>
      <c r="AM691" s="18"/>
      <c r="AN691" s="18"/>
      <c r="AO691" s="18"/>
      <c r="AQ691" s="18"/>
    </row>
    <row r="692">
      <c r="B692" s="18"/>
      <c r="C692" s="18"/>
      <c r="G692" s="18"/>
      <c r="K692" s="18"/>
      <c r="L692" s="18"/>
      <c r="M692" s="18"/>
      <c r="AG692" s="18"/>
      <c r="AH692" s="18"/>
      <c r="AI692" s="18"/>
      <c r="AJ692" s="18"/>
      <c r="AL692" s="18"/>
      <c r="AM692" s="18"/>
      <c r="AN692" s="18"/>
      <c r="AO692" s="18"/>
      <c r="AQ692" s="18"/>
    </row>
    <row r="693">
      <c r="B693" s="18"/>
      <c r="C693" s="18"/>
      <c r="G693" s="18"/>
      <c r="K693" s="18"/>
      <c r="L693" s="18"/>
      <c r="M693" s="18"/>
      <c r="AG693" s="18"/>
      <c r="AH693" s="18"/>
      <c r="AI693" s="18"/>
      <c r="AJ693" s="18"/>
      <c r="AL693" s="18"/>
      <c r="AM693" s="18"/>
      <c r="AN693" s="18"/>
      <c r="AO693" s="18"/>
      <c r="AQ693" s="18"/>
    </row>
    <row r="694">
      <c r="B694" s="18"/>
      <c r="C694" s="18"/>
      <c r="G694" s="18"/>
      <c r="K694" s="18"/>
      <c r="L694" s="18"/>
      <c r="M694" s="18"/>
      <c r="AG694" s="18"/>
      <c r="AH694" s="18"/>
      <c r="AI694" s="18"/>
      <c r="AJ694" s="18"/>
      <c r="AL694" s="18"/>
      <c r="AM694" s="18"/>
      <c r="AN694" s="18"/>
      <c r="AO694" s="18"/>
      <c r="AQ694" s="18"/>
    </row>
    <row r="695">
      <c r="B695" s="18"/>
      <c r="C695" s="18"/>
      <c r="G695" s="18"/>
      <c r="K695" s="18"/>
      <c r="L695" s="18"/>
      <c r="M695" s="18"/>
      <c r="AG695" s="18"/>
      <c r="AH695" s="18"/>
      <c r="AI695" s="18"/>
      <c r="AJ695" s="18"/>
      <c r="AL695" s="18"/>
      <c r="AM695" s="18"/>
      <c r="AN695" s="18"/>
      <c r="AO695" s="18"/>
      <c r="AQ695" s="18"/>
    </row>
    <row r="696">
      <c r="B696" s="18"/>
      <c r="C696" s="18"/>
      <c r="G696" s="18"/>
      <c r="K696" s="18"/>
      <c r="L696" s="18"/>
      <c r="M696" s="18"/>
      <c r="AG696" s="18"/>
      <c r="AH696" s="18"/>
      <c r="AI696" s="18"/>
      <c r="AJ696" s="18"/>
      <c r="AL696" s="18"/>
      <c r="AM696" s="18"/>
      <c r="AN696" s="18"/>
      <c r="AO696" s="18"/>
      <c r="AQ696" s="18"/>
    </row>
    <row r="697">
      <c r="B697" s="18"/>
      <c r="C697" s="18"/>
      <c r="G697" s="18"/>
      <c r="K697" s="18"/>
      <c r="L697" s="18"/>
      <c r="M697" s="18"/>
      <c r="AG697" s="18"/>
      <c r="AH697" s="18"/>
      <c r="AI697" s="18"/>
      <c r="AJ697" s="18"/>
      <c r="AL697" s="18"/>
      <c r="AM697" s="18"/>
      <c r="AN697" s="18"/>
      <c r="AO697" s="18"/>
      <c r="AQ697" s="18"/>
    </row>
    <row r="698">
      <c r="B698" s="18"/>
      <c r="C698" s="18"/>
      <c r="G698" s="18"/>
      <c r="K698" s="18"/>
      <c r="L698" s="18"/>
      <c r="M698" s="18"/>
      <c r="AG698" s="18"/>
      <c r="AH698" s="18"/>
      <c r="AI698" s="18"/>
      <c r="AJ698" s="18"/>
      <c r="AL698" s="18"/>
      <c r="AM698" s="18"/>
      <c r="AN698" s="18"/>
      <c r="AO698" s="18"/>
      <c r="AQ698" s="18"/>
    </row>
    <row r="699">
      <c r="B699" s="18"/>
      <c r="C699" s="18"/>
      <c r="G699" s="18"/>
      <c r="K699" s="18"/>
      <c r="L699" s="18"/>
      <c r="M699" s="18"/>
      <c r="AG699" s="18"/>
      <c r="AH699" s="18"/>
      <c r="AI699" s="18"/>
      <c r="AJ699" s="18"/>
      <c r="AL699" s="18"/>
      <c r="AM699" s="18"/>
      <c r="AN699" s="18"/>
      <c r="AO699" s="18"/>
      <c r="AQ699" s="18"/>
    </row>
    <row r="700">
      <c r="B700" s="18"/>
      <c r="C700" s="18"/>
      <c r="G700" s="18"/>
      <c r="K700" s="18"/>
      <c r="L700" s="18"/>
      <c r="M700" s="18"/>
      <c r="AG700" s="18"/>
      <c r="AH700" s="18"/>
      <c r="AI700" s="18"/>
      <c r="AJ700" s="18"/>
      <c r="AL700" s="18"/>
      <c r="AM700" s="18"/>
      <c r="AN700" s="18"/>
      <c r="AO700" s="18"/>
      <c r="AQ700" s="18"/>
    </row>
    <row r="701">
      <c r="B701" s="18"/>
      <c r="C701" s="18"/>
      <c r="G701" s="18"/>
      <c r="K701" s="18"/>
      <c r="L701" s="18"/>
      <c r="M701" s="18"/>
      <c r="AG701" s="18"/>
      <c r="AH701" s="18"/>
      <c r="AI701" s="18"/>
      <c r="AJ701" s="18"/>
      <c r="AL701" s="18"/>
      <c r="AM701" s="18"/>
      <c r="AN701" s="18"/>
      <c r="AO701" s="18"/>
      <c r="AQ701" s="18"/>
    </row>
    <row r="702">
      <c r="B702" s="18"/>
      <c r="C702" s="18"/>
      <c r="G702" s="18"/>
      <c r="K702" s="18"/>
      <c r="L702" s="18"/>
      <c r="M702" s="18"/>
      <c r="AG702" s="18"/>
      <c r="AH702" s="18"/>
      <c r="AI702" s="18"/>
      <c r="AJ702" s="18"/>
      <c r="AL702" s="18"/>
      <c r="AM702" s="18"/>
      <c r="AN702" s="18"/>
      <c r="AO702" s="18"/>
      <c r="AQ702" s="18"/>
    </row>
    <row r="703">
      <c r="B703" s="18"/>
      <c r="C703" s="18"/>
      <c r="G703" s="18"/>
      <c r="K703" s="18"/>
      <c r="L703" s="18"/>
      <c r="M703" s="18"/>
      <c r="AG703" s="18"/>
      <c r="AH703" s="18"/>
      <c r="AI703" s="18"/>
      <c r="AJ703" s="18"/>
      <c r="AL703" s="18"/>
      <c r="AM703" s="18"/>
      <c r="AN703" s="18"/>
      <c r="AO703" s="18"/>
      <c r="AQ703" s="18"/>
    </row>
    <row r="704">
      <c r="B704" s="18"/>
      <c r="C704" s="18"/>
      <c r="G704" s="18"/>
      <c r="K704" s="18"/>
      <c r="L704" s="18"/>
      <c r="M704" s="18"/>
      <c r="AG704" s="18"/>
      <c r="AH704" s="18"/>
      <c r="AI704" s="18"/>
      <c r="AJ704" s="18"/>
      <c r="AL704" s="18"/>
      <c r="AM704" s="18"/>
      <c r="AN704" s="18"/>
      <c r="AO704" s="18"/>
      <c r="AQ704" s="18"/>
    </row>
    <row r="705">
      <c r="B705" s="18"/>
      <c r="C705" s="18"/>
      <c r="G705" s="18"/>
      <c r="K705" s="18"/>
      <c r="L705" s="18"/>
      <c r="M705" s="18"/>
      <c r="AG705" s="18"/>
      <c r="AH705" s="18"/>
      <c r="AI705" s="18"/>
      <c r="AJ705" s="18"/>
      <c r="AL705" s="18"/>
      <c r="AM705" s="18"/>
      <c r="AN705" s="18"/>
      <c r="AO705" s="18"/>
      <c r="AQ705" s="18"/>
    </row>
    <row r="706">
      <c r="B706" s="18"/>
      <c r="C706" s="18"/>
      <c r="G706" s="18"/>
      <c r="K706" s="18"/>
      <c r="L706" s="18"/>
      <c r="M706" s="18"/>
      <c r="AG706" s="18"/>
      <c r="AH706" s="18"/>
      <c r="AI706" s="18"/>
      <c r="AJ706" s="18"/>
      <c r="AL706" s="18"/>
      <c r="AM706" s="18"/>
      <c r="AN706" s="18"/>
      <c r="AO706" s="18"/>
      <c r="AQ706" s="18"/>
    </row>
    <row r="707">
      <c r="B707" s="18"/>
      <c r="C707" s="18"/>
      <c r="G707" s="18"/>
      <c r="K707" s="18"/>
      <c r="L707" s="18"/>
      <c r="M707" s="18"/>
      <c r="AG707" s="18"/>
      <c r="AH707" s="18"/>
      <c r="AI707" s="18"/>
      <c r="AJ707" s="18"/>
      <c r="AL707" s="18"/>
      <c r="AM707" s="18"/>
      <c r="AN707" s="18"/>
      <c r="AO707" s="18"/>
      <c r="AQ707" s="18"/>
    </row>
    <row r="708">
      <c r="B708" s="18"/>
      <c r="C708" s="18"/>
      <c r="G708" s="18"/>
      <c r="K708" s="18"/>
      <c r="L708" s="18"/>
      <c r="M708" s="18"/>
      <c r="AG708" s="18"/>
      <c r="AH708" s="18"/>
      <c r="AI708" s="18"/>
      <c r="AJ708" s="18"/>
      <c r="AL708" s="18"/>
      <c r="AM708" s="18"/>
      <c r="AN708" s="18"/>
      <c r="AO708" s="18"/>
      <c r="AQ708" s="18"/>
    </row>
    <row r="709">
      <c r="B709" s="18"/>
      <c r="C709" s="18"/>
      <c r="G709" s="18"/>
      <c r="K709" s="18"/>
      <c r="L709" s="18"/>
      <c r="M709" s="18"/>
      <c r="AG709" s="18"/>
      <c r="AH709" s="18"/>
      <c r="AI709" s="18"/>
      <c r="AJ709" s="18"/>
      <c r="AL709" s="18"/>
      <c r="AM709" s="18"/>
      <c r="AN709" s="18"/>
      <c r="AO709" s="18"/>
      <c r="AQ709" s="18"/>
    </row>
    <row r="710">
      <c r="B710" s="18"/>
      <c r="C710" s="18"/>
      <c r="G710" s="18"/>
      <c r="K710" s="18"/>
      <c r="L710" s="18"/>
      <c r="M710" s="18"/>
      <c r="AG710" s="18"/>
      <c r="AH710" s="18"/>
      <c r="AI710" s="18"/>
      <c r="AJ710" s="18"/>
      <c r="AL710" s="18"/>
      <c r="AM710" s="18"/>
      <c r="AN710" s="18"/>
      <c r="AO710" s="18"/>
      <c r="AQ710" s="18"/>
    </row>
    <row r="711">
      <c r="B711" s="18"/>
      <c r="C711" s="18"/>
      <c r="G711" s="18"/>
      <c r="K711" s="18"/>
      <c r="L711" s="18"/>
      <c r="M711" s="18"/>
      <c r="AG711" s="18"/>
      <c r="AH711" s="18"/>
      <c r="AI711" s="18"/>
      <c r="AJ711" s="18"/>
      <c r="AL711" s="18"/>
      <c r="AM711" s="18"/>
      <c r="AN711" s="18"/>
      <c r="AO711" s="18"/>
      <c r="AQ711" s="18"/>
    </row>
    <row r="712">
      <c r="B712" s="18"/>
      <c r="C712" s="18"/>
      <c r="G712" s="18"/>
      <c r="K712" s="18"/>
      <c r="L712" s="18"/>
      <c r="M712" s="18"/>
      <c r="AG712" s="18"/>
      <c r="AH712" s="18"/>
      <c r="AI712" s="18"/>
      <c r="AJ712" s="18"/>
      <c r="AL712" s="18"/>
      <c r="AM712" s="18"/>
      <c r="AN712" s="18"/>
      <c r="AO712" s="18"/>
      <c r="AQ712" s="18"/>
    </row>
    <row r="713">
      <c r="B713" s="18"/>
      <c r="C713" s="18"/>
      <c r="G713" s="18"/>
      <c r="K713" s="18"/>
      <c r="L713" s="18"/>
      <c r="M713" s="18"/>
      <c r="AG713" s="18"/>
      <c r="AH713" s="18"/>
      <c r="AI713" s="18"/>
      <c r="AJ713" s="18"/>
      <c r="AL713" s="18"/>
      <c r="AM713" s="18"/>
      <c r="AN713" s="18"/>
      <c r="AO713" s="18"/>
      <c r="AQ713" s="18"/>
    </row>
    <row r="714">
      <c r="B714" s="18"/>
      <c r="C714" s="18"/>
      <c r="G714" s="18"/>
      <c r="K714" s="18"/>
      <c r="L714" s="18"/>
      <c r="M714" s="18"/>
      <c r="AG714" s="18"/>
      <c r="AH714" s="18"/>
      <c r="AI714" s="18"/>
      <c r="AJ714" s="18"/>
      <c r="AL714" s="18"/>
      <c r="AM714" s="18"/>
      <c r="AN714" s="18"/>
      <c r="AO714" s="18"/>
      <c r="AQ714" s="18"/>
    </row>
    <row r="715">
      <c r="B715" s="18"/>
      <c r="C715" s="18"/>
      <c r="G715" s="18"/>
      <c r="K715" s="18"/>
      <c r="L715" s="18"/>
      <c r="M715" s="18"/>
      <c r="AG715" s="18"/>
      <c r="AH715" s="18"/>
      <c r="AI715" s="18"/>
      <c r="AJ715" s="18"/>
      <c r="AL715" s="18"/>
      <c r="AM715" s="18"/>
      <c r="AN715" s="18"/>
      <c r="AO715" s="18"/>
      <c r="AQ715" s="18"/>
    </row>
    <row r="716">
      <c r="B716" s="18"/>
      <c r="C716" s="18"/>
      <c r="G716" s="18"/>
      <c r="K716" s="18"/>
      <c r="L716" s="18"/>
      <c r="M716" s="18"/>
      <c r="AG716" s="18"/>
      <c r="AH716" s="18"/>
      <c r="AI716" s="18"/>
      <c r="AJ716" s="18"/>
      <c r="AL716" s="18"/>
      <c r="AM716" s="18"/>
      <c r="AN716" s="18"/>
      <c r="AO716" s="18"/>
      <c r="AQ716" s="18"/>
    </row>
    <row r="717">
      <c r="B717" s="18"/>
      <c r="C717" s="18"/>
      <c r="G717" s="18"/>
      <c r="K717" s="18"/>
      <c r="L717" s="18"/>
      <c r="M717" s="18"/>
      <c r="AG717" s="18"/>
      <c r="AH717" s="18"/>
      <c r="AI717" s="18"/>
      <c r="AJ717" s="18"/>
      <c r="AL717" s="18"/>
      <c r="AM717" s="18"/>
      <c r="AN717" s="18"/>
      <c r="AO717" s="18"/>
      <c r="AQ717" s="18"/>
    </row>
    <row r="718">
      <c r="B718" s="18"/>
      <c r="C718" s="18"/>
      <c r="G718" s="18"/>
      <c r="K718" s="18"/>
      <c r="L718" s="18"/>
      <c r="M718" s="18"/>
      <c r="AG718" s="18"/>
      <c r="AH718" s="18"/>
      <c r="AI718" s="18"/>
      <c r="AJ718" s="18"/>
      <c r="AL718" s="18"/>
      <c r="AM718" s="18"/>
      <c r="AN718" s="18"/>
      <c r="AO718" s="18"/>
      <c r="AQ718" s="18"/>
    </row>
    <row r="719">
      <c r="B719" s="18"/>
      <c r="C719" s="18"/>
      <c r="G719" s="18"/>
      <c r="K719" s="18"/>
      <c r="L719" s="18"/>
      <c r="M719" s="18"/>
      <c r="AG719" s="18"/>
      <c r="AH719" s="18"/>
      <c r="AI719" s="18"/>
      <c r="AJ719" s="18"/>
      <c r="AL719" s="18"/>
      <c r="AM719" s="18"/>
      <c r="AN719" s="18"/>
      <c r="AO719" s="18"/>
      <c r="AQ719" s="18"/>
    </row>
    <row r="720">
      <c r="B720" s="18"/>
      <c r="C720" s="18"/>
      <c r="G720" s="18"/>
      <c r="K720" s="18"/>
      <c r="L720" s="18"/>
      <c r="M720" s="18"/>
      <c r="AG720" s="18"/>
      <c r="AH720" s="18"/>
      <c r="AI720" s="18"/>
      <c r="AJ720" s="18"/>
      <c r="AL720" s="18"/>
      <c r="AM720" s="18"/>
      <c r="AN720" s="18"/>
      <c r="AO720" s="18"/>
      <c r="AQ720" s="18"/>
    </row>
    <row r="721">
      <c r="B721" s="18"/>
      <c r="C721" s="18"/>
      <c r="G721" s="18"/>
      <c r="K721" s="18"/>
      <c r="L721" s="18"/>
      <c r="M721" s="18"/>
      <c r="AG721" s="18"/>
      <c r="AH721" s="18"/>
      <c r="AI721" s="18"/>
      <c r="AJ721" s="18"/>
      <c r="AL721" s="18"/>
      <c r="AM721" s="18"/>
      <c r="AN721" s="18"/>
      <c r="AO721" s="18"/>
      <c r="AQ721" s="18"/>
    </row>
    <row r="722">
      <c r="B722" s="18"/>
      <c r="C722" s="18"/>
      <c r="G722" s="18"/>
      <c r="K722" s="18"/>
      <c r="L722" s="18"/>
      <c r="M722" s="18"/>
      <c r="AG722" s="18"/>
      <c r="AH722" s="18"/>
      <c r="AI722" s="18"/>
      <c r="AJ722" s="18"/>
      <c r="AL722" s="18"/>
      <c r="AM722" s="18"/>
      <c r="AN722" s="18"/>
      <c r="AO722" s="18"/>
      <c r="AQ722" s="18"/>
    </row>
    <row r="723">
      <c r="B723" s="18"/>
      <c r="C723" s="18"/>
      <c r="G723" s="18"/>
      <c r="K723" s="18"/>
      <c r="L723" s="18"/>
      <c r="M723" s="18"/>
      <c r="AG723" s="18"/>
      <c r="AH723" s="18"/>
      <c r="AI723" s="18"/>
      <c r="AJ723" s="18"/>
      <c r="AL723" s="18"/>
      <c r="AM723" s="18"/>
      <c r="AN723" s="18"/>
      <c r="AO723" s="18"/>
      <c r="AQ723" s="18"/>
    </row>
    <row r="724">
      <c r="B724" s="18"/>
      <c r="C724" s="18"/>
      <c r="G724" s="18"/>
      <c r="K724" s="18"/>
      <c r="L724" s="18"/>
      <c r="M724" s="18"/>
      <c r="AG724" s="18"/>
      <c r="AH724" s="18"/>
      <c r="AI724" s="18"/>
      <c r="AJ724" s="18"/>
      <c r="AL724" s="18"/>
      <c r="AM724" s="18"/>
      <c r="AN724" s="18"/>
      <c r="AO724" s="18"/>
      <c r="AQ724" s="18"/>
    </row>
    <row r="725">
      <c r="B725" s="18"/>
      <c r="C725" s="18"/>
      <c r="G725" s="18"/>
      <c r="K725" s="18"/>
      <c r="L725" s="18"/>
      <c r="M725" s="18"/>
      <c r="AG725" s="18"/>
      <c r="AH725" s="18"/>
      <c r="AI725" s="18"/>
      <c r="AJ725" s="18"/>
      <c r="AL725" s="18"/>
      <c r="AM725" s="18"/>
      <c r="AN725" s="18"/>
      <c r="AO725" s="18"/>
      <c r="AQ725" s="18"/>
    </row>
    <row r="726">
      <c r="B726" s="18"/>
      <c r="C726" s="18"/>
      <c r="G726" s="18"/>
      <c r="K726" s="18"/>
      <c r="L726" s="18"/>
      <c r="M726" s="18"/>
      <c r="AG726" s="18"/>
      <c r="AH726" s="18"/>
      <c r="AI726" s="18"/>
      <c r="AJ726" s="18"/>
      <c r="AL726" s="18"/>
      <c r="AM726" s="18"/>
      <c r="AN726" s="18"/>
      <c r="AO726" s="18"/>
      <c r="AQ726" s="18"/>
    </row>
    <row r="727">
      <c r="B727" s="18"/>
      <c r="C727" s="18"/>
      <c r="G727" s="18"/>
      <c r="K727" s="18"/>
      <c r="L727" s="18"/>
      <c r="M727" s="18"/>
      <c r="AG727" s="18"/>
      <c r="AH727" s="18"/>
      <c r="AI727" s="18"/>
      <c r="AJ727" s="18"/>
      <c r="AL727" s="18"/>
      <c r="AM727" s="18"/>
      <c r="AN727" s="18"/>
      <c r="AO727" s="18"/>
      <c r="AQ727" s="18"/>
    </row>
    <row r="728">
      <c r="B728" s="18"/>
      <c r="C728" s="18"/>
      <c r="G728" s="18"/>
      <c r="K728" s="18"/>
      <c r="L728" s="18"/>
      <c r="M728" s="18"/>
      <c r="AG728" s="18"/>
      <c r="AH728" s="18"/>
      <c r="AI728" s="18"/>
      <c r="AJ728" s="18"/>
      <c r="AL728" s="18"/>
      <c r="AM728" s="18"/>
      <c r="AN728" s="18"/>
      <c r="AO728" s="18"/>
      <c r="AQ728" s="18"/>
    </row>
    <row r="729">
      <c r="B729" s="18"/>
      <c r="C729" s="18"/>
      <c r="G729" s="18"/>
      <c r="K729" s="18"/>
      <c r="L729" s="18"/>
      <c r="M729" s="18"/>
      <c r="AG729" s="18"/>
      <c r="AH729" s="18"/>
      <c r="AI729" s="18"/>
      <c r="AJ729" s="18"/>
      <c r="AL729" s="18"/>
      <c r="AM729" s="18"/>
      <c r="AN729" s="18"/>
      <c r="AO729" s="18"/>
      <c r="AQ729" s="18"/>
    </row>
    <row r="730">
      <c r="B730" s="18"/>
      <c r="C730" s="18"/>
      <c r="G730" s="18"/>
      <c r="K730" s="18"/>
      <c r="L730" s="18"/>
      <c r="M730" s="18"/>
      <c r="AG730" s="18"/>
      <c r="AH730" s="18"/>
      <c r="AI730" s="18"/>
      <c r="AJ730" s="18"/>
      <c r="AL730" s="18"/>
      <c r="AM730" s="18"/>
      <c r="AN730" s="18"/>
      <c r="AO730" s="18"/>
      <c r="AQ730" s="18"/>
    </row>
    <row r="731">
      <c r="B731" s="18"/>
      <c r="C731" s="18"/>
      <c r="G731" s="18"/>
      <c r="K731" s="18"/>
      <c r="L731" s="18"/>
      <c r="M731" s="18"/>
      <c r="AG731" s="18"/>
      <c r="AH731" s="18"/>
      <c r="AI731" s="18"/>
      <c r="AJ731" s="18"/>
      <c r="AL731" s="18"/>
      <c r="AM731" s="18"/>
      <c r="AN731" s="18"/>
      <c r="AO731" s="18"/>
      <c r="AQ731" s="18"/>
    </row>
    <row r="732">
      <c r="B732" s="18"/>
      <c r="C732" s="18"/>
      <c r="G732" s="18"/>
      <c r="K732" s="18"/>
      <c r="L732" s="18"/>
      <c r="M732" s="18"/>
      <c r="AG732" s="18"/>
      <c r="AH732" s="18"/>
      <c r="AI732" s="18"/>
      <c r="AJ732" s="18"/>
      <c r="AL732" s="18"/>
      <c r="AM732" s="18"/>
      <c r="AN732" s="18"/>
      <c r="AO732" s="18"/>
      <c r="AQ732" s="18"/>
    </row>
    <row r="733">
      <c r="B733" s="18"/>
      <c r="C733" s="18"/>
      <c r="G733" s="18"/>
      <c r="K733" s="18"/>
      <c r="L733" s="18"/>
      <c r="M733" s="18"/>
      <c r="AG733" s="18"/>
      <c r="AH733" s="18"/>
      <c r="AI733" s="18"/>
      <c r="AJ733" s="18"/>
      <c r="AL733" s="18"/>
      <c r="AM733" s="18"/>
      <c r="AN733" s="18"/>
      <c r="AO733" s="18"/>
      <c r="AQ733" s="18"/>
    </row>
    <row r="734">
      <c r="B734" s="18"/>
      <c r="C734" s="18"/>
      <c r="G734" s="18"/>
      <c r="K734" s="18"/>
      <c r="L734" s="18"/>
      <c r="M734" s="18"/>
      <c r="AG734" s="18"/>
      <c r="AH734" s="18"/>
      <c r="AI734" s="18"/>
      <c r="AJ734" s="18"/>
      <c r="AL734" s="18"/>
      <c r="AM734" s="18"/>
      <c r="AN734" s="18"/>
      <c r="AO734" s="18"/>
      <c r="AQ734" s="18"/>
    </row>
    <row r="735">
      <c r="B735" s="18"/>
      <c r="C735" s="18"/>
      <c r="G735" s="18"/>
      <c r="K735" s="18"/>
      <c r="L735" s="18"/>
      <c r="M735" s="18"/>
      <c r="AG735" s="18"/>
      <c r="AH735" s="18"/>
      <c r="AI735" s="18"/>
      <c r="AJ735" s="18"/>
      <c r="AL735" s="18"/>
      <c r="AM735" s="18"/>
      <c r="AN735" s="18"/>
      <c r="AO735" s="18"/>
      <c r="AQ735" s="18"/>
    </row>
    <row r="736">
      <c r="B736" s="18"/>
      <c r="C736" s="18"/>
      <c r="G736" s="18"/>
      <c r="K736" s="18"/>
      <c r="L736" s="18"/>
      <c r="M736" s="18"/>
      <c r="AG736" s="18"/>
      <c r="AH736" s="18"/>
      <c r="AI736" s="18"/>
      <c r="AJ736" s="18"/>
      <c r="AL736" s="18"/>
      <c r="AM736" s="18"/>
      <c r="AN736" s="18"/>
      <c r="AO736" s="18"/>
      <c r="AQ736" s="18"/>
    </row>
    <row r="737">
      <c r="B737" s="18"/>
      <c r="C737" s="18"/>
      <c r="G737" s="18"/>
      <c r="K737" s="18"/>
      <c r="L737" s="18"/>
      <c r="M737" s="18"/>
      <c r="AG737" s="18"/>
      <c r="AH737" s="18"/>
      <c r="AI737" s="18"/>
      <c r="AJ737" s="18"/>
      <c r="AL737" s="18"/>
      <c r="AM737" s="18"/>
      <c r="AN737" s="18"/>
      <c r="AO737" s="18"/>
      <c r="AQ737" s="18"/>
    </row>
    <row r="738">
      <c r="B738" s="18"/>
      <c r="C738" s="18"/>
      <c r="G738" s="18"/>
      <c r="K738" s="18"/>
      <c r="L738" s="18"/>
      <c r="M738" s="18"/>
      <c r="AG738" s="18"/>
      <c r="AH738" s="18"/>
      <c r="AI738" s="18"/>
      <c r="AJ738" s="18"/>
      <c r="AL738" s="18"/>
      <c r="AM738" s="18"/>
      <c r="AN738" s="18"/>
      <c r="AO738" s="18"/>
      <c r="AQ738" s="18"/>
    </row>
    <row r="739">
      <c r="B739" s="18"/>
      <c r="C739" s="18"/>
      <c r="G739" s="18"/>
      <c r="K739" s="18"/>
      <c r="L739" s="18"/>
      <c r="M739" s="18"/>
      <c r="AG739" s="18"/>
      <c r="AH739" s="18"/>
      <c r="AI739" s="18"/>
      <c r="AJ739" s="18"/>
      <c r="AL739" s="18"/>
      <c r="AM739" s="18"/>
      <c r="AN739" s="18"/>
      <c r="AO739" s="18"/>
      <c r="AQ739" s="18"/>
    </row>
    <row r="740">
      <c r="B740" s="18"/>
      <c r="C740" s="18"/>
      <c r="G740" s="18"/>
      <c r="K740" s="18"/>
      <c r="L740" s="18"/>
      <c r="M740" s="18"/>
      <c r="AG740" s="18"/>
      <c r="AH740" s="18"/>
      <c r="AI740" s="18"/>
      <c r="AJ740" s="18"/>
      <c r="AL740" s="18"/>
      <c r="AM740" s="18"/>
      <c r="AN740" s="18"/>
      <c r="AO740" s="18"/>
      <c r="AQ740" s="18"/>
    </row>
    <row r="741">
      <c r="B741" s="18"/>
      <c r="C741" s="18"/>
      <c r="G741" s="18"/>
      <c r="K741" s="18"/>
      <c r="L741" s="18"/>
      <c r="M741" s="18"/>
      <c r="AG741" s="18"/>
      <c r="AH741" s="18"/>
      <c r="AI741" s="18"/>
      <c r="AJ741" s="18"/>
      <c r="AL741" s="18"/>
      <c r="AM741" s="18"/>
      <c r="AN741" s="18"/>
      <c r="AO741" s="18"/>
      <c r="AQ741" s="18"/>
    </row>
    <row r="742">
      <c r="B742" s="18"/>
      <c r="C742" s="18"/>
      <c r="G742" s="18"/>
      <c r="K742" s="18"/>
      <c r="L742" s="18"/>
      <c r="M742" s="18"/>
      <c r="AG742" s="18"/>
      <c r="AH742" s="18"/>
      <c r="AI742" s="18"/>
      <c r="AJ742" s="18"/>
      <c r="AL742" s="18"/>
      <c r="AM742" s="18"/>
      <c r="AN742" s="18"/>
      <c r="AO742" s="18"/>
      <c r="AQ742" s="18"/>
    </row>
    <row r="743">
      <c r="B743" s="18"/>
      <c r="C743" s="18"/>
      <c r="G743" s="18"/>
      <c r="K743" s="18"/>
      <c r="L743" s="18"/>
      <c r="M743" s="18"/>
      <c r="AG743" s="18"/>
      <c r="AH743" s="18"/>
      <c r="AI743" s="18"/>
      <c r="AJ743" s="18"/>
      <c r="AL743" s="18"/>
      <c r="AM743" s="18"/>
      <c r="AN743" s="18"/>
      <c r="AO743" s="18"/>
      <c r="AQ743" s="18"/>
    </row>
    <row r="744">
      <c r="B744" s="18"/>
      <c r="C744" s="18"/>
      <c r="G744" s="18"/>
      <c r="K744" s="18"/>
      <c r="L744" s="18"/>
      <c r="M744" s="18"/>
      <c r="AG744" s="18"/>
      <c r="AH744" s="18"/>
      <c r="AI744" s="18"/>
      <c r="AJ744" s="18"/>
      <c r="AL744" s="18"/>
      <c r="AM744" s="18"/>
      <c r="AN744" s="18"/>
      <c r="AO744" s="18"/>
      <c r="AQ744" s="18"/>
    </row>
    <row r="745">
      <c r="B745" s="18"/>
      <c r="C745" s="18"/>
      <c r="G745" s="18"/>
      <c r="K745" s="18"/>
      <c r="L745" s="18"/>
      <c r="M745" s="18"/>
      <c r="AG745" s="18"/>
      <c r="AH745" s="18"/>
      <c r="AI745" s="18"/>
      <c r="AJ745" s="18"/>
      <c r="AL745" s="18"/>
      <c r="AM745" s="18"/>
      <c r="AN745" s="18"/>
      <c r="AO745" s="18"/>
      <c r="AQ745" s="18"/>
    </row>
    <row r="746">
      <c r="B746" s="18"/>
      <c r="C746" s="18"/>
      <c r="G746" s="18"/>
      <c r="K746" s="18"/>
      <c r="L746" s="18"/>
      <c r="M746" s="18"/>
      <c r="AG746" s="18"/>
      <c r="AH746" s="18"/>
      <c r="AI746" s="18"/>
      <c r="AJ746" s="18"/>
      <c r="AL746" s="18"/>
      <c r="AM746" s="18"/>
      <c r="AN746" s="18"/>
      <c r="AO746" s="18"/>
      <c r="AQ746" s="18"/>
    </row>
    <row r="747">
      <c r="B747" s="18"/>
      <c r="C747" s="18"/>
      <c r="G747" s="18"/>
      <c r="K747" s="18"/>
      <c r="L747" s="18"/>
      <c r="M747" s="18"/>
      <c r="AG747" s="18"/>
      <c r="AH747" s="18"/>
      <c r="AI747" s="18"/>
      <c r="AJ747" s="18"/>
      <c r="AL747" s="18"/>
      <c r="AM747" s="18"/>
      <c r="AN747" s="18"/>
      <c r="AO747" s="18"/>
      <c r="AQ747" s="18"/>
    </row>
    <row r="748">
      <c r="B748" s="18"/>
      <c r="C748" s="18"/>
      <c r="G748" s="18"/>
      <c r="K748" s="18"/>
      <c r="L748" s="18"/>
      <c r="M748" s="18"/>
      <c r="AG748" s="18"/>
      <c r="AH748" s="18"/>
      <c r="AI748" s="18"/>
      <c r="AJ748" s="18"/>
      <c r="AL748" s="18"/>
      <c r="AM748" s="18"/>
      <c r="AN748" s="18"/>
      <c r="AO748" s="18"/>
      <c r="AQ748" s="18"/>
    </row>
    <row r="749">
      <c r="B749" s="18"/>
      <c r="C749" s="18"/>
      <c r="G749" s="18"/>
      <c r="K749" s="18"/>
      <c r="L749" s="18"/>
      <c r="M749" s="18"/>
      <c r="AG749" s="18"/>
      <c r="AH749" s="18"/>
      <c r="AI749" s="18"/>
      <c r="AJ749" s="18"/>
      <c r="AL749" s="18"/>
      <c r="AM749" s="18"/>
      <c r="AN749" s="18"/>
      <c r="AO749" s="18"/>
      <c r="AQ749" s="18"/>
    </row>
    <row r="750">
      <c r="B750" s="18"/>
      <c r="C750" s="18"/>
      <c r="G750" s="18"/>
      <c r="K750" s="18"/>
      <c r="L750" s="18"/>
      <c r="M750" s="18"/>
      <c r="AG750" s="18"/>
      <c r="AH750" s="18"/>
      <c r="AI750" s="18"/>
      <c r="AJ750" s="18"/>
      <c r="AL750" s="18"/>
      <c r="AM750" s="18"/>
      <c r="AN750" s="18"/>
      <c r="AO750" s="18"/>
      <c r="AQ750" s="18"/>
    </row>
    <row r="751">
      <c r="B751" s="18"/>
      <c r="C751" s="18"/>
      <c r="G751" s="18"/>
      <c r="K751" s="18"/>
      <c r="L751" s="18"/>
      <c r="M751" s="18"/>
      <c r="AG751" s="18"/>
      <c r="AH751" s="18"/>
      <c r="AI751" s="18"/>
      <c r="AJ751" s="18"/>
      <c r="AL751" s="18"/>
      <c r="AM751" s="18"/>
      <c r="AN751" s="18"/>
      <c r="AO751" s="18"/>
      <c r="AQ751" s="18"/>
    </row>
    <row r="752">
      <c r="B752" s="18"/>
      <c r="C752" s="18"/>
      <c r="G752" s="18"/>
      <c r="K752" s="18"/>
      <c r="L752" s="18"/>
      <c r="M752" s="18"/>
      <c r="AG752" s="18"/>
      <c r="AH752" s="18"/>
      <c r="AI752" s="18"/>
      <c r="AJ752" s="18"/>
      <c r="AL752" s="18"/>
      <c r="AM752" s="18"/>
      <c r="AN752" s="18"/>
      <c r="AO752" s="18"/>
      <c r="AQ752" s="18"/>
    </row>
    <row r="753">
      <c r="B753" s="18"/>
      <c r="C753" s="18"/>
      <c r="G753" s="18"/>
      <c r="K753" s="18"/>
      <c r="L753" s="18"/>
      <c r="M753" s="18"/>
      <c r="AG753" s="18"/>
      <c r="AH753" s="18"/>
      <c r="AI753" s="18"/>
      <c r="AJ753" s="18"/>
      <c r="AL753" s="18"/>
      <c r="AM753" s="18"/>
      <c r="AN753" s="18"/>
      <c r="AO753" s="18"/>
      <c r="AQ753" s="18"/>
    </row>
    <row r="754">
      <c r="B754" s="18"/>
      <c r="C754" s="18"/>
      <c r="G754" s="18"/>
      <c r="K754" s="18"/>
      <c r="L754" s="18"/>
      <c r="M754" s="18"/>
      <c r="AG754" s="18"/>
      <c r="AH754" s="18"/>
      <c r="AI754" s="18"/>
      <c r="AJ754" s="18"/>
      <c r="AL754" s="18"/>
      <c r="AM754" s="18"/>
      <c r="AN754" s="18"/>
      <c r="AO754" s="18"/>
      <c r="AQ754" s="18"/>
    </row>
    <row r="755">
      <c r="B755" s="18"/>
      <c r="C755" s="18"/>
      <c r="G755" s="18"/>
      <c r="K755" s="18"/>
      <c r="L755" s="18"/>
      <c r="M755" s="18"/>
      <c r="AG755" s="18"/>
      <c r="AH755" s="18"/>
      <c r="AI755" s="18"/>
      <c r="AJ755" s="18"/>
      <c r="AL755" s="18"/>
      <c r="AM755" s="18"/>
      <c r="AN755" s="18"/>
      <c r="AO755" s="18"/>
      <c r="AQ755" s="18"/>
    </row>
    <row r="756">
      <c r="B756" s="18"/>
      <c r="C756" s="18"/>
      <c r="G756" s="18"/>
      <c r="K756" s="18"/>
      <c r="L756" s="18"/>
      <c r="M756" s="18"/>
      <c r="AG756" s="18"/>
      <c r="AH756" s="18"/>
      <c r="AI756" s="18"/>
      <c r="AJ756" s="18"/>
      <c r="AL756" s="18"/>
      <c r="AM756" s="18"/>
      <c r="AN756" s="18"/>
      <c r="AO756" s="18"/>
      <c r="AQ756" s="18"/>
    </row>
    <row r="757">
      <c r="B757" s="18"/>
      <c r="C757" s="18"/>
      <c r="G757" s="18"/>
      <c r="K757" s="18"/>
      <c r="L757" s="18"/>
      <c r="M757" s="18"/>
      <c r="AG757" s="18"/>
      <c r="AH757" s="18"/>
      <c r="AI757" s="18"/>
      <c r="AJ757" s="18"/>
      <c r="AL757" s="18"/>
      <c r="AM757" s="18"/>
      <c r="AN757" s="18"/>
      <c r="AO757" s="18"/>
      <c r="AQ757" s="18"/>
    </row>
    <row r="758">
      <c r="B758" s="18"/>
      <c r="C758" s="18"/>
      <c r="G758" s="18"/>
      <c r="K758" s="18"/>
      <c r="L758" s="18"/>
      <c r="M758" s="18"/>
      <c r="AG758" s="18"/>
      <c r="AH758" s="18"/>
      <c r="AI758" s="18"/>
      <c r="AJ758" s="18"/>
      <c r="AL758" s="18"/>
      <c r="AM758" s="18"/>
      <c r="AN758" s="18"/>
      <c r="AO758" s="18"/>
      <c r="AQ758" s="18"/>
    </row>
    <row r="759">
      <c r="B759" s="18"/>
      <c r="C759" s="18"/>
      <c r="G759" s="18"/>
      <c r="K759" s="18"/>
      <c r="L759" s="18"/>
      <c r="M759" s="18"/>
      <c r="AG759" s="18"/>
      <c r="AH759" s="18"/>
      <c r="AI759" s="18"/>
      <c r="AJ759" s="18"/>
      <c r="AL759" s="18"/>
      <c r="AM759" s="18"/>
      <c r="AN759" s="18"/>
      <c r="AO759" s="18"/>
      <c r="AQ759" s="18"/>
    </row>
    <row r="760">
      <c r="B760" s="18"/>
      <c r="C760" s="18"/>
      <c r="G760" s="18"/>
      <c r="K760" s="18"/>
      <c r="L760" s="18"/>
      <c r="M760" s="18"/>
      <c r="AG760" s="18"/>
      <c r="AH760" s="18"/>
      <c r="AI760" s="18"/>
      <c r="AJ760" s="18"/>
      <c r="AL760" s="18"/>
      <c r="AM760" s="18"/>
      <c r="AN760" s="18"/>
      <c r="AO760" s="18"/>
      <c r="AQ760" s="18"/>
    </row>
    <row r="761">
      <c r="B761" s="18"/>
      <c r="C761" s="18"/>
      <c r="G761" s="18"/>
      <c r="K761" s="18"/>
      <c r="L761" s="18"/>
      <c r="M761" s="18"/>
      <c r="AG761" s="18"/>
      <c r="AH761" s="18"/>
      <c r="AI761" s="18"/>
      <c r="AJ761" s="18"/>
      <c r="AL761" s="18"/>
      <c r="AM761" s="18"/>
      <c r="AN761" s="18"/>
      <c r="AO761" s="18"/>
      <c r="AQ761" s="18"/>
    </row>
    <row r="762">
      <c r="B762" s="18"/>
      <c r="C762" s="18"/>
      <c r="G762" s="18"/>
      <c r="K762" s="18"/>
      <c r="L762" s="18"/>
      <c r="M762" s="18"/>
      <c r="AG762" s="18"/>
      <c r="AH762" s="18"/>
      <c r="AI762" s="18"/>
      <c r="AJ762" s="18"/>
      <c r="AL762" s="18"/>
      <c r="AM762" s="18"/>
      <c r="AN762" s="18"/>
      <c r="AO762" s="18"/>
      <c r="AQ762" s="18"/>
    </row>
    <row r="763">
      <c r="B763" s="18"/>
      <c r="C763" s="18"/>
      <c r="G763" s="18"/>
      <c r="K763" s="18"/>
      <c r="L763" s="18"/>
      <c r="M763" s="18"/>
      <c r="AG763" s="18"/>
      <c r="AH763" s="18"/>
      <c r="AI763" s="18"/>
      <c r="AJ763" s="18"/>
      <c r="AL763" s="18"/>
      <c r="AM763" s="18"/>
      <c r="AN763" s="18"/>
      <c r="AO763" s="18"/>
      <c r="AQ763" s="18"/>
    </row>
    <row r="764">
      <c r="B764" s="18"/>
      <c r="C764" s="18"/>
      <c r="G764" s="18"/>
      <c r="K764" s="18"/>
      <c r="L764" s="18"/>
      <c r="M764" s="18"/>
      <c r="AG764" s="18"/>
      <c r="AH764" s="18"/>
      <c r="AI764" s="18"/>
      <c r="AJ764" s="18"/>
      <c r="AL764" s="18"/>
      <c r="AM764" s="18"/>
      <c r="AN764" s="18"/>
      <c r="AO764" s="18"/>
      <c r="AQ764" s="18"/>
    </row>
    <row r="765">
      <c r="B765" s="18"/>
      <c r="C765" s="18"/>
      <c r="G765" s="18"/>
      <c r="K765" s="18"/>
      <c r="L765" s="18"/>
      <c r="M765" s="18"/>
      <c r="AG765" s="18"/>
      <c r="AH765" s="18"/>
      <c r="AI765" s="18"/>
      <c r="AJ765" s="18"/>
      <c r="AL765" s="18"/>
      <c r="AM765" s="18"/>
      <c r="AN765" s="18"/>
      <c r="AO765" s="18"/>
      <c r="AQ765" s="18"/>
    </row>
    <row r="766">
      <c r="B766" s="18"/>
      <c r="C766" s="18"/>
      <c r="G766" s="18"/>
      <c r="K766" s="18"/>
      <c r="L766" s="18"/>
      <c r="M766" s="18"/>
      <c r="AG766" s="18"/>
      <c r="AH766" s="18"/>
      <c r="AI766" s="18"/>
      <c r="AJ766" s="18"/>
      <c r="AL766" s="18"/>
      <c r="AM766" s="18"/>
      <c r="AN766" s="18"/>
      <c r="AO766" s="18"/>
      <c r="AQ766" s="18"/>
    </row>
    <row r="767">
      <c r="B767" s="18"/>
      <c r="C767" s="18"/>
      <c r="G767" s="18"/>
      <c r="K767" s="18"/>
      <c r="L767" s="18"/>
      <c r="M767" s="18"/>
      <c r="AG767" s="18"/>
      <c r="AH767" s="18"/>
      <c r="AI767" s="18"/>
      <c r="AJ767" s="18"/>
      <c r="AL767" s="18"/>
      <c r="AM767" s="18"/>
      <c r="AN767" s="18"/>
      <c r="AO767" s="18"/>
      <c r="AQ767" s="18"/>
    </row>
    <row r="768">
      <c r="B768" s="18"/>
      <c r="C768" s="18"/>
      <c r="G768" s="18"/>
      <c r="K768" s="18"/>
      <c r="L768" s="18"/>
      <c r="M768" s="18"/>
      <c r="AG768" s="18"/>
      <c r="AH768" s="18"/>
      <c r="AI768" s="18"/>
      <c r="AJ768" s="18"/>
      <c r="AL768" s="18"/>
      <c r="AM768" s="18"/>
      <c r="AN768" s="18"/>
      <c r="AO768" s="18"/>
      <c r="AQ768" s="18"/>
    </row>
    <row r="769">
      <c r="B769" s="18"/>
      <c r="C769" s="18"/>
      <c r="G769" s="18"/>
      <c r="K769" s="18"/>
      <c r="L769" s="18"/>
      <c r="M769" s="18"/>
      <c r="AG769" s="18"/>
      <c r="AH769" s="18"/>
      <c r="AI769" s="18"/>
      <c r="AJ769" s="18"/>
      <c r="AL769" s="18"/>
      <c r="AM769" s="18"/>
      <c r="AN769" s="18"/>
      <c r="AO769" s="18"/>
      <c r="AQ769" s="18"/>
    </row>
    <row r="770">
      <c r="B770" s="18"/>
      <c r="C770" s="18"/>
      <c r="G770" s="18"/>
      <c r="K770" s="18"/>
      <c r="L770" s="18"/>
      <c r="M770" s="18"/>
      <c r="AG770" s="18"/>
      <c r="AH770" s="18"/>
      <c r="AI770" s="18"/>
      <c r="AJ770" s="18"/>
      <c r="AL770" s="18"/>
      <c r="AM770" s="18"/>
      <c r="AN770" s="18"/>
      <c r="AO770" s="18"/>
      <c r="AQ770" s="18"/>
    </row>
    <row r="771">
      <c r="B771" s="18"/>
      <c r="C771" s="18"/>
      <c r="G771" s="18"/>
      <c r="K771" s="18"/>
      <c r="L771" s="18"/>
      <c r="M771" s="18"/>
      <c r="AG771" s="18"/>
      <c r="AH771" s="18"/>
      <c r="AI771" s="18"/>
      <c r="AJ771" s="18"/>
      <c r="AL771" s="18"/>
      <c r="AM771" s="18"/>
      <c r="AN771" s="18"/>
      <c r="AO771" s="18"/>
      <c r="AQ771" s="18"/>
    </row>
    <row r="772">
      <c r="B772" s="18"/>
      <c r="C772" s="18"/>
      <c r="G772" s="18"/>
      <c r="K772" s="18"/>
      <c r="L772" s="18"/>
      <c r="M772" s="18"/>
      <c r="AG772" s="18"/>
      <c r="AH772" s="18"/>
      <c r="AI772" s="18"/>
      <c r="AJ772" s="18"/>
      <c r="AL772" s="18"/>
      <c r="AM772" s="18"/>
      <c r="AN772" s="18"/>
      <c r="AO772" s="18"/>
      <c r="AQ772" s="18"/>
    </row>
    <row r="773">
      <c r="B773" s="18"/>
      <c r="C773" s="18"/>
      <c r="G773" s="18"/>
      <c r="K773" s="18"/>
      <c r="L773" s="18"/>
      <c r="M773" s="18"/>
      <c r="AG773" s="18"/>
      <c r="AH773" s="18"/>
      <c r="AI773" s="18"/>
      <c r="AJ773" s="18"/>
      <c r="AL773" s="18"/>
      <c r="AM773" s="18"/>
      <c r="AN773" s="18"/>
      <c r="AO773" s="18"/>
      <c r="AQ773" s="18"/>
    </row>
    <row r="774">
      <c r="B774" s="18"/>
      <c r="C774" s="18"/>
      <c r="G774" s="18"/>
      <c r="K774" s="18"/>
      <c r="L774" s="18"/>
      <c r="M774" s="18"/>
      <c r="AG774" s="18"/>
      <c r="AH774" s="18"/>
      <c r="AI774" s="18"/>
      <c r="AJ774" s="18"/>
      <c r="AL774" s="18"/>
      <c r="AM774" s="18"/>
      <c r="AN774" s="18"/>
      <c r="AO774" s="18"/>
      <c r="AQ774" s="18"/>
    </row>
    <row r="775">
      <c r="B775" s="18"/>
      <c r="C775" s="18"/>
      <c r="G775" s="18"/>
      <c r="K775" s="18"/>
      <c r="L775" s="18"/>
      <c r="M775" s="18"/>
      <c r="AG775" s="18"/>
      <c r="AH775" s="18"/>
      <c r="AI775" s="18"/>
      <c r="AJ775" s="18"/>
      <c r="AL775" s="18"/>
      <c r="AM775" s="18"/>
      <c r="AN775" s="18"/>
      <c r="AO775" s="18"/>
      <c r="AQ775" s="18"/>
    </row>
    <row r="776">
      <c r="B776" s="18"/>
      <c r="C776" s="18"/>
      <c r="G776" s="18"/>
      <c r="K776" s="18"/>
      <c r="L776" s="18"/>
      <c r="M776" s="18"/>
      <c r="AG776" s="18"/>
      <c r="AH776" s="18"/>
      <c r="AI776" s="18"/>
      <c r="AJ776" s="18"/>
      <c r="AL776" s="18"/>
      <c r="AM776" s="18"/>
      <c r="AN776" s="18"/>
      <c r="AO776" s="18"/>
      <c r="AQ776" s="18"/>
    </row>
    <row r="777">
      <c r="B777" s="18"/>
      <c r="C777" s="18"/>
      <c r="G777" s="18"/>
      <c r="K777" s="18"/>
      <c r="L777" s="18"/>
      <c r="M777" s="18"/>
      <c r="AG777" s="18"/>
      <c r="AH777" s="18"/>
      <c r="AI777" s="18"/>
      <c r="AJ777" s="18"/>
      <c r="AL777" s="18"/>
      <c r="AM777" s="18"/>
      <c r="AN777" s="18"/>
      <c r="AO777" s="18"/>
      <c r="AQ777" s="18"/>
    </row>
    <row r="778">
      <c r="B778" s="18"/>
      <c r="C778" s="18"/>
      <c r="G778" s="18"/>
      <c r="K778" s="18"/>
      <c r="L778" s="18"/>
      <c r="M778" s="18"/>
      <c r="AG778" s="18"/>
      <c r="AH778" s="18"/>
      <c r="AI778" s="18"/>
      <c r="AJ778" s="18"/>
      <c r="AL778" s="18"/>
      <c r="AM778" s="18"/>
      <c r="AN778" s="18"/>
      <c r="AO778" s="18"/>
      <c r="AQ778" s="18"/>
    </row>
    <row r="779">
      <c r="B779" s="18"/>
      <c r="C779" s="18"/>
      <c r="G779" s="18"/>
      <c r="K779" s="18"/>
      <c r="L779" s="18"/>
      <c r="M779" s="18"/>
      <c r="AG779" s="18"/>
      <c r="AH779" s="18"/>
      <c r="AI779" s="18"/>
      <c r="AJ779" s="18"/>
      <c r="AL779" s="18"/>
      <c r="AM779" s="18"/>
      <c r="AN779" s="18"/>
      <c r="AO779" s="18"/>
      <c r="AQ779" s="18"/>
    </row>
    <row r="780">
      <c r="B780" s="18"/>
      <c r="C780" s="18"/>
      <c r="G780" s="18"/>
      <c r="K780" s="18"/>
      <c r="L780" s="18"/>
      <c r="M780" s="18"/>
      <c r="AG780" s="18"/>
      <c r="AH780" s="18"/>
      <c r="AI780" s="18"/>
      <c r="AJ780" s="18"/>
      <c r="AL780" s="18"/>
      <c r="AM780" s="18"/>
      <c r="AN780" s="18"/>
      <c r="AO780" s="18"/>
      <c r="AQ780" s="18"/>
    </row>
    <row r="781">
      <c r="B781" s="18"/>
      <c r="C781" s="18"/>
      <c r="G781" s="18"/>
      <c r="K781" s="18"/>
      <c r="L781" s="18"/>
      <c r="M781" s="18"/>
      <c r="AG781" s="18"/>
      <c r="AH781" s="18"/>
      <c r="AI781" s="18"/>
      <c r="AJ781" s="18"/>
      <c r="AL781" s="18"/>
      <c r="AM781" s="18"/>
      <c r="AN781" s="18"/>
      <c r="AO781" s="18"/>
      <c r="AQ781" s="18"/>
    </row>
    <row r="782">
      <c r="B782" s="18"/>
      <c r="C782" s="18"/>
      <c r="G782" s="18"/>
      <c r="K782" s="18"/>
      <c r="L782" s="18"/>
      <c r="M782" s="18"/>
      <c r="AG782" s="18"/>
      <c r="AH782" s="18"/>
      <c r="AI782" s="18"/>
      <c r="AJ782" s="18"/>
      <c r="AL782" s="18"/>
      <c r="AM782" s="18"/>
      <c r="AN782" s="18"/>
      <c r="AO782" s="18"/>
      <c r="AQ782" s="18"/>
    </row>
    <row r="783">
      <c r="B783" s="18"/>
      <c r="C783" s="18"/>
      <c r="G783" s="18"/>
      <c r="K783" s="18"/>
      <c r="L783" s="18"/>
      <c r="M783" s="18"/>
      <c r="AG783" s="18"/>
      <c r="AH783" s="18"/>
      <c r="AI783" s="18"/>
      <c r="AJ783" s="18"/>
      <c r="AL783" s="18"/>
      <c r="AM783" s="18"/>
      <c r="AN783" s="18"/>
      <c r="AO783" s="18"/>
      <c r="AQ783" s="18"/>
    </row>
    <row r="784">
      <c r="B784" s="18"/>
      <c r="C784" s="18"/>
      <c r="G784" s="18"/>
      <c r="K784" s="18"/>
      <c r="L784" s="18"/>
      <c r="M784" s="18"/>
      <c r="AG784" s="18"/>
      <c r="AH784" s="18"/>
      <c r="AI784" s="18"/>
      <c r="AJ784" s="18"/>
      <c r="AL784" s="18"/>
      <c r="AM784" s="18"/>
      <c r="AN784" s="18"/>
      <c r="AO784" s="18"/>
      <c r="AQ784" s="18"/>
    </row>
    <row r="785">
      <c r="B785" s="18"/>
      <c r="C785" s="18"/>
      <c r="G785" s="18"/>
      <c r="K785" s="18"/>
      <c r="L785" s="18"/>
      <c r="M785" s="18"/>
      <c r="AG785" s="18"/>
      <c r="AH785" s="18"/>
      <c r="AI785" s="18"/>
      <c r="AJ785" s="18"/>
      <c r="AL785" s="18"/>
      <c r="AM785" s="18"/>
      <c r="AN785" s="18"/>
      <c r="AO785" s="18"/>
      <c r="AQ785" s="18"/>
    </row>
    <row r="786">
      <c r="B786" s="18"/>
      <c r="C786" s="18"/>
      <c r="G786" s="18"/>
      <c r="K786" s="18"/>
      <c r="L786" s="18"/>
      <c r="M786" s="18"/>
      <c r="AG786" s="18"/>
      <c r="AH786" s="18"/>
      <c r="AI786" s="18"/>
      <c r="AJ786" s="18"/>
      <c r="AL786" s="18"/>
      <c r="AM786" s="18"/>
      <c r="AN786" s="18"/>
      <c r="AO786" s="18"/>
      <c r="AQ786" s="18"/>
    </row>
    <row r="787">
      <c r="B787" s="18"/>
      <c r="C787" s="18"/>
      <c r="G787" s="18"/>
      <c r="K787" s="18"/>
      <c r="L787" s="18"/>
      <c r="M787" s="18"/>
      <c r="AG787" s="18"/>
      <c r="AH787" s="18"/>
      <c r="AI787" s="18"/>
      <c r="AJ787" s="18"/>
      <c r="AL787" s="18"/>
      <c r="AM787" s="18"/>
      <c r="AN787" s="18"/>
      <c r="AO787" s="18"/>
      <c r="AQ787" s="18"/>
    </row>
    <row r="788">
      <c r="B788" s="18"/>
      <c r="C788" s="18"/>
      <c r="G788" s="18"/>
      <c r="K788" s="18"/>
      <c r="L788" s="18"/>
      <c r="M788" s="18"/>
      <c r="AG788" s="18"/>
      <c r="AH788" s="18"/>
      <c r="AI788" s="18"/>
      <c r="AJ788" s="18"/>
      <c r="AL788" s="18"/>
      <c r="AM788" s="18"/>
      <c r="AN788" s="18"/>
      <c r="AO788" s="18"/>
      <c r="AQ788" s="18"/>
    </row>
    <row r="789">
      <c r="B789" s="18"/>
      <c r="C789" s="18"/>
      <c r="G789" s="18"/>
      <c r="K789" s="18"/>
      <c r="L789" s="18"/>
      <c r="M789" s="18"/>
      <c r="AG789" s="18"/>
      <c r="AH789" s="18"/>
      <c r="AI789" s="18"/>
      <c r="AJ789" s="18"/>
      <c r="AL789" s="18"/>
      <c r="AM789" s="18"/>
      <c r="AN789" s="18"/>
      <c r="AO789" s="18"/>
      <c r="AQ789" s="18"/>
    </row>
    <row r="790">
      <c r="B790" s="18"/>
      <c r="C790" s="18"/>
      <c r="G790" s="18"/>
      <c r="K790" s="18"/>
      <c r="L790" s="18"/>
      <c r="M790" s="18"/>
      <c r="AG790" s="18"/>
      <c r="AH790" s="18"/>
      <c r="AI790" s="18"/>
      <c r="AJ790" s="18"/>
      <c r="AL790" s="18"/>
      <c r="AM790" s="18"/>
      <c r="AN790" s="18"/>
      <c r="AO790" s="18"/>
      <c r="AQ790" s="18"/>
    </row>
    <row r="791">
      <c r="B791" s="18"/>
      <c r="C791" s="18"/>
      <c r="G791" s="18"/>
      <c r="K791" s="18"/>
      <c r="L791" s="18"/>
      <c r="M791" s="18"/>
      <c r="AG791" s="18"/>
      <c r="AH791" s="18"/>
      <c r="AI791" s="18"/>
      <c r="AJ791" s="18"/>
      <c r="AL791" s="18"/>
      <c r="AM791" s="18"/>
      <c r="AN791" s="18"/>
      <c r="AO791" s="18"/>
      <c r="AQ791" s="18"/>
    </row>
    <row r="792">
      <c r="B792" s="18"/>
      <c r="C792" s="18"/>
      <c r="G792" s="18"/>
      <c r="K792" s="18"/>
      <c r="L792" s="18"/>
      <c r="M792" s="18"/>
      <c r="AG792" s="18"/>
      <c r="AH792" s="18"/>
      <c r="AI792" s="18"/>
      <c r="AJ792" s="18"/>
      <c r="AL792" s="18"/>
      <c r="AM792" s="18"/>
      <c r="AN792" s="18"/>
      <c r="AO792" s="18"/>
      <c r="AQ792" s="18"/>
    </row>
    <row r="793">
      <c r="B793" s="18"/>
      <c r="C793" s="18"/>
      <c r="G793" s="18"/>
      <c r="K793" s="18"/>
      <c r="L793" s="18"/>
      <c r="M793" s="18"/>
      <c r="AG793" s="18"/>
      <c r="AH793" s="18"/>
      <c r="AI793" s="18"/>
      <c r="AJ793" s="18"/>
      <c r="AL793" s="18"/>
      <c r="AM793" s="18"/>
      <c r="AN793" s="18"/>
      <c r="AO793" s="18"/>
      <c r="AQ793" s="18"/>
    </row>
    <row r="794">
      <c r="B794" s="18"/>
      <c r="C794" s="18"/>
      <c r="G794" s="18"/>
      <c r="K794" s="18"/>
      <c r="L794" s="18"/>
      <c r="M794" s="18"/>
      <c r="AG794" s="18"/>
      <c r="AH794" s="18"/>
      <c r="AI794" s="18"/>
      <c r="AJ794" s="18"/>
      <c r="AL794" s="18"/>
      <c r="AM794" s="18"/>
      <c r="AN794" s="18"/>
      <c r="AO794" s="18"/>
      <c r="AQ794" s="18"/>
    </row>
    <row r="795">
      <c r="B795" s="18"/>
      <c r="C795" s="18"/>
      <c r="G795" s="18"/>
      <c r="K795" s="18"/>
      <c r="L795" s="18"/>
      <c r="M795" s="18"/>
      <c r="AG795" s="18"/>
      <c r="AH795" s="18"/>
      <c r="AI795" s="18"/>
      <c r="AJ795" s="18"/>
      <c r="AL795" s="18"/>
      <c r="AM795" s="18"/>
      <c r="AN795" s="18"/>
      <c r="AO795" s="18"/>
      <c r="AQ795" s="18"/>
    </row>
    <row r="796">
      <c r="B796" s="18"/>
      <c r="C796" s="18"/>
      <c r="G796" s="18"/>
      <c r="K796" s="18"/>
      <c r="L796" s="18"/>
      <c r="M796" s="18"/>
      <c r="AG796" s="18"/>
      <c r="AH796" s="18"/>
      <c r="AI796" s="18"/>
      <c r="AJ796" s="18"/>
      <c r="AL796" s="18"/>
      <c r="AM796" s="18"/>
      <c r="AN796" s="18"/>
      <c r="AO796" s="18"/>
      <c r="AQ796" s="18"/>
    </row>
    <row r="797">
      <c r="B797" s="18"/>
      <c r="C797" s="18"/>
      <c r="G797" s="18"/>
      <c r="K797" s="18"/>
      <c r="L797" s="18"/>
      <c r="M797" s="18"/>
      <c r="AG797" s="18"/>
      <c r="AH797" s="18"/>
      <c r="AI797" s="18"/>
      <c r="AJ797" s="18"/>
      <c r="AL797" s="18"/>
      <c r="AM797" s="18"/>
      <c r="AN797" s="18"/>
      <c r="AO797" s="18"/>
      <c r="AQ797" s="18"/>
    </row>
    <row r="798">
      <c r="B798" s="18"/>
      <c r="C798" s="18"/>
      <c r="G798" s="18"/>
      <c r="K798" s="18"/>
      <c r="L798" s="18"/>
      <c r="M798" s="18"/>
      <c r="AG798" s="18"/>
      <c r="AH798" s="18"/>
      <c r="AI798" s="18"/>
      <c r="AJ798" s="18"/>
      <c r="AL798" s="18"/>
      <c r="AM798" s="18"/>
      <c r="AN798" s="18"/>
      <c r="AO798" s="18"/>
      <c r="AQ798" s="18"/>
    </row>
    <row r="799">
      <c r="B799" s="18"/>
      <c r="C799" s="18"/>
      <c r="G799" s="18"/>
      <c r="K799" s="18"/>
      <c r="L799" s="18"/>
      <c r="M799" s="18"/>
      <c r="AG799" s="18"/>
      <c r="AH799" s="18"/>
      <c r="AI799" s="18"/>
      <c r="AJ799" s="18"/>
      <c r="AL799" s="18"/>
      <c r="AM799" s="18"/>
      <c r="AN799" s="18"/>
      <c r="AO799" s="18"/>
      <c r="AQ799" s="18"/>
    </row>
    <row r="800">
      <c r="B800" s="18"/>
      <c r="C800" s="18"/>
      <c r="G800" s="18"/>
      <c r="K800" s="18"/>
      <c r="L800" s="18"/>
      <c r="M800" s="18"/>
      <c r="AG800" s="18"/>
      <c r="AH800" s="18"/>
      <c r="AI800" s="18"/>
      <c r="AJ800" s="18"/>
      <c r="AL800" s="18"/>
      <c r="AM800" s="18"/>
      <c r="AN800" s="18"/>
      <c r="AO800" s="18"/>
      <c r="AQ800" s="18"/>
    </row>
    <row r="801">
      <c r="B801" s="18"/>
      <c r="C801" s="18"/>
      <c r="G801" s="18"/>
      <c r="K801" s="18"/>
      <c r="L801" s="18"/>
      <c r="M801" s="18"/>
      <c r="AG801" s="18"/>
      <c r="AH801" s="18"/>
      <c r="AI801" s="18"/>
      <c r="AJ801" s="18"/>
      <c r="AL801" s="18"/>
      <c r="AM801" s="18"/>
      <c r="AN801" s="18"/>
      <c r="AO801" s="18"/>
      <c r="AQ801" s="18"/>
    </row>
    <row r="802">
      <c r="B802" s="18"/>
      <c r="C802" s="18"/>
      <c r="G802" s="18"/>
      <c r="K802" s="18"/>
      <c r="L802" s="18"/>
      <c r="M802" s="18"/>
      <c r="AG802" s="18"/>
      <c r="AH802" s="18"/>
      <c r="AI802" s="18"/>
      <c r="AJ802" s="18"/>
      <c r="AL802" s="18"/>
      <c r="AM802" s="18"/>
      <c r="AN802" s="18"/>
      <c r="AO802" s="18"/>
      <c r="AQ802" s="18"/>
    </row>
    <row r="803">
      <c r="B803" s="18"/>
      <c r="C803" s="18"/>
      <c r="G803" s="18"/>
      <c r="K803" s="18"/>
      <c r="L803" s="18"/>
      <c r="M803" s="18"/>
      <c r="AG803" s="18"/>
      <c r="AH803" s="18"/>
      <c r="AI803" s="18"/>
      <c r="AJ803" s="18"/>
      <c r="AL803" s="18"/>
      <c r="AM803" s="18"/>
      <c r="AN803" s="18"/>
      <c r="AO803" s="18"/>
      <c r="AQ803" s="18"/>
    </row>
    <row r="804">
      <c r="B804" s="18"/>
      <c r="C804" s="18"/>
      <c r="G804" s="18"/>
      <c r="K804" s="18"/>
      <c r="L804" s="18"/>
      <c r="M804" s="18"/>
      <c r="AG804" s="18"/>
      <c r="AH804" s="18"/>
      <c r="AI804" s="18"/>
      <c r="AJ804" s="18"/>
      <c r="AL804" s="18"/>
      <c r="AM804" s="18"/>
      <c r="AN804" s="18"/>
      <c r="AO804" s="18"/>
      <c r="AQ804" s="18"/>
    </row>
    <row r="805">
      <c r="B805" s="18"/>
      <c r="C805" s="18"/>
      <c r="G805" s="18"/>
      <c r="K805" s="18"/>
      <c r="L805" s="18"/>
      <c r="M805" s="18"/>
      <c r="AG805" s="18"/>
      <c r="AH805" s="18"/>
      <c r="AI805" s="18"/>
      <c r="AJ805" s="18"/>
      <c r="AL805" s="18"/>
      <c r="AM805" s="18"/>
      <c r="AN805" s="18"/>
      <c r="AO805" s="18"/>
      <c r="AQ805" s="18"/>
    </row>
    <row r="806">
      <c r="B806" s="18"/>
      <c r="C806" s="18"/>
      <c r="G806" s="18"/>
      <c r="K806" s="18"/>
      <c r="L806" s="18"/>
      <c r="M806" s="18"/>
      <c r="AG806" s="18"/>
      <c r="AH806" s="18"/>
      <c r="AI806" s="18"/>
      <c r="AJ806" s="18"/>
      <c r="AL806" s="18"/>
      <c r="AM806" s="18"/>
      <c r="AN806" s="18"/>
      <c r="AO806" s="18"/>
      <c r="AQ806" s="18"/>
    </row>
    <row r="807">
      <c r="B807" s="18"/>
      <c r="C807" s="18"/>
      <c r="G807" s="18"/>
      <c r="K807" s="18"/>
      <c r="L807" s="18"/>
      <c r="M807" s="18"/>
      <c r="AG807" s="18"/>
      <c r="AH807" s="18"/>
      <c r="AI807" s="18"/>
      <c r="AJ807" s="18"/>
      <c r="AL807" s="18"/>
      <c r="AM807" s="18"/>
      <c r="AN807" s="18"/>
      <c r="AO807" s="18"/>
      <c r="AQ807" s="18"/>
    </row>
    <row r="808">
      <c r="B808" s="18"/>
      <c r="C808" s="18"/>
      <c r="G808" s="18"/>
      <c r="K808" s="18"/>
      <c r="L808" s="18"/>
      <c r="M808" s="18"/>
      <c r="AG808" s="18"/>
      <c r="AH808" s="18"/>
      <c r="AI808" s="18"/>
      <c r="AJ808" s="18"/>
      <c r="AL808" s="18"/>
      <c r="AM808" s="18"/>
      <c r="AN808" s="18"/>
      <c r="AO808" s="18"/>
      <c r="AQ808" s="18"/>
    </row>
    <row r="809">
      <c r="B809" s="18"/>
      <c r="C809" s="18"/>
      <c r="G809" s="18"/>
      <c r="K809" s="18"/>
      <c r="L809" s="18"/>
      <c r="M809" s="18"/>
      <c r="AG809" s="18"/>
      <c r="AH809" s="18"/>
      <c r="AI809" s="18"/>
      <c r="AJ809" s="18"/>
      <c r="AL809" s="18"/>
      <c r="AM809" s="18"/>
      <c r="AN809" s="18"/>
      <c r="AO809" s="18"/>
      <c r="AQ809" s="18"/>
    </row>
    <row r="810">
      <c r="B810" s="18"/>
      <c r="C810" s="18"/>
      <c r="G810" s="18"/>
      <c r="K810" s="18"/>
      <c r="L810" s="18"/>
      <c r="M810" s="18"/>
      <c r="AG810" s="18"/>
      <c r="AH810" s="18"/>
      <c r="AI810" s="18"/>
      <c r="AJ810" s="18"/>
      <c r="AL810" s="18"/>
      <c r="AM810" s="18"/>
      <c r="AN810" s="18"/>
      <c r="AO810" s="18"/>
      <c r="AQ810" s="18"/>
    </row>
    <row r="811">
      <c r="B811" s="18"/>
      <c r="C811" s="18"/>
      <c r="G811" s="18"/>
      <c r="K811" s="18"/>
      <c r="L811" s="18"/>
      <c r="M811" s="18"/>
      <c r="AG811" s="18"/>
      <c r="AH811" s="18"/>
      <c r="AI811" s="18"/>
      <c r="AJ811" s="18"/>
      <c r="AL811" s="18"/>
      <c r="AM811" s="18"/>
      <c r="AN811" s="18"/>
      <c r="AO811" s="18"/>
      <c r="AQ811" s="18"/>
    </row>
    <row r="812">
      <c r="B812" s="18"/>
      <c r="C812" s="18"/>
      <c r="G812" s="18"/>
      <c r="K812" s="18"/>
      <c r="L812" s="18"/>
      <c r="M812" s="18"/>
      <c r="AG812" s="18"/>
      <c r="AH812" s="18"/>
      <c r="AI812" s="18"/>
      <c r="AJ812" s="18"/>
      <c r="AL812" s="18"/>
      <c r="AM812" s="18"/>
      <c r="AN812" s="18"/>
      <c r="AO812" s="18"/>
      <c r="AQ812" s="18"/>
    </row>
    <row r="813">
      <c r="B813" s="18"/>
      <c r="C813" s="18"/>
      <c r="G813" s="18"/>
      <c r="K813" s="18"/>
      <c r="L813" s="18"/>
      <c r="M813" s="18"/>
      <c r="AG813" s="18"/>
      <c r="AH813" s="18"/>
      <c r="AI813" s="18"/>
      <c r="AJ813" s="18"/>
      <c r="AL813" s="18"/>
      <c r="AM813" s="18"/>
      <c r="AN813" s="18"/>
      <c r="AO813" s="18"/>
      <c r="AQ813" s="18"/>
    </row>
    <row r="814">
      <c r="B814" s="18"/>
      <c r="C814" s="18"/>
      <c r="G814" s="18"/>
      <c r="K814" s="18"/>
      <c r="L814" s="18"/>
      <c r="M814" s="18"/>
      <c r="AG814" s="18"/>
      <c r="AH814" s="18"/>
      <c r="AI814" s="18"/>
      <c r="AJ814" s="18"/>
      <c r="AL814" s="18"/>
      <c r="AM814" s="18"/>
      <c r="AN814" s="18"/>
      <c r="AO814" s="18"/>
      <c r="AQ814" s="18"/>
    </row>
    <row r="815">
      <c r="B815" s="18"/>
      <c r="C815" s="18"/>
      <c r="G815" s="18"/>
      <c r="K815" s="18"/>
      <c r="L815" s="18"/>
      <c r="M815" s="18"/>
      <c r="AG815" s="18"/>
      <c r="AH815" s="18"/>
      <c r="AI815" s="18"/>
      <c r="AJ815" s="18"/>
      <c r="AL815" s="18"/>
      <c r="AM815" s="18"/>
      <c r="AN815" s="18"/>
      <c r="AO815" s="18"/>
      <c r="AQ815" s="18"/>
    </row>
    <row r="816">
      <c r="B816" s="18"/>
      <c r="C816" s="18"/>
      <c r="G816" s="18"/>
      <c r="K816" s="18"/>
      <c r="L816" s="18"/>
      <c r="M816" s="18"/>
      <c r="AG816" s="18"/>
      <c r="AH816" s="18"/>
      <c r="AI816" s="18"/>
      <c r="AJ816" s="18"/>
      <c r="AL816" s="18"/>
      <c r="AM816" s="18"/>
      <c r="AN816" s="18"/>
      <c r="AO816" s="18"/>
      <c r="AQ816" s="18"/>
    </row>
    <row r="817">
      <c r="B817" s="18"/>
      <c r="C817" s="18"/>
      <c r="G817" s="18"/>
      <c r="K817" s="18"/>
      <c r="L817" s="18"/>
      <c r="M817" s="18"/>
      <c r="AG817" s="18"/>
      <c r="AH817" s="18"/>
      <c r="AI817" s="18"/>
      <c r="AJ817" s="18"/>
      <c r="AL817" s="18"/>
      <c r="AM817" s="18"/>
      <c r="AN817" s="18"/>
      <c r="AO817" s="18"/>
      <c r="AQ817" s="18"/>
    </row>
    <row r="818">
      <c r="B818" s="18"/>
      <c r="C818" s="18"/>
      <c r="G818" s="18"/>
      <c r="K818" s="18"/>
      <c r="L818" s="18"/>
      <c r="M818" s="18"/>
      <c r="AG818" s="18"/>
      <c r="AH818" s="18"/>
      <c r="AI818" s="18"/>
      <c r="AJ818" s="18"/>
      <c r="AL818" s="18"/>
      <c r="AM818" s="18"/>
      <c r="AN818" s="18"/>
      <c r="AO818" s="18"/>
      <c r="AQ818" s="18"/>
    </row>
    <row r="819">
      <c r="B819" s="18"/>
      <c r="C819" s="18"/>
      <c r="G819" s="18"/>
      <c r="K819" s="18"/>
      <c r="L819" s="18"/>
      <c r="M819" s="18"/>
      <c r="AG819" s="18"/>
      <c r="AH819" s="18"/>
      <c r="AI819" s="18"/>
      <c r="AJ819" s="18"/>
      <c r="AL819" s="18"/>
      <c r="AM819" s="18"/>
      <c r="AN819" s="18"/>
      <c r="AO819" s="18"/>
      <c r="AQ819" s="18"/>
    </row>
    <row r="820">
      <c r="B820" s="18"/>
      <c r="C820" s="18"/>
      <c r="G820" s="18"/>
      <c r="K820" s="18"/>
      <c r="L820" s="18"/>
      <c r="M820" s="18"/>
      <c r="AG820" s="18"/>
      <c r="AH820" s="18"/>
      <c r="AI820" s="18"/>
      <c r="AJ820" s="18"/>
      <c r="AL820" s="18"/>
      <c r="AM820" s="18"/>
      <c r="AN820" s="18"/>
      <c r="AO820" s="18"/>
      <c r="AQ820" s="18"/>
    </row>
    <row r="821">
      <c r="B821" s="18"/>
      <c r="C821" s="18"/>
      <c r="G821" s="18"/>
      <c r="K821" s="18"/>
      <c r="L821" s="18"/>
      <c r="M821" s="18"/>
      <c r="AG821" s="18"/>
      <c r="AH821" s="18"/>
      <c r="AI821" s="18"/>
      <c r="AJ821" s="18"/>
      <c r="AL821" s="18"/>
      <c r="AM821" s="18"/>
      <c r="AN821" s="18"/>
      <c r="AO821" s="18"/>
      <c r="AQ821" s="18"/>
    </row>
    <row r="822">
      <c r="B822" s="18"/>
      <c r="C822" s="18"/>
      <c r="G822" s="18"/>
      <c r="K822" s="18"/>
      <c r="L822" s="18"/>
      <c r="M822" s="18"/>
      <c r="AG822" s="18"/>
      <c r="AH822" s="18"/>
      <c r="AI822" s="18"/>
      <c r="AJ822" s="18"/>
      <c r="AL822" s="18"/>
      <c r="AM822" s="18"/>
      <c r="AN822" s="18"/>
      <c r="AO822" s="18"/>
      <c r="AQ822" s="18"/>
    </row>
    <row r="823">
      <c r="B823" s="18"/>
      <c r="C823" s="18"/>
      <c r="G823" s="18"/>
      <c r="K823" s="18"/>
      <c r="L823" s="18"/>
      <c r="M823" s="18"/>
      <c r="AG823" s="18"/>
      <c r="AH823" s="18"/>
      <c r="AI823" s="18"/>
      <c r="AJ823" s="18"/>
      <c r="AL823" s="18"/>
      <c r="AM823" s="18"/>
      <c r="AN823" s="18"/>
      <c r="AO823" s="18"/>
      <c r="AQ823" s="18"/>
    </row>
    <row r="824">
      <c r="B824" s="18"/>
      <c r="C824" s="18"/>
      <c r="G824" s="18"/>
      <c r="K824" s="18"/>
      <c r="L824" s="18"/>
      <c r="M824" s="18"/>
      <c r="AG824" s="18"/>
      <c r="AH824" s="18"/>
      <c r="AI824" s="18"/>
      <c r="AJ824" s="18"/>
      <c r="AL824" s="18"/>
      <c r="AM824" s="18"/>
      <c r="AN824" s="18"/>
      <c r="AO824" s="18"/>
      <c r="AQ824" s="18"/>
    </row>
    <row r="825">
      <c r="B825" s="18"/>
      <c r="C825" s="18"/>
      <c r="G825" s="18"/>
      <c r="K825" s="18"/>
      <c r="L825" s="18"/>
      <c r="M825" s="18"/>
      <c r="AG825" s="18"/>
      <c r="AH825" s="18"/>
      <c r="AI825" s="18"/>
      <c r="AJ825" s="18"/>
      <c r="AL825" s="18"/>
      <c r="AM825" s="18"/>
      <c r="AN825" s="18"/>
      <c r="AO825" s="18"/>
      <c r="AQ825" s="18"/>
    </row>
    <row r="826">
      <c r="B826" s="18"/>
      <c r="C826" s="18"/>
      <c r="G826" s="18"/>
      <c r="K826" s="18"/>
      <c r="L826" s="18"/>
      <c r="M826" s="18"/>
      <c r="AG826" s="18"/>
      <c r="AH826" s="18"/>
      <c r="AI826" s="18"/>
      <c r="AJ826" s="18"/>
      <c r="AL826" s="18"/>
      <c r="AM826" s="18"/>
      <c r="AN826" s="18"/>
      <c r="AO826" s="18"/>
      <c r="AQ826" s="18"/>
    </row>
    <row r="827">
      <c r="B827" s="18"/>
      <c r="C827" s="18"/>
      <c r="G827" s="18"/>
      <c r="K827" s="18"/>
      <c r="L827" s="18"/>
      <c r="M827" s="18"/>
      <c r="AG827" s="18"/>
      <c r="AH827" s="18"/>
      <c r="AI827" s="18"/>
      <c r="AJ827" s="18"/>
      <c r="AL827" s="18"/>
      <c r="AM827" s="18"/>
      <c r="AN827" s="18"/>
      <c r="AO827" s="18"/>
      <c r="AQ827" s="18"/>
    </row>
    <row r="828">
      <c r="B828" s="18"/>
      <c r="C828" s="18"/>
      <c r="G828" s="18"/>
      <c r="K828" s="18"/>
      <c r="L828" s="18"/>
      <c r="M828" s="18"/>
      <c r="AG828" s="18"/>
      <c r="AH828" s="18"/>
      <c r="AI828" s="18"/>
      <c r="AJ828" s="18"/>
      <c r="AL828" s="18"/>
      <c r="AM828" s="18"/>
      <c r="AN828" s="18"/>
      <c r="AO828" s="18"/>
      <c r="AQ828" s="18"/>
    </row>
    <row r="829">
      <c r="B829" s="18"/>
      <c r="C829" s="18"/>
      <c r="G829" s="18"/>
      <c r="K829" s="18"/>
      <c r="L829" s="18"/>
      <c r="M829" s="18"/>
      <c r="AG829" s="18"/>
      <c r="AH829" s="18"/>
      <c r="AI829" s="18"/>
      <c r="AJ829" s="18"/>
      <c r="AL829" s="18"/>
      <c r="AM829" s="18"/>
      <c r="AN829" s="18"/>
      <c r="AO829" s="18"/>
      <c r="AQ829" s="18"/>
    </row>
    <row r="830">
      <c r="B830" s="18"/>
      <c r="C830" s="18"/>
      <c r="G830" s="18"/>
      <c r="K830" s="18"/>
      <c r="L830" s="18"/>
      <c r="M830" s="18"/>
      <c r="AG830" s="18"/>
      <c r="AH830" s="18"/>
      <c r="AI830" s="18"/>
      <c r="AJ830" s="18"/>
      <c r="AL830" s="18"/>
      <c r="AM830" s="18"/>
      <c r="AN830" s="18"/>
      <c r="AO830" s="18"/>
      <c r="AQ830" s="18"/>
    </row>
    <row r="831">
      <c r="B831" s="18"/>
      <c r="C831" s="18"/>
      <c r="G831" s="18"/>
      <c r="K831" s="18"/>
      <c r="L831" s="18"/>
      <c r="M831" s="18"/>
      <c r="AG831" s="18"/>
      <c r="AH831" s="18"/>
      <c r="AI831" s="18"/>
      <c r="AJ831" s="18"/>
      <c r="AL831" s="18"/>
      <c r="AM831" s="18"/>
      <c r="AN831" s="18"/>
      <c r="AO831" s="18"/>
      <c r="AQ831" s="18"/>
    </row>
    <row r="832">
      <c r="B832" s="18"/>
      <c r="C832" s="18"/>
      <c r="G832" s="18"/>
      <c r="K832" s="18"/>
      <c r="L832" s="18"/>
      <c r="M832" s="18"/>
      <c r="AG832" s="18"/>
      <c r="AH832" s="18"/>
      <c r="AI832" s="18"/>
      <c r="AJ832" s="18"/>
      <c r="AL832" s="18"/>
      <c r="AM832" s="18"/>
      <c r="AN832" s="18"/>
      <c r="AO832" s="18"/>
      <c r="AQ832" s="18"/>
    </row>
    <row r="833">
      <c r="B833" s="18"/>
      <c r="C833" s="18"/>
      <c r="G833" s="18"/>
      <c r="K833" s="18"/>
      <c r="L833" s="18"/>
      <c r="M833" s="18"/>
      <c r="AG833" s="18"/>
      <c r="AH833" s="18"/>
      <c r="AI833" s="18"/>
      <c r="AJ833" s="18"/>
      <c r="AL833" s="18"/>
      <c r="AM833" s="18"/>
      <c r="AN833" s="18"/>
      <c r="AO833" s="18"/>
      <c r="AQ833" s="18"/>
    </row>
    <row r="834">
      <c r="B834" s="18"/>
      <c r="C834" s="18"/>
      <c r="G834" s="18"/>
      <c r="K834" s="18"/>
      <c r="L834" s="18"/>
      <c r="M834" s="18"/>
      <c r="AG834" s="18"/>
      <c r="AH834" s="18"/>
      <c r="AI834" s="18"/>
      <c r="AJ834" s="18"/>
      <c r="AL834" s="18"/>
      <c r="AM834" s="18"/>
      <c r="AN834" s="18"/>
      <c r="AO834" s="18"/>
      <c r="AQ834" s="18"/>
    </row>
    <row r="835">
      <c r="B835" s="18"/>
      <c r="C835" s="18"/>
      <c r="G835" s="18"/>
      <c r="K835" s="18"/>
      <c r="L835" s="18"/>
      <c r="M835" s="18"/>
      <c r="AG835" s="18"/>
      <c r="AH835" s="18"/>
      <c r="AI835" s="18"/>
      <c r="AJ835" s="18"/>
      <c r="AL835" s="18"/>
      <c r="AM835" s="18"/>
      <c r="AN835" s="18"/>
      <c r="AO835" s="18"/>
      <c r="AQ835" s="18"/>
    </row>
    <row r="836">
      <c r="B836" s="18"/>
      <c r="C836" s="18"/>
      <c r="G836" s="18"/>
      <c r="K836" s="18"/>
      <c r="L836" s="18"/>
      <c r="M836" s="18"/>
      <c r="AG836" s="18"/>
      <c r="AH836" s="18"/>
      <c r="AI836" s="18"/>
      <c r="AJ836" s="18"/>
      <c r="AL836" s="18"/>
      <c r="AM836" s="18"/>
      <c r="AN836" s="18"/>
      <c r="AO836" s="18"/>
      <c r="AQ836" s="18"/>
    </row>
    <row r="837">
      <c r="B837" s="18"/>
      <c r="C837" s="18"/>
      <c r="G837" s="18"/>
      <c r="K837" s="18"/>
      <c r="L837" s="18"/>
      <c r="M837" s="18"/>
      <c r="AG837" s="18"/>
      <c r="AH837" s="18"/>
      <c r="AI837" s="18"/>
      <c r="AJ837" s="18"/>
      <c r="AL837" s="18"/>
      <c r="AM837" s="18"/>
      <c r="AN837" s="18"/>
      <c r="AO837" s="18"/>
      <c r="AQ837" s="18"/>
    </row>
    <row r="838">
      <c r="B838" s="18"/>
      <c r="C838" s="18"/>
      <c r="G838" s="18"/>
      <c r="K838" s="18"/>
      <c r="L838" s="18"/>
      <c r="M838" s="18"/>
      <c r="AG838" s="18"/>
      <c r="AH838" s="18"/>
      <c r="AI838" s="18"/>
      <c r="AJ838" s="18"/>
      <c r="AL838" s="18"/>
      <c r="AM838" s="18"/>
      <c r="AN838" s="18"/>
      <c r="AO838" s="18"/>
      <c r="AQ838" s="18"/>
    </row>
    <row r="839">
      <c r="B839" s="18"/>
      <c r="C839" s="18"/>
      <c r="G839" s="18"/>
      <c r="K839" s="18"/>
      <c r="L839" s="18"/>
      <c r="M839" s="18"/>
      <c r="AG839" s="18"/>
      <c r="AH839" s="18"/>
      <c r="AI839" s="18"/>
      <c r="AJ839" s="18"/>
      <c r="AL839" s="18"/>
      <c r="AM839" s="18"/>
      <c r="AN839" s="18"/>
      <c r="AO839" s="18"/>
      <c r="AQ839" s="18"/>
    </row>
    <row r="840">
      <c r="B840" s="18"/>
      <c r="C840" s="18"/>
      <c r="G840" s="18"/>
      <c r="K840" s="18"/>
      <c r="L840" s="18"/>
      <c r="M840" s="18"/>
      <c r="AG840" s="18"/>
      <c r="AH840" s="18"/>
      <c r="AI840" s="18"/>
      <c r="AJ840" s="18"/>
      <c r="AL840" s="18"/>
      <c r="AM840" s="18"/>
      <c r="AN840" s="18"/>
      <c r="AO840" s="18"/>
      <c r="AQ840" s="18"/>
    </row>
    <row r="841">
      <c r="B841" s="18"/>
      <c r="C841" s="18"/>
      <c r="G841" s="18"/>
      <c r="K841" s="18"/>
      <c r="L841" s="18"/>
      <c r="M841" s="18"/>
      <c r="AG841" s="18"/>
      <c r="AH841" s="18"/>
      <c r="AI841" s="18"/>
      <c r="AJ841" s="18"/>
      <c r="AL841" s="18"/>
      <c r="AM841" s="18"/>
      <c r="AN841" s="18"/>
      <c r="AO841" s="18"/>
      <c r="AQ841" s="18"/>
    </row>
    <row r="842">
      <c r="B842" s="18"/>
      <c r="C842" s="18"/>
      <c r="G842" s="18"/>
      <c r="K842" s="18"/>
      <c r="L842" s="18"/>
      <c r="M842" s="18"/>
      <c r="AG842" s="18"/>
      <c r="AH842" s="18"/>
      <c r="AI842" s="18"/>
      <c r="AJ842" s="18"/>
      <c r="AL842" s="18"/>
      <c r="AM842" s="18"/>
      <c r="AN842" s="18"/>
      <c r="AO842" s="18"/>
      <c r="AQ842" s="18"/>
    </row>
    <row r="843">
      <c r="B843" s="18"/>
      <c r="C843" s="18"/>
      <c r="G843" s="18"/>
      <c r="K843" s="18"/>
      <c r="L843" s="18"/>
      <c r="M843" s="18"/>
      <c r="AG843" s="18"/>
      <c r="AH843" s="18"/>
      <c r="AI843" s="18"/>
      <c r="AJ843" s="18"/>
      <c r="AL843" s="18"/>
      <c r="AM843" s="18"/>
      <c r="AN843" s="18"/>
      <c r="AO843" s="18"/>
      <c r="AQ843" s="18"/>
    </row>
    <row r="844">
      <c r="B844" s="18"/>
      <c r="C844" s="18"/>
      <c r="G844" s="18"/>
      <c r="K844" s="18"/>
      <c r="L844" s="18"/>
      <c r="M844" s="18"/>
      <c r="AG844" s="18"/>
      <c r="AH844" s="18"/>
      <c r="AI844" s="18"/>
      <c r="AJ844" s="18"/>
      <c r="AL844" s="18"/>
      <c r="AM844" s="18"/>
      <c r="AN844" s="18"/>
      <c r="AO844" s="18"/>
      <c r="AQ844" s="18"/>
    </row>
    <row r="845">
      <c r="B845" s="18"/>
      <c r="C845" s="18"/>
      <c r="G845" s="18"/>
      <c r="K845" s="18"/>
      <c r="L845" s="18"/>
      <c r="M845" s="18"/>
      <c r="AG845" s="18"/>
      <c r="AH845" s="18"/>
      <c r="AI845" s="18"/>
      <c r="AJ845" s="18"/>
      <c r="AL845" s="18"/>
      <c r="AM845" s="18"/>
      <c r="AN845" s="18"/>
      <c r="AO845" s="18"/>
      <c r="AQ845" s="18"/>
    </row>
    <row r="846">
      <c r="B846" s="18"/>
      <c r="C846" s="18"/>
      <c r="G846" s="18"/>
      <c r="K846" s="18"/>
      <c r="L846" s="18"/>
      <c r="M846" s="18"/>
      <c r="AG846" s="18"/>
      <c r="AH846" s="18"/>
      <c r="AI846" s="18"/>
      <c r="AJ846" s="18"/>
      <c r="AL846" s="18"/>
      <c r="AM846" s="18"/>
      <c r="AN846" s="18"/>
      <c r="AO846" s="18"/>
      <c r="AQ846" s="18"/>
    </row>
    <row r="847">
      <c r="B847" s="18"/>
      <c r="C847" s="18"/>
      <c r="G847" s="18"/>
      <c r="K847" s="18"/>
      <c r="L847" s="18"/>
      <c r="M847" s="18"/>
      <c r="AG847" s="18"/>
      <c r="AH847" s="18"/>
      <c r="AI847" s="18"/>
      <c r="AJ847" s="18"/>
      <c r="AL847" s="18"/>
      <c r="AM847" s="18"/>
      <c r="AN847" s="18"/>
      <c r="AO847" s="18"/>
      <c r="AQ847" s="18"/>
    </row>
    <row r="848">
      <c r="B848" s="18"/>
      <c r="C848" s="18"/>
      <c r="G848" s="18"/>
      <c r="K848" s="18"/>
      <c r="L848" s="18"/>
      <c r="M848" s="18"/>
      <c r="AG848" s="18"/>
      <c r="AH848" s="18"/>
      <c r="AI848" s="18"/>
      <c r="AJ848" s="18"/>
      <c r="AL848" s="18"/>
      <c r="AM848" s="18"/>
      <c r="AN848" s="18"/>
      <c r="AO848" s="18"/>
      <c r="AQ848" s="18"/>
    </row>
    <row r="849">
      <c r="B849" s="18"/>
      <c r="C849" s="18"/>
      <c r="G849" s="18"/>
      <c r="K849" s="18"/>
      <c r="L849" s="18"/>
      <c r="M849" s="18"/>
      <c r="AG849" s="18"/>
      <c r="AH849" s="18"/>
      <c r="AI849" s="18"/>
      <c r="AJ849" s="18"/>
      <c r="AL849" s="18"/>
      <c r="AM849" s="18"/>
      <c r="AN849" s="18"/>
      <c r="AO849" s="18"/>
      <c r="AQ849" s="18"/>
    </row>
    <row r="850">
      <c r="B850" s="18"/>
      <c r="C850" s="18"/>
      <c r="G850" s="18"/>
      <c r="K850" s="18"/>
      <c r="L850" s="18"/>
      <c r="M850" s="18"/>
      <c r="AG850" s="18"/>
      <c r="AH850" s="18"/>
      <c r="AI850" s="18"/>
      <c r="AJ850" s="18"/>
      <c r="AL850" s="18"/>
      <c r="AM850" s="18"/>
      <c r="AN850" s="18"/>
      <c r="AO850" s="18"/>
      <c r="AQ850" s="18"/>
    </row>
    <row r="851">
      <c r="B851" s="18"/>
      <c r="C851" s="18"/>
      <c r="G851" s="18"/>
      <c r="K851" s="18"/>
      <c r="L851" s="18"/>
      <c r="M851" s="18"/>
      <c r="AG851" s="18"/>
      <c r="AH851" s="18"/>
      <c r="AI851" s="18"/>
      <c r="AJ851" s="18"/>
      <c r="AL851" s="18"/>
      <c r="AM851" s="18"/>
      <c r="AN851" s="18"/>
      <c r="AO851" s="18"/>
      <c r="AQ851" s="18"/>
    </row>
    <row r="852">
      <c r="B852" s="18"/>
      <c r="C852" s="18"/>
      <c r="G852" s="18"/>
      <c r="K852" s="18"/>
      <c r="L852" s="18"/>
      <c r="M852" s="18"/>
      <c r="AG852" s="18"/>
      <c r="AH852" s="18"/>
      <c r="AI852" s="18"/>
      <c r="AJ852" s="18"/>
      <c r="AL852" s="18"/>
      <c r="AM852" s="18"/>
      <c r="AN852" s="18"/>
      <c r="AO852" s="18"/>
      <c r="AQ852" s="18"/>
    </row>
    <row r="853">
      <c r="B853" s="18"/>
      <c r="C853" s="18"/>
      <c r="G853" s="18"/>
      <c r="K853" s="18"/>
      <c r="L853" s="18"/>
      <c r="M853" s="18"/>
      <c r="AG853" s="18"/>
      <c r="AH853" s="18"/>
      <c r="AI853" s="18"/>
      <c r="AJ853" s="18"/>
      <c r="AL853" s="18"/>
      <c r="AM853" s="18"/>
      <c r="AN853" s="18"/>
      <c r="AO853" s="18"/>
      <c r="AQ853" s="18"/>
    </row>
    <row r="854">
      <c r="B854" s="18"/>
      <c r="C854" s="18"/>
      <c r="G854" s="18"/>
      <c r="K854" s="18"/>
      <c r="L854" s="18"/>
      <c r="M854" s="18"/>
      <c r="AG854" s="18"/>
      <c r="AH854" s="18"/>
      <c r="AI854" s="18"/>
      <c r="AJ854" s="18"/>
      <c r="AL854" s="18"/>
      <c r="AM854" s="18"/>
      <c r="AN854" s="18"/>
      <c r="AO854" s="18"/>
      <c r="AQ854" s="18"/>
    </row>
    <row r="855">
      <c r="B855" s="18"/>
      <c r="C855" s="18"/>
      <c r="G855" s="18"/>
      <c r="K855" s="18"/>
      <c r="L855" s="18"/>
      <c r="M855" s="18"/>
      <c r="AG855" s="18"/>
      <c r="AH855" s="18"/>
      <c r="AI855" s="18"/>
      <c r="AJ855" s="18"/>
      <c r="AL855" s="18"/>
      <c r="AM855" s="18"/>
      <c r="AN855" s="18"/>
      <c r="AO855" s="18"/>
      <c r="AQ855" s="18"/>
    </row>
    <row r="856">
      <c r="B856" s="18"/>
      <c r="C856" s="18"/>
      <c r="G856" s="18"/>
      <c r="K856" s="18"/>
      <c r="L856" s="18"/>
      <c r="M856" s="18"/>
      <c r="AG856" s="18"/>
      <c r="AH856" s="18"/>
      <c r="AI856" s="18"/>
      <c r="AJ856" s="18"/>
      <c r="AL856" s="18"/>
      <c r="AM856" s="18"/>
      <c r="AN856" s="18"/>
      <c r="AO856" s="18"/>
      <c r="AQ856" s="18"/>
    </row>
    <row r="857">
      <c r="B857" s="18"/>
      <c r="C857" s="18"/>
      <c r="G857" s="18"/>
      <c r="K857" s="18"/>
      <c r="L857" s="18"/>
      <c r="M857" s="18"/>
      <c r="AG857" s="18"/>
      <c r="AH857" s="18"/>
      <c r="AI857" s="18"/>
      <c r="AJ857" s="18"/>
      <c r="AL857" s="18"/>
      <c r="AM857" s="18"/>
      <c r="AN857" s="18"/>
      <c r="AO857" s="18"/>
      <c r="AQ857" s="18"/>
    </row>
    <row r="858">
      <c r="B858" s="18"/>
      <c r="C858" s="18"/>
      <c r="G858" s="18"/>
      <c r="K858" s="18"/>
      <c r="L858" s="18"/>
      <c r="M858" s="18"/>
      <c r="AG858" s="18"/>
      <c r="AH858" s="18"/>
      <c r="AI858" s="18"/>
      <c r="AJ858" s="18"/>
      <c r="AL858" s="18"/>
      <c r="AM858" s="18"/>
      <c r="AN858" s="18"/>
      <c r="AO858" s="18"/>
      <c r="AQ858" s="18"/>
    </row>
    <row r="859">
      <c r="B859" s="18"/>
      <c r="C859" s="18"/>
      <c r="G859" s="18"/>
      <c r="K859" s="18"/>
      <c r="L859" s="18"/>
      <c r="M859" s="18"/>
      <c r="AG859" s="18"/>
      <c r="AH859" s="18"/>
      <c r="AI859" s="18"/>
      <c r="AJ859" s="18"/>
      <c r="AL859" s="18"/>
      <c r="AM859" s="18"/>
      <c r="AN859" s="18"/>
      <c r="AO859" s="18"/>
      <c r="AQ859" s="18"/>
    </row>
    <row r="860">
      <c r="B860" s="18"/>
      <c r="C860" s="18"/>
      <c r="G860" s="18"/>
      <c r="K860" s="18"/>
      <c r="L860" s="18"/>
      <c r="M860" s="18"/>
      <c r="AG860" s="18"/>
      <c r="AH860" s="18"/>
      <c r="AI860" s="18"/>
      <c r="AJ860" s="18"/>
      <c r="AL860" s="18"/>
      <c r="AM860" s="18"/>
      <c r="AN860" s="18"/>
      <c r="AO860" s="18"/>
      <c r="AQ860" s="18"/>
    </row>
    <row r="861">
      <c r="B861" s="18"/>
      <c r="C861" s="18"/>
      <c r="G861" s="18"/>
      <c r="K861" s="18"/>
      <c r="L861" s="18"/>
      <c r="M861" s="18"/>
      <c r="AG861" s="18"/>
      <c r="AH861" s="18"/>
      <c r="AI861" s="18"/>
      <c r="AJ861" s="18"/>
      <c r="AL861" s="18"/>
      <c r="AM861" s="18"/>
      <c r="AN861" s="18"/>
      <c r="AO861" s="18"/>
      <c r="AQ861" s="18"/>
    </row>
    <row r="862">
      <c r="B862" s="18"/>
      <c r="C862" s="18"/>
      <c r="G862" s="18"/>
      <c r="K862" s="18"/>
      <c r="L862" s="18"/>
      <c r="M862" s="18"/>
      <c r="AG862" s="18"/>
      <c r="AH862" s="18"/>
      <c r="AI862" s="18"/>
      <c r="AJ862" s="18"/>
      <c r="AL862" s="18"/>
      <c r="AM862" s="18"/>
      <c r="AN862" s="18"/>
      <c r="AO862" s="18"/>
      <c r="AQ862" s="18"/>
    </row>
    <row r="863">
      <c r="B863" s="18"/>
      <c r="C863" s="18"/>
      <c r="G863" s="18"/>
      <c r="K863" s="18"/>
      <c r="L863" s="18"/>
      <c r="M863" s="18"/>
      <c r="AG863" s="18"/>
      <c r="AH863" s="18"/>
      <c r="AI863" s="18"/>
      <c r="AJ863" s="18"/>
      <c r="AL863" s="18"/>
      <c r="AM863" s="18"/>
      <c r="AN863" s="18"/>
      <c r="AO863" s="18"/>
      <c r="AQ863" s="18"/>
    </row>
    <row r="864">
      <c r="B864" s="18"/>
      <c r="C864" s="18"/>
      <c r="G864" s="18"/>
      <c r="K864" s="18"/>
      <c r="L864" s="18"/>
      <c r="M864" s="18"/>
      <c r="AG864" s="18"/>
      <c r="AH864" s="18"/>
      <c r="AI864" s="18"/>
      <c r="AJ864" s="18"/>
      <c r="AL864" s="18"/>
      <c r="AM864" s="18"/>
      <c r="AN864" s="18"/>
      <c r="AO864" s="18"/>
      <c r="AQ864" s="18"/>
    </row>
    <row r="865">
      <c r="B865" s="18"/>
      <c r="C865" s="18"/>
      <c r="G865" s="18"/>
      <c r="K865" s="18"/>
      <c r="L865" s="18"/>
      <c r="M865" s="18"/>
      <c r="AG865" s="18"/>
      <c r="AH865" s="18"/>
      <c r="AI865" s="18"/>
      <c r="AJ865" s="18"/>
      <c r="AL865" s="18"/>
      <c r="AM865" s="18"/>
      <c r="AN865" s="18"/>
      <c r="AO865" s="18"/>
      <c r="AQ865" s="18"/>
    </row>
    <row r="866">
      <c r="B866" s="18"/>
      <c r="C866" s="18"/>
      <c r="G866" s="18"/>
      <c r="K866" s="18"/>
      <c r="L866" s="18"/>
      <c r="M866" s="18"/>
      <c r="AG866" s="18"/>
      <c r="AH866" s="18"/>
      <c r="AI866" s="18"/>
      <c r="AJ866" s="18"/>
      <c r="AL866" s="18"/>
      <c r="AM866" s="18"/>
      <c r="AN866" s="18"/>
      <c r="AO866" s="18"/>
      <c r="AQ866" s="18"/>
    </row>
    <row r="867">
      <c r="B867" s="18"/>
      <c r="C867" s="18"/>
      <c r="G867" s="18"/>
      <c r="K867" s="18"/>
      <c r="L867" s="18"/>
      <c r="M867" s="18"/>
      <c r="AG867" s="18"/>
      <c r="AH867" s="18"/>
      <c r="AI867" s="18"/>
      <c r="AJ867" s="18"/>
      <c r="AL867" s="18"/>
      <c r="AM867" s="18"/>
      <c r="AN867" s="18"/>
      <c r="AO867" s="18"/>
      <c r="AQ867" s="18"/>
    </row>
    <row r="868">
      <c r="B868" s="18"/>
      <c r="C868" s="18"/>
      <c r="G868" s="18"/>
      <c r="K868" s="18"/>
      <c r="L868" s="18"/>
      <c r="M868" s="18"/>
      <c r="AG868" s="18"/>
      <c r="AH868" s="18"/>
      <c r="AI868" s="18"/>
      <c r="AJ868" s="18"/>
      <c r="AL868" s="18"/>
      <c r="AM868" s="18"/>
      <c r="AN868" s="18"/>
      <c r="AO868" s="18"/>
      <c r="AQ868" s="18"/>
    </row>
    <row r="869">
      <c r="B869" s="18"/>
      <c r="C869" s="18"/>
      <c r="G869" s="18"/>
      <c r="K869" s="18"/>
      <c r="L869" s="18"/>
      <c r="M869" s="18"/>
      <c r="AG869" s="18"/>
      <c r="AH869" s="18"/>
      <c r="AI869" s="18"/>
      <c r="AJ869" s="18"/>
      <c r="AL869" s="18"/>
      <c r="AM869" s="18"/>
      <c r="AN869" s="18"/>
      <c r="AO869" s="18"/>
      <c r="AQ869" s="18"/>
    </row>
    <row r="870">
      <c r="B870" s="18"/>
      <c r="C870" s="18"/>
      <c r="G870" s="18"/>
      <c r="K870" s="18"/>
      <c r="L870" s="18"/>
      <c r="M870" s="18"/>
      <c r="AG870" s="18"/>
      <c r="AH870" s="18"/>
      <c r="AI870" s="18"/>
      <c r="AJ870" s="18"/>
      <c r="AL870" s="18"/>
      <c r="AM870" s="18"/>
      <c r="AN870" s="18"/>
      <c r="AO870" s="18"/>
      <c r="AQ870" s="18"/>
    </row>
    <row r="871">
      <c r="B871" s="18"/>
      <c r="C871" s="18"/>
      <c r="G871" s="18"/>
      <c r="K871" s="18"/>
      <c r="L871" s="18"/>
      <c r="M871" s="18"/>
      <c r="AG871" s="18"/>
      <c r="AH871" s="18"/>
      <c r="AI871" s="18"/>
      <c r="AJ871" s="18"/>
      <c r="AL871" s="18"/>
      <c r="AM871" s="18"/>
      <c r="AN871" s="18"/>
      <c r="AO871" s="18"/>
      <c r="AQ871" s="18"/>
    </row>
    <row r="872">
      <c r="B872" s="18"/>
      <c r="C872" s="18"/>
      <c r="G872" s="18"/>
      <c r="K872" s="18"/>
      <c r="L872" s="18"/>
      <c r="M872" s="18"/>
      <c r="AG872" s="18"/>
      <c r="AH872" s="18"/>
      <c r="AI872" s="18"/>
      <c r="AJ872" s="18"/>
      <c r="AL872" s="18"/>
      <c r="AM872" s="18"/>
      <c r="AN872" s="18"/>
      <c r="AO872" s="18"/>
      <c r="AQ872" s="18"/>
    </row>
    <row r="873">
      <c r="B873" s="18"/>
      <c r="C873" s="18"/>
      <c r="G873" s="18"/>
      <c r="K873" s="18"/>
      <c r="L873" s="18"/>
      <c r="M873" s="18"/>
      <c r="AG873" s="18"/>
      <c r="AH873" s="18"/>
      <c r="AI873" s="18"/>
      <c r="AJ873" s="18"/>
      <c r="AL873" s="18"/>
      <c r="AM873" s="18"/>
      <c r="AN873" s="18"/>
      <c r="AO873" s="18"/>
      <c r="AQ873" s="18"/>
    </row>
    <row r="874">
      <c r="B874" s="18"/>
      <c r="C874" s="18"/>
      <c r="G874" s="18"/>
      <c r="K874" s="18"/>
      <c r="L874" s="18"/>
      <c r="M874" s="18"/>
      <c r="AG874" s="18"/>
      <c r="AH874" s="18"/>
      <c r="AI874" s="18"/>
      <c r="AJ874" s="18"/>
      <c r="AL874" s="18"/>
      <c r="AM874" s="18"/>
      <c r="AN874" s="18"/>
      <c r="AO874" s="18"/>
      <c r="AQ874" s="18"/>
    </row>
    <row r="875">
      <c r="B875" s="18"/>
      <c r="C875" s="18"/>
      <c r="G875" s="18"/>
      <c r="K875" s="18"/>
      <c r="L875" s="18"/>
      <c r="M875" s="18"/>
      <c r="AG875" s="18"/>
      <c r="AH875" s="18"/>
      <c r="AI875" s="18"/>
      <c r="AJ875" s="18"/>
      <c r="AL875" s="18"/>
      <c r="AM875" s="18"/>
      <c r="AN875" s="18"/>
      <c r="AO875" s="18"/>
      <c r="AQ875" s="18"/>
    </row>
    <row r="876">
      <c r="B876" s="18"/>
      <c r="C876" s="18"/>
      <c r="G876" s="18"/>
      <c r="K876" s="18"/>
      <c r="L876" s="18"/>
      <c r="M876" s="18"/>
      <c r="AG876" s="18"/>
      <c r="AH876" s="18"/>
      <c r="AI876" s="18"/>
      <c r="AJ876" s="18"/>
      <c r="AL876" s="18"/>
      <c r="AM876" s="18"/>
      <c r="AN876" s="18"/>
      <c r="AO876" s="18"/>
      <c r="AQ876" s="18"/>
    </row>
    <row r="877">
      <c r="B877" s="18"/>
      <c r="C877" s="18"/>
      <c r="G877" s="18"/>
      <c r="K877" s="18"/>
      <c r="L877" s="18"/>
      <c r="M877" s="18"/>
      <c r="AG877" s="18"/>
      <c r="AH877" s="18"/>
      <c r="AI877" s="18"/>
      <c r="AJ877" s="18"/>
      <c r="AL877" s="18"/>
      <c r="AM877" s="18"/>
      <c r="AN877" s="18"/>
      <c r="AO877" s="18"/>
      <c r="AQ877" s="18"/>
    </row>
    <row r="878">
      <c r="B878" s="18"/>
      <c r="C878" s="18"/>
      <c r="G878" s="18"/>
      <c r="K878" s="18"/>
      <c r="L878" s="18"/>
      <c r="M878" s="18"/>
      <c r="AG878" s="18"/>
      <c r="AH878" s="18"/>
      <c r="AI878" s="18"/>
      <c r="AJ878" s="18"/>
      <c r="AL878" s="18"/>
      <c r="AM878" s="18"/>
      <c r="AN878" s="18"/>
      <c r="AO878" s="18"/>
      <c r="AQ878" s="18"/>
    </row>
    <row r="879">
      <c r="B879" s="18"/>
      <c r="C879" s="18"/>
      <c r="G879" s="18"/>
      <c r="K879" s="18"/>
      <c r="L879" s="18"/>
      <c r="M879" s="18"/>
      <c r="AG879" s="18"/>
      <c r="AH879" s="18"/>
      <c r="AI879" s="18"/>
      <c r="AJ879" s="18"/>
      <c r="AL879" s="18"/>
      <c r="AM879" s="18"/>
      <c r="AN879" s="18"/>
      <c r="AO879" s="18"/>
      <c r="AQ879" s="18"/>
    </row>
    <row r="880">
      <c r="B880" s="18"/>
      <c r="C880" s="18"/>
      <c r="G880" s="18"/>
      <c r="K880" s="18"/>
      <c r="L880" s="18"/>
      <c r="M880" s="18"/>
      <c r="AG880" s="18"/>
      <c r="AH880" s="18"/>
      <c r="AI880" s="18"/>
      <c r="AJ880" s="18"/>
      <c r="AL880" s="18"/>
      <c r="AM880" s="18"/>
      <c r="AN880" s="18"/>
      <c r="AO880" s="18"/>
      <c r="AQ880" s="18"/>
    </row>
    <row r="881">
      <c r="B881" s="18"/>
      <c r="C881" s="18"/>
      <c r="G881" s="18"/>
      <c r="K881" s="18"/>
      <c r="L881" s="18"/>
      <c r="M881" s="18"/>
      <c r="AG881" s="18"/>
      <c r="AH881" s="18"/>
      <c r="AI881" s="18"/>
      <c r="AJ881" s="18"/>
      <c r="AL881" s="18"/>
      <c r="AM881" s="18"/>
      <c r="AN881" s="18"/>
      <c r="AO881" s="18"/>
      <c r="AQ881" s="18"/>
    </row>
    <row r="882">
      <c r="B882" s="18"/>
      <c r="C882" s="18"/>
      <c r="G882" s="18"/>
      <c r="K882" s="18"/>
      <c r="L882" s="18"/>
      <c r="M882" s="18"/>
      <c r="AG882" s="18"/>
      <c r="AH882" s="18"/>
      <c r="AI882" s="18"/>
      <c r="AJ882" s="18"/>
      <c r="AL882" s="18"/>
      <c r="AM882" s="18"/>
      <c r="AN882" s="18"/>
      <c r="AO882" s="18"/>
      <c r="AQ882" s="18"/>
    </row>
    <row r="883">
      <c r="B883" s="18"/>
      <c r="C883" s="18"/>
      <c r="G883" s="18"/>
      <c r="K883" s="18"/>
      <c r="L883" s="18"/>
      <c r="M883" s="18"/>
      <c r="AG883" s="18"/>
      <c r="AH883" s="18"/>
      <c r="AI883" s="18"/>
      <c r="AJ883" s="18"/>
      <c r="AL883" s="18"/>
      <c r="AM883" s="18"/>
      <c r="AN883" s="18"/>
      <c r="AO883" s="18"/>
      <c r="AQ883" s="18"/>
    </row>
    <row r="884">
      <c r="B884" s="18"/>
      <c r="C884" s="18"/>
      <c r="G884" s="18"/>
      <c r="K884" s="18"/>
      <c r="L884" s="18"/>
      <c r="M884" s="18"/>
      <c r="AG884" s="18"/>
      <c r="AH884" s="18"/>
      <c r="AI884" s="18"/>
      <c r="AJ884" s="18"/>
      <c r="AL884" s="18"/>
      <c r="AM884" s="18"/>
      <c r="AN884" s="18"/>
      <c r="AO884" s="18"/>
      <c r="AQ884" s="18"/>
    </row>
    <row r="885">
      <c r="B885" s="18"/>
      <c r="C885" s="18"/>
      <c r="G885" s="18"/>
      <c r="K885" s="18"/>
      <c r="L885" s="18"/>
      <c r="M885" s="18"/>
      <c r="AG885" s="18"/>
      <c r="AH885" s="18"/>
      <c r="AI885" s="18"/>
      <c r="AJ885" s="18"/>
      <c r="AL885" s="18"/>
      <c r="AM885" s="18"/>
      <c r="AN885" s="18"/>
      <c r="AO885" s="18"/>
      <c r="AQ885" s="18"/>
    </row>
    <row r="886">
      <c r="B886" s="18"/>
      <c r="C886" s="18"/>
      <c r="G886" s="18"/>
      <c r="K886" s="18"/>
      <c r="L886" s="18"/>
      <c r="M886" s="18"/>
      <c r="AG886" s="18"/>
      <c r="AH886" s="18"/>
      <c r="AI886" s="18"/>
      <c r="AJ886" s="18"/>
      <c r="AL886" s="18"/>
      <c r="AM886" s="18"/>
      <c r="AN886" s="18"/>
      <c r="AO886" s="18"/>
      <c r="AQ886" s="18"/>
    </row>
    <row r="887">
      <c r="B887" s="18"/>
      <c r="C887" s="18"/>
      <c r="G887" s="18"/>
      <c r="K887" s="18"/>
      <c r="L887" s="18"/>
      <c r="M887" s="18"/>
      <c r="AG887" s="18"/>
      <c r="AH887" s="18"/>
      <c r="AI887" s="18"/>
      <c r="AJ887" s="18"/>
      <c r="AL887" s="18"/>
      <c r="AM887" s="18"/>
      <c r="AN887" s="18"/>
      <c r="AO887" s="18"/>
      <c r="AQ887" s="18"/>
    </row>
    <row r="888">
      <c r="B888" s="18"/>
      <c r="C888" s="18"/>
      <c r="G888" s="18"/>
      <c r="K888" s="18"/>
      <c r="L888" s="18"/>
      <c r="M888" s="18"/>
      <c r="AG888" s="18"/>
      <c r="AH888" s="18"/>
      <c r="AI888" s="18"/>
      <c r="AJ888" s="18"/>
      <c r="AL888" s="18"/>
      <c r="AM888" s="18"/>
      <c r="AN888" s="18"/>
      <c r="AO888" s="18"/>
      <c r="AQ888" s="18"/>
    </row>
    <row r="889">
      <c r="B889" s="18"/>
      <c r="C889" s="18"/>
      <c r="G889" s="18"/>
      <c r="K889" s="18"/>
      <c r="L889" s="18"/>
      <c r="M889" s="18"/>
      <c r="AG889" s="18"/>
      <c r="AH889" s="18"/>
      <c r="AI889" s="18"/>
      <c r="AJ889" s="18"/>
      <c r="AL889" s="18"/>
      <c r="AM889" s="18"/>
      <c r="AN889" s="18"/>
      <c r="AO889" s="18"/>
      <c r="AQ889" s="18"/>
    </row>
    <row r="890">
      <c r="B890" s="18"/>
      <c r="C890" s="18"/>
      <c r="G890" s="18"/>
      <c r="K890" s="18"/>
      <c r="L890" s="18"/>
      <c r="M890" s="18"/>
      <c r="AG890" s="18"/>
      <c r="AH890" s="18"/>
      <c r="AI890" s="18"/>
      <c r="AJ890" s="18"/>
      <c r="AL890" s="18"/>
      <c r="AM890" s="18"/>
      <c r="AN890" s="18"/>
      <c r="AO890" s="18"/>
      <c r="AQ890" s="18"/>
    </row>
    <row r="891">
      <c r="B891" s="18"/>
      <c r="C891" s="18"/>
      <c r="G891" s="18"/>
      <c r="K891" s="18"/>
      <c r="L891" s="18"/>
      <c r="M891" s="18"/>
      <c r="AG891" s="18"/>
      <c r="AH891" s="18"/>
      <c r="AI891" s="18"/>
      <c r="AJ891" s="18"/>
      <c r="AL891" s="18"/>
      <c r="AM891" s="18"/>
      <c r="AN891" s="18"/>
      <c r="AO891" s="18"/>
      <c r="AQ891" s="18"/>
    </row>
    <row r="892">
      <c r="B892" s="18"/>
      <c r="C892" s="18"/>
      <c r="G892" s="18"/>
      <c r="K892" s="18"/>
      <c r="L892" s="18"/>
      <c r="M892" s="18"/>
      <c r="AG892" s="18"/>
      <c r="AH892" s="18"/>
      <c r="AI892" s="18"/>
      <c r="AJ892" s="18"/>
      <c r="AL892" s="18"/>
      <c r="AM892" s="18"/>
      <c r="AN892" s="18"/>
      <c r="AO892" s="18"/>
      <c r="AQ892" s="18"/>
    </row>
    <row r="893">
      <c r="B893" s="18"/>
      <c r="C893" s="18"/>
      <c r="G893" s="18"/>
      <c r="K893" s="18"/>
      <c r="L893" s="18"/>
      <c r="M893" s="18"/>
      <c r="AG893" s="18"/>
      <c r="AH893" s="18"/>
      <c r="AI893" s="18"/>
      <c r="AJ893" s="18"/>
      <c r="AL893" s="18"/>
      <c r="AM893" s="18"/>
      <c r="AN893" s="18"/>
      <c r="AO893" s="18"/>
      <c r="AQ893" s="18"/>
    </row>
    <row r="894">
      <c r="B894" s="18"/>
      <c r="C894" s="18"/>
      <c r="G894" s="18"/>
      <c r="K894" s="18"/>
      <c r="L894" s="18"/>
      <c r="M894" s="18"/>
      <c r="AG894" s="18"/>
      <c r="AH894" s="18"/>
      <c r="AI894" s="18"/>
      <c r="AJ894" s="18"/>
      <c r="AL894" s="18"/>
      <c r="AM894" s="18"/>
      <c r="AN894" s="18"/>
      <c r="AO894" s="18"/>
      <c r="AQ894" s="18"/>
    </row>
    <row r="895">
      <c r="B895" s="18"/>
      <c r="C895" s="18"/>
      <c r="G895" s="18"/>
      <c r="K895" s="18"/>
      <c r="L895" s="18"/>
      <c r="M895" s="18"/>
      <c r="AG895" s="18"/>
      <c r="AH895" s="18"/>
      <c r="AI895" s="18"/>
      <c r="AJ895" s="18"/>
      <c r="AL895" s="18"/>
      <c r="AM895" s="18"/>
      <c r="AN895" s="18"/>
      <c r="AO895" s="18"/>
      <c r="AQ895" s="18"/>
    </row>
    <row r="896">
      <c r="B896" s="18"/>
      <c r="C896" s="18"/>
      <c r="G896" s="18"/>
      <c r="K896" s="18"/>
      <c r="L896" s="18"/>
      <c r="M896" s="18"/>
      <c r="AG896" s="18"/>
      <c r="AH896" s="18"/>
      <c r="AI896" s="18"/>
      <c r="AJ896" s="18"/>
      <c r="AL896" s="18"/>
      <c r="AM896" s="18"/>
      <c r="AN896" s="18"/>
      <c r="AO896" s="18"/>
      <c r="AQ896" s="18"/>
    </row>
    <row r="897">
      <c r="B897" s="18"/>
      <c r="C897" s="18"/>
      <c r="G897" s="18"/>
      <c r="K897" s="18"/>
      <c r="L897" s="18"/>
      <c r="M897" s="18"/>
      <c r="AG897" s="18"/>
      <c r="AH897" s="18"/>
      <c r="AI897" s="18"/>
      <c r="AJ897" s="18"/>
      <c r="AL897" s="18"/>
      <c r="AM897" s="18"/>
      <c r="AN897" s="18"/>
      <c r="AO897" s="18"/>
      <c r="AQ897" s="18"/>
    </row>
    <row r="898">
      <c r="B898" s="18"/>
      <c r="C898" s="18"/>
      <c r="G898" s="18"/>
      <c r="K898" s="18"/>
      <c r="L898" s="18"/>
      <c r="M898" s="18"/>
      <c r="AG898" s="18"/>
      <c r="AH898" s="18"/>
      <c r="AI898" s="18"/>
      <c r="AJ898" s="18"/>
      <c r="AL898" s="18"/>
      <c r="AM898" s="18"/>
      <c r="AN898" s="18"/>
      <c r="AO898" s="18"/>
      <c r="AQ898" s="18"/>
    </row>
    <row r="899">
      <c r="B899" s="18"/>
      <c r="C899" s="18"/>
      <c r="G899" s="18"/>
      <c r="K899" s="18"/>
      <c r="L899" s="18"/>
      <c r="M899" s="18"/>
      <c r="AG899" s="18"/>
      <c r="AH899" s="18"/>
      <c r="AI899" s="18"/>
      <c r="AJ899" s="18"/>
      <c r="AL899" s="18"/>
      <c r="AM899" s="18"/>
      <c r="AN899" s="18"/>
      <c r="AO899" s="18"/>
      <c r="AQ899" s="18"/>
    </row>
    <row r="900">
      <c r="B900" s="18"/>
      <c r="C900" s="18"/>
      <c r="G900" s="18"/>
      <c r="K900" s="18"/>
      <c r="L900" s="18"/>
      <c r="M900" s="18"/>
      <c r="AG900" s="18"/>
      <c r="AH900" s="18"/>
      <c r="AI900" s="18"/>
      <c r="AJ900" s="18"/>
      <c r="AL900" s="18"/>
      <c r="AM900" s="18"/>
      <c r="AN900" s="18"/>
      <c r="AO900" s="18"/>
      <c r="AQ900" s="18"/>
    </row>
    <row r="901">
      <c r="B901" s="18"/>
      <c r="C901" s="18"/>
      <c r="G901" s="18"/>
      <c r="K901" s="18"/>
      <c r="L901" s="18"/>
      <c r="M901" s="18"/>
      <c r="AG901" s="18"/>
      <c r="AH901" s="18"/>
      <c r="AI901" s="18"/>
      <c r="AJ901" s="18"/>
      <c r="AL901" s="18"/>
      <c r="AM901" s="18"/>
      <c r="AN901" s="18"/>
      <c r="AO901" s="18"/>
      <c r="AQ901" s="18"/>
    </row>
    <row r="902">
      <c r="B902" s="18"/>
      <c r="C902" s="18"/>
      <c r="G902" s="18"/>
      <c r="K902" s="18"/>
      <c r="L902" s="18"/>
      <c r="M902" s="18"/>
      <c r="AG902" s="18"/>
      <c r="AH902" s="18"/>
      <c r="AI902" s="18"/>
      <c r="AJ902" s="18"/>
      <c r="AL902" s="18"/>
      <c r="AM902" s="18"/>
      <c r="AN902" s="18"/>
      <c r="AO902" s="18"/>
      <c r="AQ902" s="18"/>
    </row>
    <row r="903">
      <c r="B903" s="18"/>
      <c r="C903" s="18"/>
      <c r="G903" s="18"/>
      <c r="K903" s="18"/>
      <c r="L903" s="18"/>
      <c r="M903" s="18"/>
      <c r="AG903" s="18"/>
      <c r="AH903" s="18"/>
      <c r="AI903" s="18"/>
      <c r="AJ903" s="18"/>
      <c r="AL903" s="18"/>
      <c r="AM903" s="18"/>
      <c r="AN903" s="18"/>
      <c r="AO903" s="18"/>
      <c r="AQ903" s="18"/>
    </row>
    <row r="904">
      <c r="B904" s="18"/>
      <c r="C904" s="18"/>
      <c r="G904" s="18"/>
      <c r="K904" s="18"/>
      <c r="L904" s="18"/>
      <c r="M904" s="18"/>
      <c r="AG904" s="18"/>
      <c r="AH904" s="18"/>
      <c r="AI904" s="18"/>
      <c r="AJ904" s="18"/>
      <c r="AL904" s="18"/>
      <c r="AM904" s="18"/>
      <c r="AN904" s="18"/>
      <c r="AO904" s="18"/>
      <c r="AQ904" s="18"/>
    </row>
    <row r="905">
      <c r="B905" s="18"/>
      <c r="C905" s="18"/>
      <c r="G905" s="18"/>
      <c r="K905" s="18"/>
      <c r="L905" s="18"/>
      <c r="M905" s="18"/>
      <c r="AG905" s="18"/>
      <c r="AH905" s="18"/>
      <c r="AI905" s="18"/>
      <c r="AJ905" s="18"/>
      <c r="AL905" s="18"/>
      <c r="AM905" s="18"/>
      <c r="AN905" s="18"/>
      <c r="AO905" s="18"/>
      <c r="AQ905" s="18"/>
    </row>
    <row r="906">
      <c r="B906" s="18"/>
      <c r="C906" s="18"/>
      <c r="G906" s="18"/>
      <c r="K906" s="18"/>
      <c r="L906" s="18"/>
      <c r="M906" s="18"/>
      <c r="AG906" s="18"/>
      <c r="AH906" s="18"/>
      <c r="AI906" s="18"/>
      <c r="AJ906" s="18"/>
      <c r="AL906" s="18"/>
      <c r="AM906" s="18"/>
      <c r="AN906" s="18"/>
      <c r="AO906" s="18"/>
      <c r="AQ906" s="18"/>
    </row>
    <row r="907">
      <c r="B907" s="18"/>
      <c r="C907" s="18"/>
      <c r="G907" s="18"/>
      <c r="K907" s="18"/>
      <c r="L907" s="18"/>
      <c r="M907" s="18"/>
      <c r="AG907" s="18"/>
      <c r="AH907" s="18"/>
      <c r="AI907" s="18"/>
      <c r="AJ907" s="18"/>
      <c r="AL907" s="18"/>
      <c r="AM907" s="18"/>
      <c r="AN907" s="18"/>
      <c r="AO907" s="18"/>
      <c r="AQ907" s="18"/>
    </row>
    <row r="908">
      <c r="B908" s="18"/>
      <c r="C908" s="18"/>
      <c r="G908" s="18"/>
      <c r="K908" s="18"/>
      <c r="L908" s="18"/>
      <c r="M908" s="18"/>
      <c r="AG908" s="18"/>
      <c r="AH908" s="18"/>
      <c r="AI908" s="18"/>
      <c r="AJ908" s="18"/>
      <c r="AL908" s="18"/>
      <c r="AM908" s="18"/>
      <c r="AN908" s="18"/>
      <c r="AO908" s="18"/>
      <c r="AQ908" s="18"/>
    </row>
    <row r="909">
      <c r="B909" s="18"/>
      <c r="C909" s="18"/>
      <c r="G909" s="18"/>
      <c r="K909" s="18"/>
      <c r="L909" s="18"/>
      <c r="M909" s="18"/>
      <c r="AG909" s="18"/>
      <c r="AH909" s="18"/>
      <c r="AI909" s="18"/>
      <c r="AJ909" s="18"/>
      <c r="AL909" s="18"/>
      <c r="AM909" s="18"/>
      <c r="AN909" s="18"/>
      <c r="AO909" s="18"/>
      <c r="AQ909" s="18"/>
    </row>
    <row r="910">
      <c r="B910" s="18"/>
      <c r="C910" s="18"/>
      <c r="G910" s="18"/>
      <c r="K910" s="18"/>
      <c r="L910" s="18"/>
      <c r="M910" s="18"/>
      <c r="AG910" s="18"/>
      <c r="AH910" s="18"/>
      <c r="AI910" s="18"/>
      <c r="AJ910" s="18"/>
      <c r="AL910" s="18"/>
      <c r="AM910" s="18"/>
      <c r="AN910" s="18"/>
      <c r="AO910" s="18"/>
      <c r="AQ910" s="18"/>
    </row>
    <row r="911">
      <c r="B911" s="18"/>
      <c r="C911" s="18"/>
      <c r="G911" s="18"/>
      <c r="K911" s="18"/>
      <c r="L911" s="18"/>
      <c r="M911" s="18"/>
      <c r="AG911" s="18"/>
      <c r="AH911" s="18"/>
      <c r="AI911" s="18"/>
      <c r="AJ911" s="18"/>
      <c r="AL911" s="18"/>
      <c r="AM911" s="18"/>
      <c r="AN911" s="18"/>
      <c r="AO911" s="18"/>
      <c r="AQ911" s="18"/>
    </row>
    <row r="912">
      <c r="B912" s="18"/>
      <c r="C912" s="18"/>
      <c r="G912" s="18"/>
      <c r="K912" s="18"/>
      <c r="L912" s="18"/>
      <c r="M912" s="18"/>
      <c r="AG912" s="18"/>
      <c r="AH912" s="18"/>
      <c r="AI912" s="18"/>
      <c r="AJ912" s="18"/>
      <c r="AL912" s="18"/>
      <c r="AM912" s="18"/>
      <c r="AN912" s="18"/>
      <c r="AO912" s="18"/>
      <c r="AQ912" s="18"/>
    </row>
    <row r="913">
      <c r="B913" s="18"/>
      <c r="C913" s="18"/>
      <c r="G913" s="18"/>
      <c r="K913" s="18"/>
      <c r="L913" s="18"/>
      <c r="M913" s="18"/>
      <c r="AG913" s="18"/>
      <c r="AH913" s="18"/>
      <c r="AI913" s="18"/>
      <c r="AJ913" s="18"/>
      <c r="AL913" s="18"/>
      <c r="AM913" s="18"/>
      <c r="AN913" s="18"/>
      <c r="AO913" s="18"/>
      <c r="AQ913" s="18"/>
    </row>
    <row r="914">
      <c r="B914" s="18"/>
      <c r="C914" s="18"/>
      <c r="G914" s="18"/>
      <c r="K914" s="18"/>
      <c r="L914" s="18"/>
      <c r="M914" s="18"/>
      <c r="AG914" s="18"/>
      <c r="AH914" s="18"/>
      <c r="AI914" s="18"/>
      <c r="AJ914" s="18"/>
      <c r="AL914" s="18"/>
      <c r="AM914" s="18"/>
      <c r="AN914" s="18"/>
      <c r="AO914" s="18"/>
      <c r="AQ914" s="18"/>
    </row>
    <row r="915">
      <c r="B915" s="18"/>
      <c r="C915" s="18"/>
      <c r="G915" s="18"/>
      <c r="K915" s="18"/>
      <c r="L915" s="18"/>
      <c r="M915" s="18"/>
      <c r="AG915" s="18"/>
      <c r="AH915" s="18"/>
      <c r="AI915" s="18"/>
      <c r="AJ915" s="18"/>
      <c r="AL915" s="18"/>
      <c r="AM915" s="18"/>
      <c r="AN915" s="18"/>
      <c r="AO915" s="18"/>
      <c r="AQ915" s="18"/>
    </row>
    <row r="916">
      <c r="B916" s="18"/>
      <c r="C916" s="18"/>
      <c r="G916" s="18"/>
      <c r="K916" s="18"/>
      <c r="L916" s="18"/>
      <c r="M916" s="18"/>
      <c r="AG916" s="18"/>
      <c r="AH916" s="18"/>
      <c r="AI916" s="18"/>
      <c r="AJ916" s="18"/>
      <c r="AL916" s="18"/>
      <c r="AM916" s="18"/>
      <c r="AN916" s="18"/>
      <c r="AO916" s="18"/>
      <c r="AQ916" s="18"/>
    </row>
    <row r="917">
      <c r="B917" s="18"/>
      <c r="C917" s="18"/>
      <c r="G917" s="18"/>
      <c r="K917" s="18"/>
      <c r="L917" s="18"/>
      <c r="M917" s="18"/>
      <c r="AG917" s="18"/>
      <c r="AH917" s="18"/>
      <c r="AI917" s="18"/>
      <c r="AJ917" s="18"/>
      <c r="AL917" s="18"/>
      <c r="AM917" s="18"/>
      <c r="AN917" s="18"/>
      <c r="AO917" s="18"/>
      <c r="AQ917" s="18"/>
    </row>
    <row r="918">
      <c r="B918" s="18"/>
      <c r="C918" s="18"/>
      <c r="G918" s="18"/>
      <c r="K918" s="18"/>
      <c r="L918" s="18"/>
      <c r="M918" s="18"/>
      <c r="AG918" s="18"/>
      <c r="AH918" s="18"/>
      <c r="AI918" s="18"/>
      <c r="AJ918" s="18"/>
      <c r="AL918" s="18"/>
      <c r="AM918" s="18"/>
      <c r="AN918" s="18"/>
      <c r="AO918" s="18"/>
      <c r="AQ918" s="18"/>
    </row>
    <row r="919">
      <c r="B919" s="18"/>
      <c r="C919" s="18"/>
      <c r="G919" s="18"/>
      <c r="K919" s="18"/>
      <c r="L919" s="18"/>
      <c r="M919" s="18"/>
      <c r="AG919" s="18"/>
      <c r="AH919" s="18"/>
      <c r="AI919" s="18"/>
      <c r="AJ919" s="18"/>
      <c r="AL919" s="18"/>
      <c r="AM919" s="18"/>
      <c r="AN919" s="18"/>
      <c r="AO919" s="18"/>
      <c r="AQ919" s="18"/>
    </row>
    <row r="920">
      <c r="B920" s="18"/>
      <c r="C920" s="18"/>
      <c r="G920" s="18"/>
      <c r="K920" s="18"/>
      <c r="L920" s="18"/>
      <c r="M920" s="18"/>
      <c r="AG920" s="18"/>
      <c r="AH920" s="18"/>
      <c r="AI920" s="18"/>
      <c r="AJ920" s="18"/>
      <c r="AL920" s="18"/>
      <c r="AM920" s="18"/>
      <c r="AN920" s="18"/>
      <c r="AO920" s="18"/>
      <c r="AQ920" s="18"/>
    </row>
    <row r="921">
      <c r="B921" s="18"/>
      <c r="C921" s="18"/>
      <c r="G921" s="18"/>
      <c r="K921" s="18"/>
      <c r="L921" s="18"/>
      <c r="M921" s="18"/>
      <c r="AG921" s="18"/>
      <c r="AH921" s="18"/>
      <c r="AI921" s="18"/>
      <c r="AJ921" s="18"/>
      <c r="AL921" s="18"/>
      <c r="AM921" s="18"/>
      <c r="AN921" s="18"/>
      <c r="AO921" s="18"/>
      <c r="AQ921" s="18"/>
    </row>
    <row r="922">
      <c r="B922" s="18"/>
      <c r="C922" s="18"/>
      <c r="G922" s="18"/>
      <c r="K922" s="18"/>
      <c r="L922" s="18"/>
      <c r="M922" s="18"/>
      <c r="AG922" s="18"/>
      <c r="AH922" s="18"/>
      <c r="AI922" s="18"/>
      <c r="AJ922" s="18"/>
      <c r="AL922" s="18"/>
      <c r="AM922" s="18"/>
      <c r="AN922" s="18"/>
      <c r="AO922" s="18"/>
      <c r="AQ922" s="18"/>
    </row>
    <row r="923">
      <c r="B923" s="18"/>
      <c r="C923" s="18"/>
      <c r="G923" s="18"/>
      <c r="K923" s="18"/>
      <c r="L923" s="18"/>
      <c r="M923" s="18"/>
      <c r="AG923" s="18"/>
      <c r="AH923" s="18"/>
      <c r="AI923" s="18"/>
      <c r="AJ923" s="18"/>
      <c r="AL923" s="18"/>
      <c r="AM923" s="18"/>
      <c r="AN923" s="18"/>
      <c r="AO923" s="18"/>
      <c r="AQ923" s="18"/>
    </row>
    <row r="924">
      <c r="B924" s="18"/>
      <c r="C924" s="18"/>
      <c r="G924" s="18"/>
      <c r="K924" s="18"/>
      <c r="L924" s="18"/>
      <c r="M924" s="18"/>
      <c r="AG924" s="18"/>
      <c r="AH924" s="18"/>
      <c r="AI924" s="18"/>
      <c r="AJ924" s="18"/>
      <c r="AL924" s="18"/>
      <c r="AM924" s="18"/>
      <c r="AN924" s="18"/>
      <c r="AO924" s="18"/>
      <c r="AQ924" s="18"/>
    </row>
    <row r="925">
      <c r="B925" s="18"/>
      <c r="C925" s="18"/>
      <c r="G925" s="18"/>
      <c r="K925" s="18"/>
      <c r="L925" s="18"/>
      <c r="M925" s="18"/>
      <c r="AG925" s="18"/>
      <c r="AH925" s="18"/>
      <c r="AI925" s="18"/>
      <c r="AJ925" s="18"/>
      <c r="AL925" s="18"/>
      <c r="AM925" s="18"/>
      <c r="AN925" s="18"/>
      <c r="AO925" s="18"/>
      <c r="AQ925" s="18"/>
    </row>
    <row r="926">
      <c r="B926" s="18"/>
      <c r="C926" s="18"/>
      <c r="G926" s="18"/>
      <c r="K926" s="18"/>
      <c r="L926" s="18"/>
      <c r="M926" s="18"/>
      <c r="AG926" s="18"/>
      <c r="AH926" s="18"/>
      <c r="AI926" s="18"/>
      <c r="AJ926" s="18"/>
      <c r="AL926" s="18"/>
      <c r="AM926" s="18"/>
      <c r="AN926" s="18"/>
      <c r="AO926" s="18"/>
      <c r="AQ926" s="18"/>
    </row>
    <row r="927">
      <c r="B927" s="18"/>
      <c r="C927" s="18"/>
      <c r="G927" s="18"/>
      <c r="K927" s="18"/>
      <c r="L927" s="18"/>
      <c r="M927" s="18"/>
      <c r="AG927" s="18"/>
      <c r="AH927" s="18"/>
      <c r="AI927" s="18"/>
      <c r="AJ927" s="18"/>
      <c r="AL927" s="18"/>
      <c r="AM927" s="18"/>
      <c r="AN927" s="18"/>
      <c r="AO927" s="18"/>
      <c r="AQ927" s="18"/>
    </row>
    <row r="928">
      <c r="B928" s="18"/>
      <c r="C928" s="18"/>
      <c r="G928" s="18"/>
      <c r="K928" s="18"/>
      <c r="L928" s="18"/>
      <c r="M928" s="18"/>
      <c r="AG928" s="18"/>
      <c r="AH928" s="18"/>
      <c r="AI928" s="18"/>
      <c r="AJ928" s="18"/>
      <c r="AL928" s="18"/>
      <c r="AM928" s="18"/>
      <c r="AN928" s="18"/>
      <c r="AO928" s="18"/>
      <c r="AQ928" s="18"/>
    </row>
    <row r="929">
      <c r="B929" s="18"/>
      <c r="C929" s="18"/>
      <c r="G929" s="18"/>
      <c r="K929" s="18"/>
      <c r="L929" s="18"/>
      <c r="M929" s="18"/>
      <c r="AG929" s="18"/>
      <c r="AH929" s="18"/>
      <c r="AI929" s="18"/>
      <c r="AJ929" s="18"/>
      <c r="AL929" s="18"/>
      <c r="AM929" s="18"/>
      <c r="AN929" s="18"/>
      <c r="AO929" s="18"/>
      <c r="AQ929" s="18"/>
    </row>
    <row r="930">
      <c r="B930" s="18"/>
      <c r="C930" s="18"/>
      <c r="G930" s="18"/>
      <c r="K930" s="18"/>
      <c r="L930" s="18"/>
      <c r="M930" s="18"/>
      <c r="AG930" s="18"/>
      <c r="AH930" s="18"/>
      <c r="AI930" s="18"/>
      <c r="AJ930" s="18"/>
      <c r="AL930" s="18"/>
      <c r="AM930" s="18"/>
      <c r="AN930" s="18"/>
      <c r="AO930" s="18"/>
      <c r="AQ930" s="18"/>
    </row>
    <row r="931">
      <c r="B931" s="18"/>
      <c r="C931" s="18"/>
      <c r="G931" s="18"/>
      <c r="K931" s="18"/>
      <c r="L931" s="18"/>
      <c r="M931" s="18"/>
      <c r="AG931" s="18"/>
      <c r="AH931" s="18"/>
      <c r="AI931" s="18"/>
      <c r="AJ931" s="18"/>
      <c r="AL931" s="18"/>
      <c r="AM931" s="18"/>
      <c r="AN931" s="18"/>
      <c r="AO931" s="18"/>
      <c r="AQ931" s="18"/>
    </row>
    <row r="932">
      <c r="B932" s="18"/>
      <c r="C932" s="18"/>
      <c r="G932" s="18"/>
      <c r="K932" s="18"/>
      <c r="L932" s="18"/>
      <c r="M932" s="18"/>
      <c r="AG932" s="18"/>
      <c r="AH932" s="18"/>
      <c r="AI932" s="18"/>
      <c r="AJ932" s="18"/>
      <c r="AL932" s="18"/>
      <c r="AM932" s="18"/>
      <c r="AN932" s="18"/>
      <c r="AO932" s="18"/>
      <c r="AQ932" s="18"/>
    </row>
    <row r="933">
      <c r="B933" s="18"/>
      <c r="C933" s="18"/>
      <c r="G933" s="18"/>
      <c r="K933" s="18"/>
      <c r="L933" s="18"/>
      <c r="M933" s="18"/>
      <c r="AG933" s="18"/>
      <c r="AH933" s="18"/>
      <c r="AI933" s="18"/>
      <c r="AJ933" s="18"/>
      <c r="AL933" s="18"/>
      <c r="AM933" s="18"/>
      <c r="AN933" s="18"/>
      <c r="AO933" s="18"/>
      <c r="AQ933" s="18"/>
    </row>
    <row r="934">
      <c r="B934" s="18"/>
      <c r="C934" s="18"/>
      <c r="G934" s="18"/>
      <c r="K934" s="18"/>
      <c r="L934" s="18"/>
      <c r="M934" s="18"/>
      <c r="AG934" s="18"/>
      <c r="AH934" s="18"/>
      <c r="AI934" s="18"/>
      <c r="AJ934" s="18"/>
      <c r="AL934" s="18"/>
      <c r="AM934" s="18"/>
      <c r="AN934" s="18"/>
      <c r="AO934" s="18"/>
      <c r="AQ934" s="18"/>
    </row>
    <row r="935">
      <c r="B935" s="18"/>
      <c r="C935" s="18"/>
      <c r="G935" s="18"/>
      <c r="K935" s="18"/>
      <c r="L935" s="18"/>
      <c r="M935" s="18"/>
      <c r="AG935" s="18"/>
      <c r="AH935" s="18"/>
      <c r="AI935" s="18"/>
      <c r="AJ935" s="18"/>
      <c r="AL935" s="18"/>
      <c r="AM935" s="18"/>
      <c r="AN935" s="18"/>
      <c r="AO935" s="18"/>
      <c r="AQ935" s="18"/>
    </row>
    <row r="936">
      <c r="B936" s="18"/>
      <c r="C936" s="18"/>
      <c r="G936" s="18"/>
      <c r="K936" s="18"/>
      <c r="L936" s="18"/>
      <c r="M936" s="18"/>
      <c r="AG936" s="18"/>
      <c r="AH936" s="18"/>
      <c r="AI936" s="18"/>
      <c r="AJ936" s="18"/>
      <c r="AL936" s="18"/>
      <c r="AM936" s="18"/>
      <c r="AN936" s="18"/>
      <c r="AO936" s="18"/>
      <c r="AQ936" s="18"/>
    </row>
    <row r="937">
      <c r="B937" s="18"/>
      <c r="C937" s="18"/>
      <c r="G937" s="18"/>
      <c r="K937" s="18"/>
      <c r="L937" s="18"/>
      <c r="M937" s="18"/>
      <c r="AG937" s="18"/>
      <c r="AH937" s="18"/>
      <c r="AI937" s="18"/>
      <c r="AJ937" s="18"/>
      <c r="AL937" s="18"/>
      <c r="AM937" s="18"/>
      <c r="AN937" s="18"/>
      <c r="AO937" s="18"/>
      <c r="AQ937" s="18"/>
    </row>
    <row r="938">
      <c r="B938" s="18"/>
      <c r="C938" s="18"/>
      <c r="G938" s="18"/>
      <c r="K938" s="18"/>
      <c r="L938" s="18"/>
      <c r="M938" s="18"/>
      <c r="AG938" s="18"/>
      <c r="AH938" s="18"/>
      <c r="AI938" s="18"/>
      <c r="AJ938" s="18"/>
      <c r="AL938" s="18"/>
      <c r="AM938" s="18"/>
      <c r="AN938" s="18"/>
      <c r="AO938" s="18"/>
      <c r="AQ938" s="18"/>
    </row>
    <row r="939">
      <c r="B939" s="18"/>
      <c r="C939" s="18"/>
      <c r="G939" s="18"/>
      <c r="K939" s="18"/>
      <c r="L939" s="18"/>
      <c r="M939" s="18"/>
      <c r="AG939" s="18"/>
      <c r="AH939" s="18"/>
      <c r="AI939" s="18"/>
      <c r="AJ939" s="18"/>
      <c r="AL939" s="18"/>
      <c r="AM939" s="18"/>
      <c r="AN939" s="18"/>
      <c r="AO939" s="18"/>
      <c r="AQ939" s="18"/>
    </row>
    <row r="940">
      <c r="B940" s="18"/>
      <c r="C940" s="18"/>
      <c r="G940" s="18"/>
      <c r="K940" s="18"/>
      <c r="L940" s="18"/>
      <c r="M940" s="18"/>
      <c r="AG940" s="18"/>
      <c r="AH940" s="18"/>
      <c r="AI940" s="18"/>
      <c r="AJ940" s="18"/>
      <c r="AL940" s="18"/>
      <c r="AM940" s="18"/>
      <c r="AN940" s="18"/>
      <c r="AO940" s="18"/>
      <c r="AQ940" s="18"/>
    </row>
    <row r="941">
      <c r="B941" s="18"/>
      <c r="C941" s="18"/>
      <c r="G941" s="18"/>
      <c r="K941" s="18"/>
      <c r="L941" s="18"/>
      <c r="M941" s="18"/>
      <c r="AG941" s="18"/>
      <c r="AH941" s="18"/>
      <c r="AI941" s="18"/>
      <c r="AJ941" s="18"/>
      <c r="AL941" s="18"/>
      <c r="AM941" s="18"/>
      <c r="AN941" s="18"/>
      <c r="AO941" s="18"/>
      <c r="AQ941" s="18"/>
    </row>
    <row r="942">
      <c r="B942" s="18"/>
      <c r="C942" s="18"/>
      <c r="G942" s="18"/>
      <c r="K942" s="18"/>
      <c r="L942" s="18"/>
      <c r="M942" s="18"/>
      <c r="AG942" s="18"/>
      <c r="AH942" s="18"/>
      <c r="AI942" s="18"/>
      <c r="AJ942" s="18"/>
      <c r="AL942" s="18"/>
      <c r="AM942" s="18"/>
      <c r="AN942" s="18"/>
      <c r="AO942" s="18"/>
      <c r="AQ942" s="18"/>
    </row>
    <row r="943">
      <c r="B943" s="18"/>
      <c r="C943" s="18"/>
      <c r="G943" s="18"/>
      <c r="K943" s="18"/>
      <c r="L943" s="18"/>
      <c r="M943" s="18"/>
      <c r="AG943" s="18"/>
      <c r="AH943" s="18"/>
      <c r="AI943" s="18"/>
      <c r="AJ943" s="18"/>
      <c r="AL943" s="18"/>
      <c r="AM943" s="18"/>
      <c r="AN943" s="18"/>
      <c r="AO943" s="18"/>
      <c r="AQ943" s="18"/>
    </row>
    <row r="944">
      <c r="B944" s="18"/>
      <c r="C944" s="18"/>
      <c r="G944" s="18"/>
      <c r="K944" s="18"/>
      <c r="L944" s="18"/>
      <c r="M944" s="18"/>
      <c r="AG944" s="18"/>
      <c r="AH944" s="18"/>
      <c r="AI944" s="18"/>
      <c r="AJ944" s="18"/>
      <c r="AL944" s="18"/>
      <c r="AM944" s="18"/>
      <c r="AN944" s="18"/>
      <c r="AO944" s="18"/>
      <c r="AQ944" s="18"/>
    </row>
    <row r="945">
      <c r="B945" s="18"/>
      <c r="C945" s="18"/>
      <c r="G945" s="18"/>
      <c r="K945" s="18"/>
      <c r="L945" s="18"/>
      <c r="M945" s="18"/>
      <c r="AG945" s="18"/>
      <c r="AH945" s="18"/>
      <c r="AI945" s="18"/>
      <c r="AJ945" s="18"/>
      <c r="AL945" s="18"/>
      <c r="AM945" s="18"/>
      <c r="AN945" s="18"/>
      <c r="AO945" s="18"/>
      <c r="AQ945" s="18"/>
    </row>
    <row r="946">
      <c r="B946" s="18"/>
      <c r="C946" s="18"/>
      <c r="G946" s="18"/>
      <c r="K946" s="18"/>
      <c r="L946" s="18"/>
      <c r="M946" s="18"/>
      <c r="AG946" s="18"/>
      <c r="AH946" s="18"/>
      <c r="AI946" s="18"/>
      <c r="AJ946" s="18"/>
      <c r="AL946" s="18"/>
      <c r="AM946" s="18"/>
      <c r="AN946" s="18"/>
      <c r="AO946" s="18"/>
      <c r="AQ946" s="18"/>
    </row>
    <row r="947">
      <c r="B947" s="18"/>
      <c r="C947" s="18"/>
      <c r="G947" s="18"/>
      <c r="K947" s="18"/>
      <c r="L947" s="18"/>
      <c r="M947" s="18"/>
      <c r="AG947" s="18"/>
      <c r="AH947" s="18"/>
      <c r="AI947" s="18"/>
      <c r="AJ947" s="18"/>
      <c r="AL947" s="18"/>
      <c r="AM947" s="18"/>
      <c r="AN947" s="18"/>
      <c r="AO947" s="18"/>
      <c r="AQ947" s="18"/>
    </row>
    <row r="948">
      <c r="B948" s="18"/>
      <c r="C948" s="18"/>
      <c r="G948" s="18"/>
      <c r="K948" s="18"/>
      <c r="L948" s="18"/>
      <c r="M948" s="18"/>
      <c r="AG948" s="18"/>
      <c r="AH948" s="18"/>
      <c r="AI948" s="18"/>
      <c r="AJ948" s="18"/>
      <c r="AL948" s="18"/>
      <c r="AM948" s="18"/>
      <c r="AN948" s="18"/>
      <c r="AO948" s="18"/>
      <c r="AQ948" s="18"/>
    </row>
    <row r="949">
      <c r="B949" s="18"/>
      <c r="C949" s="18"/>
      <c r="G949" s="18"/>
      <c r="K949" s="18"/>
      <c r="L949" s="18"/>
      <c r="M949" s="18"/>
      <c r="AG949" s="18"/>
      <c r="AH949" s="18"/>
      <c r="AI949" s="18"/>
      <c r="AJ949" s="18"/>
      <c r="AL949" s="18"/>
      <c r="AM949" s="18"/>
      <c r="AN949" s="18"/>
      <c r="AO949" s="18"/>
      <c r="AQ949" s="18"/>
    </row>
    <row r="950">
      <c r="B950" s="18"/>
      <c r="C950" s="18"/>
      <c r="G950" s="18"/>
      <c r="K950" s="18"/>
      <c r="L950" s="18"/>
      <c r="M950" s="18"/>
      <c r="AG950" s="18"/>
      <c r="AH950" s="18"/>
      <c r="AI950" s="18"/>
      <c r="AJ950" s="18"/>
      <c r="AL950" s="18"/>
      <c r="AM950" s="18"/>
      <c r="AN950" s="18"/>
      <c r="AO950" s="18"/>
      <c r="AQ950" s="18"/>
    </row>
    <row r="951">
      <c r="B951" s="18"/>
      <c r="C951" s="18"/>
      <c r="G951" s="18"/>
      <c r="K951" s="18"/>
      <c r="L951" s="18"/>
      <c r="M951" s="18"/>
      <c r="AG951" s="18"/>
      <c r="AH951" s="18"/>
      <c r="AI951" s="18"/>
      <c r="AJ951" s="18"/>
      <c r="AL951" s="18"/>
      <c r="AM951" s="18"/>
      <c r="AN951" s="18"/>
      <c r="AO951" s="18"/>
      <c r="AQ951" s="18"/>
    </row>
    <row r="952">
      <c r="B952" s="18"/>
      <c r="C952" s="18"/>
      <c r="G952" s="18"/>
      <c r="K952" s="18"/>
      <c r="L952" s="18"/>
      <c r="M952" s="18"/>
      <c r="AG952" s="18"/>
      <c r="AH952" s="18"/>
      <c r="AI952" s="18"/>
      <c r="AJ952" s="18"/>
      <c r="AL952" s="18"/>
      <c r="AM952" s="18"/>
      <c r="AN952" s="18"/>
      <c r="AO952" s="18"/>
      <c r="AQ952" s="18"/>
    </row>
    <row r="953">
      <c r="B953" s="18"/>
      <c r="C953" s="18"/>
      <c r="G953" s="18"/>
      <c r="K953" s="18"/>
      <c r="L953" s="18"/>
      <c r="M953" s="18"/>
      <c r="AG953" s="18"/>
      <c r="AH953" s="18"/>
      <c r="AI953" s="18"/>
      <c r="AJ953" s="18"/>
      <c r="AL953" s="18"/>
      <c r="AM953" s="18"/>
      <c r="AN953" s="18"/>
      <c r="AO953" s="18"/>
      <c r="AQ953" s="18"/>
    </row>
    <row r="954">
      <c r="B954" s="18"/>
      <c r="C954" s="18"/>
      <c r="G954" s="18"/>
      <c r="K954" s="18"/>
      <c r="L954" s="18"/>
      <c r="M954" s="18"/>
      <c r="AG954" s="18"/>
      <c r="AH954" s="18"/>
      <c r="AI954" s="18"/>
      <c r="AJ954" s="18"/>
      <c r="AL954" s="18"/>
      <c r="AM954" s="18"/>
      <c r="AN954" s="18"/>
      <c r="AO954" s="18"/>
      <c r="AQ954" s="18"/>
    </row>
    <row r="955">
      <c r="B955" s="18"/>
      <c r="C955" s="18"/>
      <c r="G955" s="18"/>
      <c r="K955" s="18"/>
      <c r="L955" s="18"/>
      <c r="M955" s="18"/>
      <c r="AG955" s="18"/>
      <c r="AH955" s="18"/>
      <c r="AI955" s="18"/>
      <c r="AJ955" s="18"/>
      <c r="AL955" s="18"/>
      <c r="AM955" s="18"/>
      <c r="AN955" s="18"/>
      <c r="AO955" s="18"/>
      <c r="AQ955" s="18"/>
    </row>
    <row r="956">
      <c r="B956" s="18"/>
      <c r="C956" s="18"/>
      <c r="G956" s="18"/>
      <c r="K956" s="18"/>
      <c r="L956" s="18"/>
      <c r="M956" s="18"/>
      <c r="AG956" s="18"/>
      <c r="AH956" s="18"/>
      <c r="AI956" s="18"/>
      <c r="AJ956" s="18"/>
      <c r="AL956" s="18"/>
      <c r="AM956" s="18"/>
      <c r="AN956" s="18"/>
      <c r="AO956" s="18"/>
      <c r="AQ956" s="18"/>
    </row>
    <row r="957">
      <c r="B957" s="18"/>
      <c r="C957" s="18"/>
      <c r="G957" s="18"/>
      <c r="K957" s="18"/>
      <c r="L957" s="18"/>
      <c r="M957" s="18"/>
      <c r="AG957" s="18"/>
      <c r="AH957" s="18"/>
      <c r="AI957" s="18"/>
      <c r="AJ957" s="18"/>
      <c r="AL957" s="18"/>
      <c r="AM957" s="18"/>
      <c r="AN957" s="18"/>
      <c r="AO957" s="18"/>
      <c r="AQ957" s="18"/>
    </row>
    <row r="958">
      <c r="B958" s="18"/>
      <c r="C958" s="18"/>
      <c r="G958" s="18"/>
      <c r="K958" s="18"/>
      <c r="L958" s="18"/>
      <c r="M958" s="18"/>
      <c r="AG958" s="18"/>
      <c r="AH958" s="18"/>
      <c r="AI958" s="18"/>
      <c r="AJ958" s="18"/>
      <c r="AL958" s="18"/>
      <c r="AM958" s="18"/>
      <c r="AN958" s="18"/>
      <c r="AO958" s="18"/>
      <c r="AQ958" s="18"/>
    </row>
    <row r="959">
      <c r="B959" s="18"/>
      <c r="C959" s="18"/>
      <c r="G959" s="18"/>
      <c r="K959" s="18"/>
      <c r="L959" s="18"/>
      <c r="M959" s="18"/>
      <c r="AG959" s="18"/>
      <c r="AH959" s="18"/>
      <c r="AI959" s="18"/>
      <c r="AJ959" s="18"/>
      <c r="AL959" s="18"/>
      <c r="AM959" s="18"/>
      <c r="AN959" s="18"/>
      <c r="AO959" s="18"/>
      <c r="AQ959" s="18"/>
    </row>
    <row r="960">
      <c r="B960" s="18"/>
      <c r="C960" s="18"/>
      <c r="G960" s="18"/>
      <c r="K960" s="18"/>
      <c r="L960" s="18"/>
      <c r="M960" s="18"/>
      <c r="AG960" s="18"/>
      <c r="AH960" s="18"/>
      <c r="AI960" s="18"/>
      <c r="AJ960" s="18"/>
      <c r="AL960" s="18"/>
      <c r="AM960" s="18"/>
      <c r="AN960" s="18"/>
      <c r="AO960" s="18"/>
      <c r="AQ960" s="18"/>
    </row>
    <row r="961">
      <c r="B961" s="18"/>
      <c r="C961" s="18"/>
      <c r="G961" s="18"/>
      <c r="K961" s="18"/>
      <c r="L961" s="18"/>
      <c r="M961" s="18"/>
      <c r="AG961" s="18"/>
      <c r="AH961" s="18"/>
      <c r="AI961" s="18"/>
      <c r="AJ961" s="18"/>
      <c r="AL961" s="18"/>
      <c r="AM961" s="18"/>
      <c r="AN961" s="18"/>
      <c r="AO961" s="18"/>
      <c r="AQ961" s="18"/>
    </row>
    <row r="962">
      <c r="B962" s="18"/>
      <c r="C962" s="18"/>
      <c r="G962" s="18"/>
      <c r="K962" s="18"/>
      <c r="L962" s="18"/>
      <c r="M962" s="18"/>
      <c r="AG962" s="18"/>
      <c r="AH962" s="18"/>
      <c r="AI962" s="18"/>
      <c r="AJ962" s="18"/>
      <c r="AL962" s="18"/>
      <c r="AM962" s="18"/>
      <c r="AN962" s="18"/>
      <c r="AO962" s="18"/>
      <c r="AQ962" s="18"/>
    </row>
    <row r="963">
      <c r="B963" s="18"/>
      <c r="C963" s="18"/>
      <c r="G963" s="18"/>
      <c r="K963" s="18"/>
      <c r="L963" s="18"/>
      <c r="M963" s="18"/>
      <c r="AG963" s="18"/>
      <c r="AH963" s="18"/>
      <c r="AI963" s="18"/>
      <c r="AJ963" s="18"/>
      <c r="AL963" s="18"/>
      <c r="AM963" s="18"/>
      <c r="AN963" s="18"/>
      <c r="AO963" s="18"/>
      <c r="AQ963" s="18"/>
    </row>
    <row r="964">
      <c r="B964" s="18"/>
      <c r="C964" s="18"/>
      <c r="G964" s="18"/>
      <c r="K964" s="18"/>
      <c r="L964" s="18"/>
      <c r="M964" s="18"/>
      <c r="AG964" s="18"/>
      <c r="AH964" s="18"/>
      <c r="AI964" s="18"/>
      <c r="AJ964" s="18"/>
      <c r="AL964" s="18"/>
      <c r="AM964" s="18"/>
      <c r="AN964" s="18"/>
      <c r="AO964" s="18"/>
      <c r="AQ964" s="18"/>
    </row>
    <row r="965">
      <c r="B965" s="18"/>
      <c r="C965" s="18"/>
      <c r="G965" s="18"/>
      <c r="K965" s="18"/>
      <c r="L965" s="18"/>
      <c r="M965" s="18"/>
      <c r="AG965" s="18"/>
      <c r="AH965" s="18"/>
      <c r="AI965" s="18"/>
      <c r="AJ965" s="18"/>
      <c r="AL965" s="18"/>
      <c r="AM965" s="18"/>
      <c r="AN965" s="18"/>
      <c r="AO965" s="18"/>
      <c r="AQ965" s="18"/>
    </row>
    <row r="966">
      <c r="B966" s="18"/>
      <c r="C966" s="18"/>
      <c r="G966" s="18"/>
      <c r="K966" s="18"/>
      <c r="L966" s="18"/>
      <c r="M966" s="18"/>
      <c r="AG966" s="18"/>
      <c r="AH966" s="18"/>
      <c r="AI966" s="18"/>
      <c r="AJ966" s="18"/>
      <c r="AL966" s="18"/>
      <c r="AM966" s="18"/>
      <c r="AN966" s="18"/>
      <c r="AO966" s="18"/>
      <c r="AQ966" s="18"/>
    </row>
    <row r="967">
      <c r="B967" s="18"/>
      <c r="C967" s="18"/>
      <c r="G967" s="18"/>
      <c r="K967" s="18"/>
      <c r="L967" s="18"/>
      <c r="M967" s="18"/>
      <c r="AG967" s="18"/>
      <c r="AH967" s="18"/>
      <c r="AI967" s="18"/>
      <c r="AJ967" s="18"/>
      <c r="AL967" s="18"/>
      <c r="AM967" s="18"/>
      <c r="AN967" s="18"/>
      <c r="AO967" s="18"/>
      <c r="AQ967" s="18"/>
    </row>
    <row r="968">
      <c r="B968" s="18"/>
      <c r="C968" s="18"/>
      <c r="G968" s="18"/>
      <c r="K968" s="18"/>
      <c r="L968" s="18"/>
      <c r="M968" s="18"/>
      <c r="AG968" s="18"/>
      <c r="AH968" s="18"/>
      <c r="AI968" s="18"/>
      <c r="AJ968" s="18"/>
      <c r="AL968" s="18"/>
      <c r="AM968" s="18"/>
      <c r="AN968" s="18"/>
      <c r="AO968" s="18"/>
      <c r="AQ968" s="18"/>
    </row>
    <row r="969">
      <c r="B969" s="18"/>
      <c r="C969" s="18"/>
      <c r="G969" s="18"/>
      <c r="K969" s="18"/>
      <c r="L969" s="18"/>
      <c r="M969" s="18"/>
      <c r="AG969" s="18"/>
      <c r="AH969" s="18"/>
      <c r="AI969" s="18"/>
      <c r="AJ969" s="18"/>
      <c r="AL969" s="18"/>
      <c r="AM969" s="18"/>
      <c r="AN969" s="18"/>
      <c r="AO969" s="18"/>
      <c r="AQ969" s="18"/>
    </row>
    <row r="970">
      <c r="B970" s="18"/>
      <c r="C970" s="18"/>
      <c r="G970" s="18"/>
      <c r="K970" s="18"/>
      <c r="L970" s="18"/>
      <c r="M970" s="18"/>
      <c r="AG970" s="18"/>
      <c r="AH970" s="18"/>
      <c r="AI970" s="18"/>
      <c r="AJ970" s="18"/>
      <c r="AL970" s="18"/>
      <c r="AM970" s="18"/>
      <c r="AN970" s="18"/>
      <c r="AO970" s="18"/>
      <c r="AQ970" s="18"/>
    </row>
    <row r="971">
      <c r="B971" s="18"/>
      <c r="C971" s="18"/>
      <c r="G971" s="18"/>
      <c r="K971" s="18"/>
      <c r="L971" s="18"/>
      <c r="M971" s="18"/>
      <c r="AG971" s="18"/>
      <c r="AH971" s="18"/>
      <c r="AI971" s="18"/>
      <c r="AJ971" s="18"/>
      <c r="AL971" s="18"/>
      <c r="AM971" s="18"/>
      <c r="AN971" s="18"/>
      <c r="AO971" s="18"/>
      <c r="AQ971" s="18"/>
    </row>
    <row r="972">
      <c r="B972" s="18"/>
      <c r="C972" s="18"/>
      <c r="G972" s="18"/>
      <c r="K972" s="18"/>
      <c r="L972" s="18"/>
      <c r="M972" s="18"/>
      <c r="AG972" s="18"/>
      <c r="AH972" s="18"/>
      <c r="AI972" s="18"/>
      <c r="AJ972" s="18"/>
      <c r="AL972" s="18"/>
      <c r="AM972" s="18"/>
      <c r="AN972" s="18"/>
      <c r="AO972" s="18"/>
      <c r="AQ972" s="18"/>
    </row>
    <row r="973">
      <c r="B973" s="18"/>
      <c r="C973" s="18"/>
      <c r="G973" s="18"/>
      <c r="K973" s="18"/>
      <c r="L973" s="18"/>
      <c r="M973" s="18"/>
      <c r="AG973" s="18"/>
      <c r="AH973" s="18"/>
      <c r="AI973" s="18"/>
      <c r="AJ973" s="18"/>
      <c r="AL973" s="18"/>
      <c r="AM973" s="18"/>
      <c r="AN973" s="18"/>
      <c r="AO973" s="18"/>
      <c r="AQ973" s="18"/>
    </row>
    <row r="974">
      <c r="B974" s="18"/>
      <c r="C974" s="18"/>
      <c r="G974" s="18"/>
      <c r="K974" s="18"/>
      <c r="L974" s="18"/>
      <c r="M974" s="18"/>
      <c r="AG974" s="18"/>
      <c r="AH974" s="18"/>
      <c r="AI974" s="18"/>
      <c r="AJ974" s="18"/>
      <c r="AL974" s="18"/>
      <c r="AM974" s="18"/>
      <c r="AN974" s="18"/>
      <c r="AO974" s="18"/>
      <c r="AQ974" s="18"/>
    </row>
    <row r="975">
      <c r="B975" s="18"/>
      <c r="C975" s="18"/>
      <c r="G975" s="18"/>
      <c r="K975" s="18"/>
      <c r="L975" s="18"/>
      <c r="M975" s="18"/>
      <c r="AG975" s="18"/>
      <c r="AH975" s="18"/>
      <c r="AI975" s="18"/>
      <c r="AJ975" s="18"/>
      <c r="AL975" s="18"/>
      <c r="AM975" s="18"/>
      <c r="AN975" s="18"/>
      <c r="AO975" s="18"/>
      <c r="AQ975" s="18"/>
    </row>
    <row r="976">
      <c r="B976" s="18"/>
      <c r="C976" s="18"/>
      <c r="G976" s="18"/>
      <c r="K976" s="18"/>
      <c r="L976" s="18"/>
      <c r="M976" s="18"/>
      <c r="AG976" s="18"/>
      <c r="AH976" s="18"/>
      <c r="AI976" s="18"/>
      <c r="AJ976" s="18"/>
      <c r="AL976" s="18"/>
      <c r="AM976" s="18"/>
      <c r="AN976" s="18"/>
      <c r="AO976" s="18"/>
      <c r="AQ976" s="18"/>
    </row>
    <row r="977">
      <c r="B977" s="18"/>
      <c r="C977" s="18"/>
      <c r="G977" s="18"/>
      <c r="K977" s="18"/>
      <c r="L977" s="18"/>
      <c r="M977" s="18"/>
      <c r="AG977" s="18"/>
      <c r="AH977" s="18"/>
      <c r="AI977" s="18"/>
      <c r="AJ977" s="18"/>
      <c r="AL977" s="18"/>
      <c r="AM977" s="18"/>
      <c r="AN977" s="18"/>
      <c r="AO977" s="18"/>
      <c r="AQ977" s="18"/>
    </row>
    <row r="978">
      <c r="B978" s="18"/>
      <c r="C978" s="18"/>
      <c r="G978" s="18"/>
      <c r="K978" s="18"/>
      <c r="L978" s="18"/>
      <c r="M978" s="18"/>
      <c r="AG978" s="18"/>
      <c r="AH978" s="18"/>
      <c r="AI978" s="18"/>
      <c r="AJ978" s="18"/>
      <c r="AL978" s="18"/>
      <c r="AM978" s="18"/>
      <c r="AN978" s="18"/>
      <c r="AO978" s="18"/>
      <c r="AQ978" s="18"/>
    </row>
    <row r="979">
      <c r="B979" s="18"/>
      <c r="C979" s="18"/>
      <c r="G979" s="18"/>
      <c r="K979" s="18"/>
      <c r="L979" s="18"/>
      <c r="M979" s="18"/>
      <c r="AG979" s="18"/>
      <c r="AH979" s="18"/>
      <c r="AI979" s="18"/>
      <c r="AJ979" s="18"/>
      <c r="AL979" s="18"/>
      <c r="AM979" s="18"/>
      <c r="AN979" s="18"/>
      <c r="AO979" s="18"/>
      <c r="AQ979" s="18"/>
    </row>
    <row r="980">
      <c r="B980" s="18"/>
      <c r="C980" s="18"/>
      <c r="G980" s="18"/>
      <c r="K980" s="18"/>
      <c r="L980" s="18"/>
      <c r="M980" s="18"/>
      <c r="AG980" s="18"/>
      <c r="AH980" s="18"/>
      <c r="AI980" s="18"/>
      <c r="AJ980" s="18"/>
      <c r="AL980" s="18"/>
      <c r="AM980" s="18"/>
      <c r="AN980" s="18"/>
      <c r="AO980" s="18"/>
      <c r="AQ980" s="18"/>
    </row>
    <row r="981">
      <c r="B981" s="18"/>
      <c r="C981" s="18"/>
      <c r="G981" s="18"/>
      <c r="K981" s="18"/>
      <c r="L981" s="18"/>
      <c r="M981" s="18"/>
      <c r="AG981" s="18"/>
      <c r="AH981" s="18"/>
      <c r="AI981" s="18"/>
      <c r="AJ981" s="18"/>
      <c r="AL981" s="18"/>
      <c r="AM981" s="18"/>
      <c r="AN981" s="18"/>
      <c r="AO981" s="18"/>
      <c r="AQ981" s="18"/>
    </row>
    <row r="982">
      <c r="B982" s="18"/>
      <c r="C982" s="18"/>
      <c r="G982" s="18"/>
      <c r="K982" s="18"/>
      <c r="L982" s="18"/>
      <c r="M982" s="18"/>
      <c r="AG982" s="18"/>
      <c r="AH982" s="18"/>
      <c r="AI982" s="18"/>
      <c r="AJ982" s="18"/>
      <c r="AL982" s="18"/>
      <c r="AM982" s="18"/>
      <c r="AN982" s="18"/>
      <c r="AO982" s="18"/>
      <c r="AQ982" s="18"/>
    </row>
    <row r="983">
      <c r="B983" s="18"/>
      <c r="C983" s="18"/>
      <c r="G983" s="18"/>
      <c r="K983" s="18"/>
      <c r="L983" s="18"/>
      <c r="M983" s="18"/>
      <c r="AG983" s="18"/>
      <c r="AH983" s="18"/>
      <c r="AI983" s="18"/>
      <c r="AJ983" s="18"/>
      <c r="AL983" s="18"/>
      <c r="AM983" s="18"/>
      <c r="AN983" s="18"/>
      <c r="AO983" s="18"/>
      <c r="AQ983" s="18"/>
    </row>
    <row r="984">
      <c r="B984" s="18"/>
      <c r="C984" s="18"/>
      <c r="G984" s="18"/>
      <c r="K984" s="18"/>
      <c r="L984" s="18"/>
      <c r="M984" s="18"/>
      <c r="AG984" s="18"/>
      <c r="AH984" s="18"/>
      <c r="AI984" s="18"/>
      <c r="AJ984" s="18"/>
      <c r="AL984" s="18"/>
      <c r="AM984" s="18"/>
      <c r="AN984" s="18"/>
      <c r="AO984" s="18"/>
      <c r="AQ984" s="18"/>
    </row>
    <row r="985">
      <c r="B985" s="18"/>
      <c r="C985" s="18"/>
      <c r="G985" s="18"/>
      <c r="K985" s="18"/>
      <c r="L985" s="18"/>
      <c r="M985" s="18"/>
      <c r="AG985" s="18"/>
      <c r="AH985" s="18"/>
      <c r="AI985" s="18"/>
      <c r="AJ985" s="18"/>
      <c r="AL985" s="18"/>
      <c r="AM985" s="18"/>
      <c r="AN985" s="18"/>
      <c r="AO985" s="18"/>
      <c r="AQ985" s="18"/>
    </row>
    <row r="986">
      <c r="B986" s="18"/>
      <c r="C986" s="18"/>
      <c r="G986" s="18"/>
      <c r="K986" s="18"/>
      <c r="L986" s="18"/>
      <c r="M986" s="18"/>
      <c r="AG986" s="18"/>
      <c r="AH986" s="18"/>
      <c r="AI986" s="18"/>
      <c r="AJ986" s="18"/>
      <c r="AL986" s="18"/>
      <c r="AM986" s="18"/>
      <c r="AN986" s="18"/>
      <c r="AO986" s="18"/>
      <c r="AQ986" s="18"/>
    </row>
    <row r="987">
      <c r="B987" s="18"/>
      <c r="C987" s="18"/>
      <c r="G987" s="18"/>
      <c r="K987" s="18"/>
      <c r="L987" s="18"/>
      <c r="M987" s="18"/>
      <c r="AG987" s="18"/>
      <c r="AH987" s="18"/>
      <c r="AI987" s="18"/>
      <c r="AJ987" s="18"/>
      <c r="AL987" s="18"/>
      <c r="AM987" s="18"/>
      <c r="AN987" s="18"/>
      <c r="AO987" s="18"/>
      <c r="AQ987" s="18"/>
    </row>
    <row r="988">
      <c r="B988" s="18"/>
      <c r="C988" s="18"/>
      <c r="G988" s="18"/>
      <c r="K988" s="18"/>
      <c r="L988" s="18"/>
      <c r="M988" s="18"/>
      <c r="AG988" s="18"/>
      <c r="AH988" s="18"/>
      <c r="AI988" s="18"/>
      <c r="AJ988" s="18"/>
      <c r="AL988" s="18"/>
      <c r="AM988" s="18"/>
      <c r="AN988" s="18"/>
      <c r="AO988" s="18"/>
      <c r="AQ988" s="18"/>
    </row>
    <row r="989">
      <c r="B989" s="18"/>
      <c r="C989" s="18"/>
      <c r="G989" s="18"/>
      <c r="K989" s="18"/>
      <c r="L989" s="18"/>
      <c r="M989" s="18"/>
      <c r="AG989" s="18"/>
      <c r="AH989" s="18"/>
      <c r="AI989" s="18"/>
      <c r="AJ989" s="18"/>
      <c r="AL989" s="18"/>
      <c r="AM989" s="18"/>
      <c r="AN989" s="18"/>
      <c r="AO989" s="18"/>
      <c r="AQ989" s="18"/>
    </row>
    <row r="990">
      <c r="B990" s="18"/>
      <c r="C990" s="18"/>
      <c r="G990" s="18"/>
      <c r="K990" s="18"/>
      <c r="L990" s="18"/>
      <c r="M990" s="18"/>
      <c r="AG990" s="18"/>
      <c r="AH990" s="18"/>
      <c r="AI990" s="18"/>
      <c r="AJ990" s="18"/>
      <c r="AL990" s="18"/>
      <c r="AM990" s="18"/>
      <c r="AN990" s="18"/>
      <c r="AO990" s="18"/>
      <c r="AQ990" s="18"/>
    </row>
    <row r="991">
      <c r="B991" s="18"/>
      <c r="C991" s="18"/>
      <c r="G991" s="18"/>
      <c r="K991" s="18"/>
      <c r="L991" s="18"/>
      <c r="M991" s="18"/>
      <c r="AG991" s="18"/>
      <c r="AH991" s="18"/>
      <c r="AI991" s="18"/>
      <c r="AJ991" s="18"/>
      <c r="AL991" s="18"/>
      <c r="AM991" s="18"/>
      <c r="AN991" s="18"/>
      <c r="AO991" s="18"/>
      <c r="AQ991" s="18"/>
    </row>
    <row r="992">
      <c r="B992" s="18"/>
      <c r="C992" s="18"/>
      <c r="G992" s="18"/>
      <c r="K992" s="18"/>
      <c r="L992" s="18"/>
      <c r="M992" s="18"/>
      <c r="AG992" s="18"/>
      <c r="AH992" s="18"/>
      <c r="AI992" s="18"/>
      <c r="AJ992" s="18"/>
      <c r="AL992" s="18"/>
      <c r="AM992" s="18"/>
      <c r="AN992" s="18"/>
      <c r="AO992" s="18"/>
      <c r="AQ992" s="18"/>
    </row>
    <row r="993">
      <c r="B993" s="18"/>
      <c r="C993" s="18"/>
      <c r="G993" s="18"/>
      <c r="K993" s="18"/>
      <c r="L993" s="18"/>
      <c r="M993" s="18"/>
      <c r="AG993" s="18"/>
      <c r="AH993" s="18"/>
      <c r="AI993" s="18"/>
      <c r="AJ993" s="18"/>
      <c r="AL993" s="18"/>
      <c r="AM993" s="18"/>
      <c r="AN993" s="18"/>
      <c r="AO993" s="18"/>
      <c r="AQ993" s="18"/>
    </row>
    <row r="994">
      <c r="B994" s="18"/>
      <c r="C994" s="18"/>
      <c r="G994" s="18"/>
      <c r="K994" s="18"/>
      <c r="L994" s="18"/>
      <c r="M994" s="18"/>
      <c r="AG994" s="18"/>
      <c r="AH994" s="18"/>
      <c r="AI994" s="18"/>
      <c r="AJ994" s="18"/>
      <c r="AL994" s="18"/>
      <c r="AM994" s="18"/>
      <c r="AN994" s="18"/>
      <c r="AO994" s="18"/>
      <c r="AQ994" s="18"/>
    </row>
  </sheetData>
  <hyperlinks>
    <hyperlink r:id="rId4" ref="G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13"/>
    <col customWidth="1" min="2" max="3" width="7.5"/>
    <col customWidth="1" hidden="1" min="4" max="4" width="9.5"/>
    <col hidden="1" min="8" max="10" width="12.63"/>
    <col customWidth="1" min="12" max="12" width="14.38"/>
    <col hidden="1" min="13" max="13" width="12.63"/>
    <col hidden="1" min="20" max="24" width="12.63"/>
    <col hidden="1" min="27" max="28" width="12.63"/>
    <col hidden="1" min="37" max="38" width="12.63"/>
    <col hidden="1" min="40" max="42" width="12.63"/>
  </cols>
  <sheetData>
    <row r="1">
      <c r="A1" s="1" t="s">
        <v>0</v>
      </c>
      <c r="B1" s="2" t="s">
        <v>1</v>
      </c>
      <c r="C1" s="2" t="s">
        <v>2</v>
      </c>
      <c r="D1" s="1" t="s">
        <v>3</v>
      </c>
      <c r="E1" s="1" t="s">
        <v>4</v>
      </c>
      <c r="F1" s="3" t="s">
        <v>5</v>
      </c>
      <c r="G1" s="4" t="s">
        <v>636</v>
      </c>
      <c r="H1" s="1" t="s">
        <v>7</v>
      </c>
      <c r="I1" s="1" t="s">
        <v>8</v>
      </c>
      <c r="J1" s="1" t="s">
        <v>9</v>
      </c>
      <c r="K1" s="5" t="s">
        <v>10</v>
      </c>
      <c r="L1" s="5" t="s">
        <v>11</v>
      </c>
      <c r="M1" s="2" t="s">
        <v>12</v>
      </c>
      <c r="N1" s="3" t="s">
        <v>13</v>
      </c>
      <c r="O1" s="3" t="s">
        <v>14</v>
      </c>
      <c r="P1" s="3" t="s">
        <v>15</v>
      </c>
      <c r="Q1" s="1" t="s">
        <v>16</v>
      </c>
      <c r="R1" s="1" t="s">
        <v>17</v>
      </c>
      <c r="S1" s="3" t="s">
        <v>18</v>
      </c>
      <c r="T1" s="1" t="s">
        <v>19</v>
      </c>
      <c r="U1" s="1" t="s">
        <v>20</v>
      </c>
      <c r="V1" s="1" t="s">
        <v>21</v>
      </c>
      <c r="W1" s="1" t="s">
        <v>22</v>
      </c>
      <c r="X1" s="1" t="s">
        <v>23</v>
      </c>
      <c r="Y1" s="3" t="s">
        <v>24</v>
      </c>
      <c r="Z1" s="3" t="s">
        <v>25</v>
      </c>
      <c r="AA1" s="1" t="s">
        <v>26</v>
      </c>
      <c r="AB1" s="1" t="s">
        <v>27</v>
      </c>
      <c r="AC1" s="3" t="s">
        <v>28</v>
      </c>
      <c r="AD1" s="3" t="s">
        <v>29</v>
      </c>
      <c r="AE1" s="3" t="s">
        <v>30</v>
      </c>
      <c r="AF1" s="3" t="s">
        <v>31</v>
      </c>
      <c r="AG1" s="5" t="s">
        <v>32</v>
      </c>
      <c r="AH1" s="5" t="s">
        <v>33</v>
      </c>
      <c r="AI1" s="5" t="s">
        <v>34</v>
      </c>
      <c r="AJ1" s="5" t="s">
        <v>35</v>
      </c>
      <c r="AK1" s="1" t="s">
        <v>36</v>
      </c>
      <c r="AL1" s="6" t="s">
        <v>37</v>
      </c>
      <c r="AM1" s="6" t="s">
        <v>38</v>
      </c>
      <c r="AN1" s="6" t="s">
        <v>39</v>
      </c>
      <c r="AO1" s="6" t="s">
        <v>40</v>
      </c>
      <c r="AP1" s="7" t="s">
        <v>41</v>
      </c>
      <c r="AQ1" s="5" t="s">
        <v>42</v>
      </c>
      <c r="AR1" s="5" t="s">
        <v>43</v>
      </c>
    </row>
    <row r="2">
      <c r="A2" s="8" t="s">
        <v>637</v>
      </c>
      <c r="B2" s="8">
        <v>112.0</v>
      </c>
      <c r="C2" s="48">
        <v>45669.0</v>
      </c>
      <c r="E2" s="8" t="s">
        <v>638</v>
      </c>
      <c r="F2" s="8" t="s">
        <v>56</v>
      </c>
      <c r="G2" s="8">
        <v>3.0</v>
      </c>
      <c r="K2" s="14">
        <v>71227.0</v>
      </c>
      <c r="L2" s="14">
        <v>76278.0</v>
      </c>
      <c r="N2" s="8" t="s">
        <v>88</v>
      </c>
      <c r="O2" s="8" t="s">
        <v>88</v>
      </c>
      <c r="P2" s="8" t="s">
        <v>49</v>
      </c>
      <c r="S2" s="8">
        <v>60.0</v>
      </c>
      <c r="Y2" s="8" t="s">
        <v>53</v>
      </c>
      <c r="Z2" s="8" t="s">
        <v>54</v>
      </c>
      <c r="AC2" s="8" t="s">
        <v>54</v>
      </c>
      <c r="AD2" s="8" t="s">
        <v>54</v>
      </c>
      <c r="AE2" s="8" t="s">
        <v>54</v>
      </c>
      <c r="AF2" s="8" t="s">
        <v>54</v>
      </c>
      <c r="AG2" s="8">
        <v>50000.0</v>
      </c>
      <c r="AH2" s="8">
        <v>50000.0</v>
      </c>
      <c r="AI2" s="14">
        <v>81500.0</v>
      </c>
      <c r="AJ2" s="8">
        <v>0.0</v>
      </c>
      <c r="AM2" s="14">
        <v>300000.0</v>
      </c>
      <c r="AQ2" s="8" t="s">
        <v>47</v>
      </c>
    </row>
    <row r="3">
      <c r="A3" s="8" t="s">
        <v>639</v>
      </c>
      <c r="B3" s="8">
        <v>112.0</v>
      </c>
      <c r="C3" s="48">
        <v>45723.0</v>
      </c>
      <c r="E3" s="8" t="s">
        <v>640</v>
      </c>
      <c r="F3" s="8" t="s">
        <v>186</v>
      </c>
      <c r="G3" s="8">
        <v>3.0</v>
      </c>
      <c r="K3" s="8">
        <v>378459.0</v>
      </c>
      <c r="L3" s="8">
        <v>399641.0</v>
      </c>
      <c r="N3" s="8" t="s">
        <v>88</v>
      </c>
      <c r="O3" s="8" t="s">
        <v>48</v>
      </c>
      <c r="Y3" s="8" t="s">
        <v>53</v>
      </c>
      <c r="Z3" s="8" t="s">
        <v>54</v>
      </c>
      <c r="AC3" s="8" t="s">
        <v>54</v>
      </c>
      <c r="AD3" s="8" t="s">
        <v>54</v>
      </c>
      <c r="AE3" s="8" t="s">
        <v>54</v>
      </c>
      <c r="AF3" s="8" t="s">
        <v>54</v>
      </c>
      <c r="AG3" s="8">
        <v>2850.0</v>
      </c>
      <c r="AH3" s="8">
        <v>20600.0</v>
      </c>
      <c r="AI3" s="8">
        <v>0.0</v>
      </c>
      <c r="AJ3" s="19">
        <f>4934</f>
        <v>4934</v>
      </c>
      <c r="AM3" s="8">
        <v>150000.0</v>
      </c>
      <c r="AQ3" s="8" t="s">
        <v>54</v>
      </c>
      <c r="AR3" s="49">
        <v>0.1</v>
      </c>
    </row>
    <row r="4">
      <c r="A4" s="8" t="s">
        <v>641</v>
      </c>
      <c r="B4" s="8">
        <v>112.0</v>
      </c>
      <c r="C4" s="48">
        <v>45661.0</v>
      </c>
      <c r="E4" s="8" t="s">
        <v>642</v>
      </c>
      <c r="F4" s="8" t="s">
        <v>56</v>
      </c>
      <c r="G4" s="8">
        <v>4.0</v>
      </c>
      <c r="K4" s="8">
        <v>192998.0</v>
      </c>
      <c r="L4" s="8">
        <v>192998.0</v>
      </c>
      <c r="N4" s="8" t="s">
        <v>48</v>
      </c>
      <c r="O4" s="8" t="s">
        <v>48</v>
      </c>
      <c r="P4" s="8" t="s">
        <v>49</v>
      </c>
      <c r="Q4" s="8" t="s">
        <v>643</v>
      </c>
      <c r="S4" s="8">
        <v>90.0</v>
      </c>
      <c r="Y4" s="8" t="s">
        <v>73</v>
      </c>
      <c r="Z4" s="8" t="s">
        <v>54</v>
      </c>
      <c r="AC4" s="8" t="s">
        <v>54</v>
      </c>
      <c r="AD4" s="8" t="s">
        <v>54</v>
      </c>
      <c r="AE4" s="8" t="s">
        <v>54</v>
      </c>
      <c r="AF4" s="8" t="s">
        <v>54</v>
      </c>
      <c r="AG4" s="8">
        <v>0.0</v>
      </c>
      <c r="AH4" s="8">
        <v>0.0</v>
      </c>
      <c r="AI4" s="8">
        <v>0.0</v>
      </c>
      <c r="AJ4" s="19">
        <f>21000</f>
        <v>21000</v>
      </c>
      <c r="AM4" s="8">
        <v>100000.0</v>
      </c>
      <c r="AQ4" s="8" t="s">
        <v>47</v>
      </c>
    </row>
    <row r="5">
      <c r="A5" s="8" t="s">
        <v>644</v>
      </c>
      <c r="B5" s="8">
        <v>112.0</v>
      </c>
      <c r="C5" s="48">
        <v>45669.0</v>
      </c>
      <c r="E5" s="8" t="s">
        <v>645</v>
      </c>
      <c r="F5" s="8" t="s">
        <v>70</v>
      </c>
      <c r="G5" s="8">
        <v>3.0</v>
      </c>
      <c r="K5" s="8">
        <v>133324.0</v>
      </c>
      <c r="L5" s="8">
        <v>133324.0</v>
      </c>
      <c r="N5" s="8" t="s">
        <v>48</v>
      </c>
      <c r="O5" s="8" t="s">
        <v>88</v>
      </c>
      <c r="P5" s="8" t="s">
        <v>49</v>
      </c>
      <c r="Q5" s="8" t="s">
        <v>646</v>
      </c>
      <c r="S5" s="8">
        <v>90.0</v>
      </c>
      <c r="Y5" s="8" t="s">
        <v>53</v>
      </c>
      <c r="Z5" s="8" t="s">
        <v>54</v>
      </c>
      <c r="AC5" s="8" t="s">
        <v>54</v>
      </c>
      <c r="AD5" s="8" t="s">
        <v>54</v>
      </c>
      <c r="AE5" s="8" t="s">
        <v>54</v>
      </c>
      <c r="AF5" s="8" t="s">
        <v>54</v>
      </c>
      <c r="AG5" s="8">
        <v>1175.0</v>
      </c>
      <c r="AH5" s="8">
        <v>11750.0</v>
      </c>
      <c r="AI5" s="19">
        <f>2750+36000</f>
        <v>38750</v>
      </c>
      <c r="AJ5" s="19">
        <f>1435</f>
        <v>1435</v>
      </c>
      <c r="AM5" s="8">
        <v>150000.0</v>
      </c>
      <c r="AQ5" s="8" t="s">
        <v>54</v>
      </c>
      <c r="AR5" s="49">
        <v>0.7</v>
      </c>
    </row>
    <row r="6">
      <c r="A6" s="8" t="s">
        <v>647</v>
      </c>
      <c r="B6" s="8">
        <v>112.0</v>
      </c>
      <c r="C6" s="48">
        <v>45773.0</v>
      </c>
      <c r="E6" s="8" t="s">
        <v>648</v>
      </c>
      <c r="F6" s="8" t="s">
        <v>56</v>
      </c>
      <c r="G6" s="8">
        <v>3.0</v>
      </c>
      <c r="K6" s="19">
        <f>8585+1724</f>
        <v>10309</v>
      </c>
      <c r="L6" s="14">
        <f>8585+14196+500000</f>
        <v>522781</v>
      </c>
      <c r="N6" s="8" t="s">
        <v>88</v>
      </c>
      <c r="O6" s="8" t="s">
        <v>48</v>
      </c>
      <c r="P6" s="8" t="s">
        <v>49</v>
      </c>
      <c r="Q6" s="8" t="s">
        <v>649</v>
      </c>
      <c r="S6" s="8">
        <v>90.0</v>
      </c>
      <c r="Y6" s="8" t="s">
        <v>53</v>
      </c>
      <c r="Z6" s="8" t="s">
        <v>54</v>
      </c>
      <c r="AC6" s="8" t="s">
        <v>54</v>
      </c>
      <c r="AD6" s="8" t="s">
        <v>54</v>
      </c>
      <c r="AE6" s="8" t="s">
        <v>54</v>
      </c>
      <c r="AF6" s="8" t="s">
        <v>54</v>
      </c>
      <c r="AG6" s="8">
        <v>0.0</v>
      </c>
      <c r="AH6" s="8">
        <v>0.0</v>
      </c>
      <c r="AI6" s="19">
        <f>11890+42000</f>
        <v>53890</v>
      </c>
      <c r="AJ6" s="8">
        <v>0.0</v>
      </c>
      <c r="AM6" s="8">
        <v>45000.0</v>
      </c>
      <c r="AQ6" s="8" t="s">
        <v>47</v>
      </c>
    </row>
    <row r="7">
      <c r="A7" s="8" t="s">
        <v>650</v>
      </c>
      <c r="B7" s="8">
        <v>112.0</v>
      </c>
      <c r="C7" s="48">
        <v>45759.0</v>
      </c>
      <c r="E7" s="8" t="s">
        <v>651</v>
      </c>
      <c r="F7" s="8" t="s">
        <v>133</v>
      </c>
      <c r="G7" s="8">
        <v>2.0</v>
      </c>
      <c r="K7" s="8">
        <f>24746+7151</f>
        <v>31897</v>
      </c>
      <c r="L7" s="8">
        <v>470199.0</v>
      </c>
      <c r="N7" s="8" t="s">
        <v>88</v>
      </c>
      <c r="O7" s="8" t="s">
        <v>88</v>
      </c>
      <c r="P7" s="8" t="s">
        <v>49</v>
      </c>
      <c r="Q7" s="8" t="s">
        <v>652</v>
      </c>
      <c r="S7" s="8">
        <v>90.0</v>
      </c>
      <c r="Y7" s="8" t="s">
        <v>73</v>
      </c>
      <c r="Z7" s="8" t="s">
        <v>54</v>
      </c>
      <c r="AC7" s="8" t="s">
        <v>54</v>
      </c>
      <c r="AD7" s="8" t="s">
        <v>54</v>
      </c>
      <c r="AE7" s="8" t="s">
        <v>54</v>
      </c>
      <c r="AF7" s="8" t="s">
        <v>54</v>
      </c>
      <c r="AG7" s="8">
        <v>6280.0</v>
      </c>
      <c r="AH7" s="8">
        <v>3216.0</v>
      </c>
      <c r="AI7" s="19">
        <f>167400+27874</f>
        <v>195274</v>
      </c>
      <c r="AJ7" s="8">
        <v>0.0</v>
      </c>
      <c r="AM7" s="8">
        <v>250000.0</v>
      </c>
      <c r="AQ7" s="8" t="s">
        <v>47</v>
      </c>
    </row>
    <row r="8">
      <c r="A8" s="8" t="s">
        <v>653</v>
      </c>
      <c r="B8" s="8">
        <v>112.0</v>
      </c>
      <c r="C8" s="48">
        <v>45724.0</v>
      </c>
      <c r="E8" s="8" t="s">
        <v>654</v>
      </c>
      <c r="F8" s="8" t="s">
        <v>70</v>
      </c>
      <c r="G8" s="8">
        <v>3.0</v>
      </c>
      <c r="K8" s="8">
        <v>10220.0</v>
      </c>
      <c r="L8" s="8">
        <v>10220.0</v>
      </c>
      <c r="N8" s="8" t="s">
        <v>48</v>
      </c>
      <c r="O8" s="8" t="s">
        <v>48</v>
      </c>
      <c r="P8" s="8" t="s">
        <v>49</v>
      </c>
      <c r="Q8" s="8" t="s">
        <v>655</v>
      </c>
      <c r="S8" s="8">
        <v>90.0</v>
      </c>
      <c r="Y8" s="8" t="s">
        <v>73</v>
      </c>
      <c r="Z8" s="8" t="s">
        <v>54</v>
      </c>
      <c r="AC8" s="8" t="s">
        <v>54</v>
      </c>
      <c r="AD8" s="8" t="s">
        <v>54</v>
      </c>
      <c r="AE8" s="8" t="s">
        <v>54</v>
      </c>
      <c r="AF8" s="8" t="s">
        <v>54</v>
      </c>
      <c r="AG8" s="8">
        <v>0.0</v>
      </c>
      <c r="AH8" s="8">
        <v>0.0</v>
      </c>
      <c r="AI8" s="19">
        <f>36760+116074</f>
        <v>152834</v>
      </c>
      <c r="AJ8" s="19">
        <f>47600</f>
        <v>47600</v>
      </c>
      <c r="AM8" s="8">
        <v>50000.0</v>
      </c>
      <c r="AQ8" s="8" t="s">
        <v>47</v>
      </c>
    </row>
    <row r="9">
      <c r="A9" s="8" t="s">
        <v>656</v>
      </c>
      <c r="B9" s="8">
        <v>112.0</v>
      </c>
      <c r="C9" s="48">
        <v>45669.0</v>
      </c>
      <c r="E9" s="8" t="s">
        <v>657</v>
      </c>
      <c r="F9" s="8" t="s">
        <v>70</v>
      </c>
      <c r="G9" s="8">
        <v>3.0</v>
      </c>
      <c r="K9" s="8">
        <v>35354.0</v>
      </c>
      <c r="L9" s="8">
        <v>187320.0</v>
      </c>
      <c r="N9" s="8" t="s">
        <v>48</v>
      </c>
      <c r="O9" s="8" t="s">
        <v>48</v>
      </c>
      <c r="Y9" s="8" t="s">
        <v>73</v>
      </c>
      <c r="Z9" s="8" t="s">
        <v>54</v>
      </c>
      <c r="AC9" s="8" t="s">
        <v>54</v>
      </c>
      <c r="AD9" s="8" t="s">
        <v>54</v>
      </c>
      <c r="AE9" s="8" t="s">
        <v>54</v>
      </c>
      <c r="AF9" s="8" t="s">
        <v>54</v>
      </c>
      <c r="AG9" s="8">
        <v>32209.0</v>
      </c>
      <c r="AH9" s="8">
        <v>59350.0</v>
      </c>
      <c r="AI9" s="19">
        <f>309600+3000</f>
        <v>312600</v>
      </c>
      <c r="AJ9" s="8">
        <f>2200+329457</f>
        <v>331657</v>
      </c>
      <c r="AM9" s="8">
        <v>160000.0</v>
      </c>
      <c r="AQ9" s="8" t="s">
        <v>54</v>
      </c>
      <c r="AR9" s="49">
        <v>0.3</v>
      </c>
    </row>
    <row r="10">
      <c r="A10" s="8" t="s">
        <v>658</v>
      </c>
      <c r="B10" s="8">
        <v>112.0</v>
      </c>
      <c r="C10" s="48">
        <v>45754.0</v>
      </c>
      <c r="E10" s="8" t="s">
        <v>659</v>
      </c>
      <c r="F10" s="8" t="s">
        <v>56</v>
      </c>
      <c r="G10" s="8">
        <v>3.0</v>
      </c>
      <c r="K10" s="8">
        <v>132044.0</v>
      </c>
      <c r="L10" s="8">
        <v>132044.0</v>
      </c>
      <c r="N10" s="8" t="s">
        <v>48</v>
      </c>
      <c r="O10" s="8" t="s">
        <v>48</v>
      </c>
      <c r="P10" s="8" t="s">
        <v>49</v>
      </c>
      <c r="Q10" s="8" t="s">
        <v>660</v>
      </c>
      <c r="S10" s="8">
        <v>120.0</v>
      </c>
      <c r="Y10" s="8" t="s">
        <v>73</v>
      </c>
      <c r="Z10" s="8" t="s">
        <v>54</v>
      </c>
      <c r="AC10" s="8" t="s">
        <v>54</v>
      </c>
      <c r="AD10" s="8" t="s">
        <v>54</v>
      </c>
      <c r="AE10" s="8" t="s">
        <v>54</v>
      </c>
      <c r="AF10" s="8" t="s">
        <v>54</v>
      </c>
      <c r="AG10" s="8">
        <v>0.0</v>
      </c>
      <c r="AH10" s="8">
        <v>0.0</v>
      </c>
      <c r="AI10" s="19">
        <f>60000</f>
        <v>60000</v>
      </c>
      <c r="AJ10" s="19">
        <f>5000</f>
        <v>5000</v>
      </c>
      <c r="AM10" s="8">
        <v>200000.0</v>
      </c>
      <c r="AQ10" s="8" t="s">
        <v>47</v>
      </c>
    </row>
    <row r="11">
      <c r="A11" s="8" t="s">
        <v>661</v>
      </c>
      <c r="B11" s="8">
        <v>112.0</v>
      </c>
      <c r="C11" s="48">
        <v>45773.0</v>
      </c>
      <c r="E11" s="8" t="s">
        <v>662</v>
      </c>
      <c r="F11" s="8" t="s">
        <v>70</v>
      </c>
      <c r="G11" s="8">
        <v>5.0</v>
      </c>
      <c r="K11" s="8">
        <v>300.0</v>
      </c>
      <c r="L11" s="8">
        <v>53400.0</v>
      </c>
      <c r="N11" s="8" t="s">
        <v>48</v>
      </c>
      <c r="O11" s="8" t="s">
        <v>48</v>
      </c>
      <c r="P11" s="8" t="s">
        <v>61</v>
      </c>
      <c r="Y11" s="8" t="s">
        <v>53</v>
      </c>
      <c r="Z11" s="8" t="s">
        <v>54</v>
      </c>
      <c r="AC11" s="8" t="s">
        <v>54</v>
      </c>
      <c r="AD11" s="8" t="s">
        <v>54</v>
      </c>
      <c r="AE11" s="8" t="s">
        <v>54</v>
      </c>
      <c r="AF11" s="8" t="s">
        <v>54</v>
      </c>
      <c r="AG11" s="8">
        <v>165000.0</v>
      </c>
      <c r="AH11" s="8">
        <v>195500.0</v>
      </c>
      <c r="AI11" s="8">
        <v>0.0</v>
      </c>
      <c r="AJ11" s="8">
        <v>0.0</v>
      </c>
      <c r="AM11" s="8">
        <v>20000.0</v>
      </c>
      <c r="AQ11" s="8" t="s">
        <v>54</v>
      </c>
      <c r="AR11" s="49">
        <v>0.7</v>
      </c>
    </row>
    <row r="12">
      <c r="A12" s="8" t="s">
        <v>663</v>
      </c>
      <c r="B12" s="8">
        <v>112.0</v>
      </c>
      <c r="C12" s="48">
        <v>45745.0</v>
      </c>
      <c r="E12" s="8" t="s">
        <v>664</v>
      </c>
      <c r="F12" s="8" t="s">
        <v>70</v>
      </c>
      <c r="G12" s="8">
        <v>5.0</v>
      </c>
      <c r="K12" s="8">
        <v>3396.0</v>
      </c>
      <c r="L12" s="8">
        <v>3396.0</v>
      </c>
      <c r="N12" s="8" t="s">
        <v>88</v>
      </c>
      <c r="O12" s="8" t="s">
        <v>88</v>
      </c>
      <c r="P12" s="8" t="s">
        <v>49</v>
      </c>
      <c r="Q12" s="8" t="s">
        <v>665</v>
      </c>
      <c r="S12" s="8">
        <v>35.0</v>
      </c>
      <c r="Y12" s="8" t="s">
        <v>73</v>
      </c>
      <c r="Z12" s="8" t="s">
        <v>47</v>
      </c>
      <c r="AC12" s="8" t="s">
        <v>54</v>
      </c>
      <c r="AD12" s="8" t="s">
        <v>54</v>
      </c>
      <c r="AE12" s="8" t="s">
        <v>54</v>
      </c>
      <c r="AF12" s="8" t="s">
        <v>54</v>
      </c>
      <c r="AG12" s="8">
        <v>88500.0</v>
      </c>
      <c r="AH12" s="8">
        <v>88500.0</v>
      </c>
      <c r="AI12" s="19">
        <f>6170+2766</f>
        <v>8936</v>
      </c>
      <c r="AJ12" s="8">
        <v>18000.0</v>
      </c>
      <c r="AM12" s="8">
        <v>40000.0</v>
      </c>
      <c r="AQ12" s="8" t="s">
        <v>54</v>
      </c>
      <c r="AR12" s="49">
        <v>0.2</v>
      </c>
    </row>
    <row r="13">
      <c r="A13" s="8" t="s">
        <v>666</v>
      </c>
      <c r="B13" s="8">
        <v>112.0</v>
      </c>
      <c r="C13" s="48">
        <v>45694.0</v>
      </c>
      <c r="E13" s="8" t="s">
        <v>667</v>
      </c>
      <c r="F13" s="8" t="s">
        <v>124</v>
      </c>
      <c r="G13" s="8">
        <v>4.0</v>
      </c>
      <c r="K13" s="19">
        <f>2420</f>
        <v>2420</v>
      </c>
      <c r="L13" s="8">
        <f>2420+100000+350000+150000</f>
        <v>602420</v>
      </c>
      <c r="N13" s="8" t="s">
        <v>88</v>
      </c>
      <c r="O13" s="8" t="s">
        <v>88</v>
      </c>
      <c r="P13" s="8" t="s">
        <v>49</v>
      </c>
      <c r="Q13" s="8" t="s">
        <v>668</v>
      </c>
      <c r="S13" s="8">
        <v>150.0</v>
      </c>
      <c r="Y13" s="8" t="s">
        <v>53</v>
      </c>
      <c r="Z13" s="8" t="s">
        <v>54</v>
      </c>
      <c r="AC13" s="8" t="s">
        <v>54</v>
      </c>
      <c r="AD13" s="8" t="s">
        <v>54</v>
      </c>
      <c r="AE13" s="8" t="s">
        <v>54</v>
      </c>
      <c r="AF13" s="8" t="s">
        <v>54</v>
      </c>
      <c r="AG13" s="8">
        <v>42551.0</v>
      </c>
      <c r="AH13" s="8">
        <v>48980.0</v>
      </c>
      <c r="AI13" s="8">
        <v>0.0</v>
      </c>
      <c r="AJ13" s="8">
        <v>0.0</v>
      </c>
      <c r="AM13" s="8">
        <v>36000.0</v>
      </c>
      <c r="AQ13" s="8" t="s">
        <v>47</v>
      </c>
    </row>
    <row r="14">
      <c r="A14" s="50" t="s">
        <v>669</v>
      </c>
      <c r="B14" s="8">
        <v>112.0</v>
      </c>
      <c r="C14" s="48">
        <v>45813.0</v>
      </c>
      <c r="E14" s="8" t="s">
        <v>670</v>
      </c>
      <c r="F14" s="8" t="s">
        <v>133</v>
      </c>
      <c r="G14" s="8">
        <v>3.0</v>
      </c>
      <c r="K14" s="8">
        <v>3000.0</v>
      </c>
      <c r="L14" s="8">
        <v>670843.0</v>
      </c>
      <c r="N14" s="8" t="s">
        <v>48</v>
      </c>
      <c r="O14" s="8" t="s">
        <v>88</v>
      </c>
      <c r="Y14" s="8" t="s">
        <v>73</v>
      </c>
      <c r="Z14" s="8" t="s">
        <v>54</v>
      </c>
      <c r="AC14" s="8" t="s">
        <v>54</v>
      </c>
      <c r="AD14" s="8" t="s">
        <v>54</v>
      </c>
      <c r="AE14" s="8" t="s">
        <v>54</v>
      </c>
      <c r="AF14" s="8" t="s">
        <v>54</v>
      </c>
      <c r="AG14" s="8">
        <v>0.0</v>
      </c>
      <c r="AH14" s="8">
        <v>0.0</v>
      </c>
      <c r="AI14" s="8">
        <v>0.0</v>
      </c>
      <c r="AJ14" s="8">
        <v>0.0</v>
      </c>
      <c r="AM14" s="8">
        <v>50000.0</v>
      </c>
      <c r="AQ14" s="8" t="s">
        <v>54</v>
      </c>
      <c r="AR14" s="49">
        <v>0.5</v>
      </c>
    </row>
    <row r="15">
      <c r="A15" s="8" t="s">
        <v>671</v>
      </c>
      <c r="B15" s="8">
        <v>112.0</v>
      </c>
      <c r="C15" s="48">
        <v>45687.0</v>
      </c>
      <c r="E15" s="8" t="s">
        <v>672</v>
      </c>
      <c r="F15" s="8" t="s">
        <v>133</v>
      </c>
      <c r="G15" s="8">
        <v>3.0</v>
      </c>
      <c r="K15" s="8">
        <v>176942.0</v>
      </c>
      <c r="L15" s="8">
        <v>176942.0</v>
      </c>
      <c r="N15" s="8" t="s">
        <v>88</v>
      </c>
      <c r="O15" s="8" t="s">
        <v>48</v>
      </c>
      <c r="Y15" s="8" t="s">
        <v>344</v>
      </c>
      <c r="Z15" s="8" t="s">
        <v>54</v>
      </c>
      <c r="AC15" s="8" t="s">
        <v>54</v>
      </c>
      <c r="AD15" s="8" t="s">
        <v>54</v>
      </c>
      <c r="AE15" s="8" t="s">
        <v>54</v>
      </c>
      <c r="AF15" s="8" t="s">
        <v>54</v>
      </c>
      <c r="AG15" s="8">
        <v>0.0</v>
      </c>
      <c r="AH15" s="8">
        <v>0.0</v>
      </c>
      <c r="AI15" s="8">
        <v>0.0</v>
      </c>
      <c r="AJ15" s="8">
        <v>0.0</v>
      </c>
      <c r="AM15" s="8">
        <v>180000.0</v>
      </c>
      <c r="AQ15" s="8" t="s">
        <v>54</v>
      </c>
      <c r="AR15" s="49">
        <v>0.3</v>
      </c>
    </row>
    <row r="16">
      <c r="A16" s="8" t="s">
        <v>673</v>
      </c>
      <c r="B16" s="8">
        <v>112.0</v>
      </c>
      <c r="C16" s="48">
        <v>45796.0</v>
      </c>
      <c r="E16" s="8" t="s">
        <v>674</v>
      </c>
      <c r="F16" s="8" t="s">
        <v>133</v>
      </c>
      <c r="G16" s="8">
        <v>3.0</v>
      </c>
      <c r="K16" s="8">
        <v>5360.0</v>
      </c>
      <c r="L16" s="8">
        <v>5360.0</v>
      </c>
      <c r="N16" s="8" t="s">
        <v>48</v>
      </c>
      <c r="O16" s="8" t="s">
        <v>88</v>
      </c>
      <c r="P16" s="8" t="s">
        <v>49</v>
      </c>
      <c r="Q16" s="8" t="s">
        <v>675</v>
      </c>
      <c r="S16" s="8">
        <v>90.0</v>
      </c>
      <c r="Y16" s="8" t="s">
        <v>53</v>
      </c>
      <c r="Z16" s="8" t="s">
        <v>54</v>
      </c>
      <c r="AC16" s="8" t="s">
        <v>54</v>
      </c>
      <c r="AD16" s="8" t="s">
        <v>54</v>
      </c>
      <c r="AE16" s="8" t="s">
        <v>54</v>
      </c>
      <c r="AF16" s="8" t="s">
        <v>54</v>
      </c>
      <c r="AG16" s="8">
        <v>1075.0</v>
      </c>
      <c r="AH16" s="8">
        <v>4300.0</v>
      </c>
      <c r="AI16" s="8">
        <f>66000+8975</f>
        <v>74975</v>
      </c>
      <c r="AJ16" s="19">
        <f>10000+66000</f>
        <v>76000</v>
      </c>
      <c r="AM16" s="8">
        <v>120000.0</v>
      </c>
      <c r="AQ16" s="8" t="s">
        <v>54</v>
      </c>
      <c r="AR16" s="49">
        <v>0.5</v>
      </c>
    </row>
    <row r="17">
      <c r="A17" s="8" t="s">
        <v>676</v>
      </c>
      <c r="B17" s="8">
        <v>112.0</v>
      </c>
      <c r="C17" s="48">
        <v>45701.0</v>
      </c>
      <c r="E17" s="8" t="s">
        <v>677</v>
      </c>
      <c r="F17" s="8" t="s">
        <v>56</v>
      </c>
      <c r="G17" s="8">
        <v>5.0</v>
      </c>
      <c r="K17" s="8">
        <v>1000.0</v>
      </c>
      <c r="L17" s="8">
        <v>1000.0</v>
      </c>
      <c r="N17" s="8" t="s">
        <v>48</v>
      </c>
      <c r="O17" s="8" t="s">
        <v>48</v>
      </c>
      <c r="P17" s="8" t="s">
        <v>49</v>
      </c>
      <c r="Q17" s="8" t="s">
        <v>678</v>
      </c>
      <c r="S17" s="8">
        <v>20.0</v>
      </c>
      <c r="Y17" s="8" t="s">
        <v>53</v>
      </c>
      <c r="Z17" s="8" t="s">
        <v>54</v>
      </c>
      <c r="AC17" s="8" t="s">
        <v>54</v>
      </c>
      <c r="AD17" s="8" t="s">
        <v>54</v>
      </c>
      <c r="AE17" s="8" t="s">
        <v>54</v>
      </c>
      <c r="AF17" s="8" t="s">
        <v>54</v>
      </c>
      <c r="AG17" s="8">
        <v>109591.0</v>
      </c>
      <c r="AH17" s="8">
        <v>136350.0</v>
      </c>
      <c r="AI17" s="8">
        <v>0.0</v>
      </c>
      <c r="AJ17" s="8">
        <v>0.0</v>
      </c>
      <c r="AM17" s="8">
        <v>8000.0</v>
      </c>
      <c r="AQ17" s="8" t="s">
        <v>47</v>
      </c>
    </row>
    <row r="18">
      <c r="A18" s="8" t="s">
        <v>679</v>
      </c>
      <c r="B18" s="8">
        <v>112.0</v>
      </c>
      <c r="C18" s="48">
        <v>45747.0</v>
      </c>
      <c r="E18" s="8" t="s">
        <v>680</v>
      </c>
      <c r="F18" s="8" t="s">
        <v>186</v>
      </c>
      <c r="G18" s="8">
        <v>4.0</v>
      </c>
      <c r="K18" s="8">
        <v>810.0</v>
      </c>
      <c r="L18" s="8">
        <v>810.0</v>
      </c>
      <c r="N18" s="8" t="s">
        <v>48</v>
      </c>
      <c r="O18" s="8" t="s">
        <v>48</v>
      </c>
      <c r="P18" s="8" t="s">
        <v>49</v>
      </c>
      <c r="Q18" s="8" t="s">
        <v>681</v>
      </c>
      <c r="S18" s="8">
        <v>40.0</v>
      </c>
      <c r="Y18" s="8" t="s">
        <v>73</v>
      </c>
      <c r="Z18" s="8" t="s">
        <v>54</v>
      </c>
      <c r="AC18" s="8" t="s">
        <v>54</v>
      </c>
      <c r="AD18" s="8" t="s">
        <v>54</v>
      </c>
      <c r="AE18" s="8" t="s">
        <v>54</v>
      </c>
      <c r="AF18" s="8" t="s">
        <v>54</v>
      </c>
      <c r="AG18" s="8">
        <v>48450.0</v>
      </c>
      <c r="AH18" s="8">
        <v>79500.0</v>
      </c>
      <c r="AI18" s="8">
        <v>0.0</v>
      </c>
      <c r="AJ18" s="19">
        <f>3000+10850</f>
        <v>13850</v>
      </c>
      <c r="AM18" s="8">
        <v>50000.0</v>
      </c>
      <c r="AQ18" s="8" t="s">
        <v>47</v>
      </c>
    </row>
    <row r="19">
      <c r="A19" s="8" t="s">
        <v>682</v>
      </c>
      <c r="B19" s="8">
        <v>112.0</v>
      </c>
      <c r="C19" s="48">
        <v>45705.0</v>
      </c>
      <c r="E19" s="8" t="s">
        <v>683</v>
      </c>
      <c r="F19" s="8" t="s">
        <v>70</v>
      </c>
      <c r="G19" s="8">
        <v>5.0</v>
      </c>
      <c r="K19" s="8">
        <v>1910.0</v>
      </c>
      <c r="L19" s="8">
        <v>1910.0</v>
      </c>
      <c r="N19" s="8" t="s">
        <v>48</v>
      </c>
      <c r="O19" s="8" t="s">
        <v>48</v>
      </c>
      <c r="P19" s="8" t="s">
        <v>61</v>
      </c>
      <c r="Y19" s="8" t="s">
        <v>70</v>
      </c>
      <c r="Z19" s="8" t="s">
        <v>54</v>
      </c>
      <c r="AC19" s="8" t="s">
        <v>54</v>
      </c>
      <c r="AD19" s="8" t="s">
        <v>54</v>
      </c>
      <c r="AE19" s="8" t="s">
        <v>54</v>
      </c>
      <c r="AF19" s="8" t="s">
        <v>54</v>
      </c>
      <c r="AG19" s="8">
        <v>5000.0</v>
      </c>
      <c r="AH19" s="8">
        <v>20250.0</v>
      </c>
      <c r="AI19" s="19">
        <f>1000</f>
        <v>1000</v>
      </c>
      <c r="AJ19" s="19">
        <f>11200</f>
        <v>11200</v>
      </c>
      <c r="AM19" s="8">
        <v>20000.0</v>
      </c>
      <c r="AQ19" s="8" t="s">
        <v>47</v>
      </c>
    </row>
    <row r="20">
      <c r="A20" s="8" t="s">
        <v>684</v>
      </c>
      <c r="B20" s="8">
        <v>112.0</v>
      </c>
      <c r="C20" s="48">
        <v>45687.0</v>
      </c>
      <c r="E20" s="8" t="s">
        <v>685</v>
      </c>
      <c r="F20" s="8" t="s">
        <v>70</v>
      </c>
      <c r="G20" s="8">
        <v>5.0</v>
      </c>
      <c r="K20" s="8">
        <v>0.0</v>
      </c>
      <c r="L20" s="8">
        <v>0.0</v>
      </c>
      <c r="N20" s="8" t="s">
        <v>48</v>
      </c>
      <c r="O20" s="8" t="s">
        <v>48</v>
      </c>
      <c r="P20" s="8" t="s">
        <v>49</v>
      </c>
      <c r="Q20" s="8" t="s">
        <v>686</v>
      </c>
      <c r="S20" s="8">
        <v>40.0</v>
      </c>
      <c r="Y20" s="8" t="s">
        <v>73</v>
      </c>
      <c r="Z20" s="8" t="s">
        <v>54</v>
      </c>
      <c r="AC20" s="8" t="s">
        <v>54</v>
      </c>
      <c r="AD20" s="8" t="s">
        <v>54</v>
      </c>
      <c r="AE20" s="8" t="s">
        <v>54</v>
      </c>
      <c r="AF20" s="8" t="s">
        <v>54</v>
      </c>
      <c r="AG20" s="8">
        <f>141357+7000</f>
        <v>148357</v>
      </c>
      <c r="AH20" s="8">
        <f>328520+180000</f>
        <v>508520</v>
      </c>
      <c r="AI20" s="8">
        <v>0.0</v>
      </c>
      <c r="AJ20" s="19">
        <f>5400+8400</f>
        <v>13800</v>
      </c>
      <c r="AM20" s="8">
        <v>20000.0</v>
      </c>
      <c r="AQ20" s="8" t="s">
        <v>47</v>
      </c>
    </row>
    <row r="21">
      <c r="A21" s="8" t="s">
        <v>687</v>
      </c>
      <c r="B21" s="8">
        <v>112.0</v>
      </c>
      <c r="C21" s="48">
        <v>45669.0</v>
      </c>
      <c r="E21" s="8" t="s">
        <v>688</v>
      </c>
      <c r="F21" s="8" t="s">
        <v>56</v>
      </c>
      <c r="G21" s="8">
        <v>3.0</v>
      </c>
      <c r="K21" s="19">
        <f t="shared" ref="K21:L21" si="1">168448+308572</f>
        <v>477020</v>
      </c>
      <c r="L21" s="19">
        <f t="shared" si="1"/>
        <v>477020</v>
      </c>
      <c r="N21" s="8" t="s">
        <v>48</v>
      </c>
      <c r="O21" s="8" t="s">
        <v>48</v>
      </c>
      <c r="P21" s="8" t="s">
        <v>49</v>
      </c>
      <c r="Q21" s="8" t="s">
        <v>689</v>
      </c>
      <c r="S21" s="8">
        <v>55.0</v>
      </c>
      <c r="Y21" s="8" t="s">
        <v>56</v>
      </c>
      <c r="Z21" s="8" t="s">
        <v>47</v>
      </c>
      <c r="AC21" s="8" t="s">
        <v>54</v>
      </c>
      <c r="AD21" s="8" t="s">
        <v>54</v>
      </c>
      <c r="AE21" s="8" t="s">
        <v>54</v>
      </c>
      <c r="AF21" s="8" t="s">
        <v>54</v>
      </c>
      <c r="AG21" s="8">
        <v>0.0</v>
      </c>
      <c r="AH21" s="8">
        <v>0.0</v>
      </c>
      <c r="AI21" s="19">
        <f>228800+45630</f>
        <v>274430</v>
      </c>
      <c r="AJ21" s="8">
        <v>713528.0</v>
      </c>
      <c r="AM21" s="8">
        <v>600000.0</v>
      </c>
      <c r="AQ21" s="8" t="s">
        <v>47</v>
      </c>
    </row>
    <row r="22">
      <c r="A22" s="8" t="s">
        <v>690</v>
      </c>
      <c r="B22" s="8">
        <v>112.0</v>
      </c>
      <c r="C22" s="48">
        <v>45705.0</v>
      </c>
      <c r="E22" s="8" t="s">
        <v>691</v>
      </c>
      <c r="F22" s="8" t="s">
        <v>124</v>
      </c>
      <c r="G22" s="8">
        <v>2.0</v>
      </c>
      <c r="K22" s="19">
        <f t="shared" ref="K22:L22" si="2">241860+34648</f>
        <v>276508</v>
      </c>
      <c r="L22" s="19">
        <f t="shared" si="2"/>
        <v>276508</v>
      </c>
      <c r="N22" s="8" t="s">
        <v>48</v>
      </c>
      <c r="O22" s="8" t="s">
        <v>48</v>
      </c>
      <c r="P22" s="8" t="s">
        <v>49</v>
      </c>
      <c r="Q22" s="8" t="s">
        <v>692</v>
      </c>
      <c r="S22" s="8">
        <v>60.0</v>
      </c>
      <c r="Y22" s="8" t="s">
        <v>344</v>
      </c>
      <c r="Z22" s="8" t="s">
        <v>47</v>
      </c>
      <c r="AC22" s="8" t="s">
        <v>54</v>
      </c>
      <c r="AD22" s="8" t="s">
        <v>54</v>
      </c>
      <c r="AE22" s="8" t="s">
        <v>54</v>
      </c>
      <c r="AF22" s="8" t="s">
        <v>54</v>
      </c>
      <c r="AG22" s="8">
        <v>15321.0</v>
      </c>
      <c r="AH22" s="8">
        <v>38130.0</v>
      </c>
      <c r="AI22" s="19">
        <f>5664+648000</f>
        <v>653664</v>
      </c>
      <c r="AJ22" s="8">
        <v>0.0</v>
      </c>
      <c r="AM22" s="8">
        <v>200000.0</v>
      </c>
      <c r="AQ22" s="8" t="s">
        <v>54</v>
      </c>
      <c r="AR22" s="49">
        <v>0.65</v>
      </c>
    </row>
    <row r="23">
      <c r="A23" s="8" t="s">
        <v>693</v>
      </c>
      <c r="B23" s="8">
        <v>112.0</v>
      </c>
      <c r="C23" s="48">
        <v>45738.0</v>
      </c>
      <c r="E23" s="8" t="s">
        <v>694</v>
      </c>
      <c r="F23" s="8" t="s">
        <v>124</v>
      </c>
      <c r="G23" s="8">
        <v>3.0</v>
      </c>
      <c r="K23" s="8">
        <v>78977.0</v>
      </c>
      <c r="L23" s="8">
        <v>89055.0</v>
      </c>
      <c r="N23" s="8" t="s">
        <v>48</v>
      </c>
      <c r="O23" s="8" t="s">
        <v>48</v>
      </c>
      <c r="P23" s="8" t="s">
        <v>49</v>
      </c>
      <c r="Q23" s="8" t="s">
        <v>695</v>
      </c>
      <c r="S23" s="8">
        <v>90.0</v>
      </c>
      <c r="Y23" s="8" t="s">
        <v>73</v>
      </c>
      <c r="Z23" s="8" t="s">
        <v>54</v>
      </c>
      <c r="AC23" s="8" t="s">
        <v>54</v>
      </c>
      <c r="AD23" s="8" t="s">
        <v>54</v>
      </c>
      <c r="AE23" s="8" t="s">
        <v>54</v>
      </c>
      <c r="AF23" s="8" t="s">
        <v>54</v>
      </c>
      <c r="AG23" s="8">
        <v>0.0</v>
      </c>
      <c r="AH23" s="8">
        <v>0.0</v>
      </c>
      <c r="AI23" s="19">
        <f>77800+6260</f>
        <v>84060</v>
      </c>
      <c r="AJ23" s="19">
        <f>330000</f>
        <v>330000</v>
      </c>
      <c r="AM23" s="8">
        <v>100000.0</v>
      </c>
      <c r="AQ23" s="8" t="s">
        <v>47</v>
      </c>
    </row>
    <row r="24">
      <c r="A24" s="8" t="s">
        <v>696</v>
      </c>
      <c r="B24" s="8">
        <v>112.0</v>
      </c>
      <c r="C24" s="48">
        <v>45703.0</v>
      </c>
      <c r="E24" s="8" t="s">
        <v>697</v>
      </c>
      <c r="F24" s="8" t="s">
        <v>124</v>
      </c>
      <c r="G24" s="8">
        <v>2.0</v>
      </c>
      <c r="K24" s="8">
        <v>53883.0</v>
      </c>
      <c r="L24" s="8">
        <v>55713.0</v>
      </c>
      <c r="N24" s="8" t="s">
        <v>88</v>
      </c>
      <c r="O24" s="8" t="s">
        <v>48</v>
      </c>
      <c r="P24" s="8" t="s">
        <v>49</v>
      </c>
      <c r="Q24" s="8" t="s">
        <v>698</v>
      </c>
      <c r="S24" s="8">
        <v>150.0</v>
      </c>
      <c r="Y24" s="8" t="s">
        <v>53</v>
      </c>
      <c r="Z24" s="8" t="s">
        <v>54</v>
      </c>
      <c r="AC24" s="8" t="s">
        <v>54</v>
      </c>
      <c r="AD24" s="8" t="s">
        <v>54</v>
      </c>
      <c r="AE24" s="8" t="s">
        <v>54</v>
      </c>
      <c r="AF24" s="8" t="s">
        <v>54</v>
      </c>
      <c r="AG24" s="8">
        <v>2600.0</v>
      </c>
      <c r="AH24" s="8">
        <v>10400.0</v>
      </c>
      <c r="AI24" s="19">
        <f>17500+1820</f>
        <v>19320</v>
      </c>
      <c r="AJ24" s="19">
        <f>314955+325015</f>
        <v>639970</v>
      </c>
      <c r="AM24" s="8">
        <v>100000.0</v>
      </c>
      <c r="AQ24" s="8" t="s">
        <v>47</v>
      </c>
    </row>
    <row r="25">
      <c r="A25" s="8" t="s">
        <v>699</v>
      </c>
      <c r="B25" s="8">
        <v>112.0</v>
      </c>
      <c r="C25" s="48">
        <v>45893.0</v>
      </c>
      <c r="E25" s="8" t="s">
        <v>700</v>
      </c>
      <c r="F25" s="8" t="s">
        <v>70</v>
      </c>
      <c r="G25" s="8">
        <v>5.0</v>
      </c>
      <c r="K25" s="19">
        <f>4766+1880</f>
        <v>6646</v>
      </c>
      <c r="L25" s="8">
        <f>27528+1180</f>
        <v>28708</v>
      </c>
      <c r="N25" s="8" t="s">
        <v>88</v>
      </c>
      <c r="O25" s="8" t="s">
        <v>88</v>
      </c>
      <c r="P25" s="8" t="s">
        <v>49</v>
      </c>
      <c r="Q25" s="8" t="s">
        <v>701</v>
      </c>
      <c r="S25" s="8">
        <v>20.0</v>
      </c>
      <c r="Y25" s="8" t="s">
        <v>73</v>
      </c>
      <c r="Z25" s="8" t="s">
        <v>54</v>
      </c>
      <c r="AC25" s="8" t="s">
        <v>54</v>
      </c>
      <c r="AD25" s="8" t="s">
        <v>54</v>
      </c>
      <c r="AE25" s="8" t="s">
        <v>54</v>
      </c>
      <c r="AF25" s="8" t="s">
        <v>54</v>
      </c>
      <c r="AG25" s="8">
        <v>3437.0</v>
      </c>
      <c r="AH25" s="8">
        <v>3437.0</v>
      </c>
      <c r="AI25" s="19">
        <f>620</f>
        <v>620</v>
      </c>
      <c r="AJ25" s="8">
        <v>0.0</v>
      </c>
      <c r="AM25" s="8">
        <v>12000.0</v>
      </c>
      <c r="AQ25" s="8" t="s">
        <v>54</v>
      </c>
      <c r="AR25" s="49">
        <v>0.4</v>
      </c>
    </row>
    <row r="26">
      <c r="A26" s="8" t="s">
        <v>702</v>
      </c>
      <c r="B26" s="8">
        <v>112.0</v>
      </c>
      <c r="C26" s="48">
        <v>45675.0</v>
      </c>
      <c r="E26" s="8" t="s">
        <v>703</v>
      </c>
      <c r="F26" s="8" t="s">
        <v>70</v>
      </c>
      <c r="G26" s="8">
        <v>3.0</v>
      </c>
      <c r="K26" s="19">
        <f>72506+36151</f>
        <v>108657</v>
      </c>
      <c r="L26" s="19">
        <f>79337+36801</f>
        <v>116138</v>
      </c>
      <c r="N26" s="8" t="s">
        <v>48</v>
      </c>
      <c r="O26" s="8" t="s">
        <v>48</v>
      </c>
      <c r="P26" s="8" t="s">
        <v>49</v>
      </c>
      <c r="Q26" s="8" t="s">
        <v>704</v>
      </c>
      <c r="S26" s="8">
        <v>90.0</v>
      </c>
      <c r="Y26" s="8" t="s">
        <v>53</v>
      </c>
      <c r="Z26" s="8" t="s">
        <v>54</v>
      </c>
      <c r="AC26" s="8" t="s">
        <v>54</v>
      </c>
      <c r="AD26" s="8" t="s">
        <v>54</v>
      </c>
      <c r="AE26" s="8" t="s">
        <v>54</v>
      </c>
      <c r="AF26" s="8" t="s">
        <v>54</v>
      </c>
      <c r="AG26" s="8">
        <v>1500.0</v>
      </c>
      <c r="AH26" s="8">
        <v>6000.0</v>
      </c>
      <c r="AI26" s="19">
        <f>30600+10085</f>
        <v>40685</v>
      </c>
      <c r="AJ26" s="8">
        <v>0.0</v>
      </c>
      <c r="AM26" s="8">
        <v>100000.0</v>
      </c>
      <c r="AQ26" s="8" t="s">
        <v>47</v>
      </c>
    </row>
    <row r="27">
      <c r="A27" s="8" t="s">
        <v>705</v>
      </c>
      <c r="B27" s="8">
        <v>112.0</v>
      </c>
      <c r="C27" s="48">
        <v>45789.0</v>
      </c>
      <c r="E27" s="8" t="s">
        <v>706</v>
      </c>
      <c r="F27" s="8" t="s">
        <v>46</v>
      </c>
      <c r="G27" s="8">
        <v>4.0</v>
      </c>
      <c r="K27" s="8">
        <v>1306.0</v>
      </c>
      <c r="L27" s="8">
        <v>1306.0</v>
      </c>
      <c r="N27" s="8" t="s">
        <v>48</v>
      </c>
      <c r="O27" s="8" t="s">
        <v>48</v>
      </c>
      <c r="P27" s="8" t="s">
        <v>49</v>
      </c>
      <c r="Q27" s="8" t="s">
        <v>707</v>
      </c>
      <c r="S27" s="8">
        <v>180.0</v>
      </c>
      <c r="Y27" s="8" t="s">
        <v>133</v>
      </c>
      <c r="Z27" s="8" t="s">
        <v>54</v>
      </c>
      <c r="AA27" s="8" t="s">
        <v>54</v>
      </c>
      <c r="AB27" s="8" t="s">
        <v>54</v>
      </c>
      <c r="AC27" s="8" t="s">
        <v>54</v>
      </c>
      <c r="AD27" s="8" t="s">
        <v>54</v>
      </c>
      <c r="AE27" s="8" t="s">
        <v>54</v>
      </c>
      <c r="AF27" s="8" t="s">
        <v>54</v>
      </c>
      <c r="AG27" s="8">
        <v>22289.0</v>
      </c>
      <c r="AH27" s="8">
        <v>27380.0</v>
      </c>
      <c r="AI27" s="8">
        <v>0.0</v>
      </c>
      <c r="AJ27" s="19">
        <f>42500+7001</f>
        <v>49501</v>
      </c>
      <c r="AM27" s="8">
        <v>100000.0</v>
      </c>
      <c r="AQ27" s="8" t="s">
        <v>47</v>
      </c>
    </row>
    <row r="28">
      <c r="A28" s="8" t="s">
        <v>708</v>
      </c>
      <c r="B28" s="8">
        <v>112.0</v>
      </c>
      <c r="C28" s="48">
        <v>45836.0</v>
      </c>
      <c r="E28" s="8" t="s">
        <v>709</v>
      </c>
      <c r="F28" s="8" t="s">
        <v>133</v>
      </c>
      <c r="G28" s="8">
        <v>3.0</v>
      </c>
      <c r="K28" s="8">
        <v>65021.0</v>
      </c>
      <c r="L28" s="8">
        <v>65021.0</v>
      </c>
      <c r="N28" s="8" t="s">
        <v>88</v>
      </c>
      <c r="O28" s="8" t="s">
        <v>48</v>
      </c>
      <c r="P28" s="8" t="s">
        <v>49</v>
      </c>
      <c r="Q28" s="8" t="s">
        <v>710</v>
      </c>
      <c r="S28" s="8">
        <v>60.0</v>
      </c>
      <c r="Y28" s="8" t="s">
        <v>56</v>
      </c>
      <c r="Z28" s="8" t="s">
        <v>54</v>
      </c>
      <c r="AC28" s="8" t="s">
        <v>54</v>
      </c>
      <c r="AD28" s="8" t="s">
        <v>54</v>
      </c>
      <c r="AE28" s="8" t="s">
        <v>54</v>
      </c>
      <c r="AF28" s="8" t="s">
        <v>54</v>
      </c>
      <c r="AG28" s="8">
        <v>0.0</v>
      </c>
      <c r="AH28" s="8">
        <v>0.0</v>
      </c>
      <c r="AI28" s="8">
        <v>750100.0</v>
      </c>
      <c r="AJ28" s="19">
        <f>72000+441079</f>
        <v>513079</v>
      </c>
      <c r="AM28" s="8">
        <v>100000.0</v>
      </c>
      <c r="AQ28" s="8" t="s">
        <v>54</v>
      </c>
      <c r="AR28" s="49">
        <v>0.5</v>
      </c>
    </row>
    <row r="29">
      <c r="A29" s="8" t="s">
        <v>711</v>
      </c>
      <c r="B29" s="8">
        <v>112.0</v>
      </c>
      <c r="C29" s="48">
        <v>45661.0</v>
      </c>
      <c r="E29" s="8" t="s">
        <v>712</v>
      </c>
      <c r="F29" s="8" t="s">
        <v>46</v>
      </c>
      <c r="G29" s="8">
        <v>5.0</v>
      </c>
      <c r="K29" s="8">
        <v>0.0</v>
      </c>
      <c r="L29" s="8">
        <v>0.0</v>
      </c>
      <c r="N29" s="8" t="s">
        <v>48</v>
      </c>
      <c r="O29" s="8" t="s">
        <v>48</v>
      </c>
      <c r="P29" s="8" t="s">
        <v>49</v>
      </c>
      <c r="Q29" s="8" t="s">
        <v>713</v>
      </c>
      <c r="S29" s="8">
        <v>30.0</v>
      </c>
      <c r="Y29" s="8" t="s">
        <v>73</v>
      </c>
      <c r="Z29" s="8" t="s">
        <v>54</v>
      </c>
      <c r="AC29" s="8" t="s">
        <v>54</v>
      </c>
      <c r="AD29" s="8" t="s">
        <v>54</v>
      </c>
      <c r="AE29" s="8" t="s">
        <v>54</v>
      </c>
      <c r="AF29" s="8" t="s">
        <v>54</v>
      </c>
      <c r="AG29" s="8">
        <v>14730.0</v>
      </c>
      <c r="AH29" s="8">
        <v>42000.0</v>
      </c>
      <c r="AI29" s="8">
        <v>0.0</v>
      </c>
      <c r="AJ29" s="8">
        <v>0.0</v>
      </c>
      <c r="AM29" s="8">
        <v>10000.0</v>
      </c>
      <c r="AQ29" s="8" t="s">
        <v>47</v>
      </c>
    </row>
    <row r="30">
      <c r="A30" s="8" t="s">
        <v>714</v>
      </c>
      <c r="B30" s="8">
        <v>112.0</v>
      </c>
      <c r="C30" s="48">
        <v>45815.0</v>
      </c>
      <c r="E30" s="8" t="s">
        <v>715</v>
      </c>
      <c r="F30" s="8" t="s">
        <v>73</v>
      </c>
      <c r="G30" s="8">
        <v>5.0</v>
      </c>
      <c r="K30" s="8">
        <v>0.0</v>
      </c>
      <c r="L30" s="8">
        <v>0.0</v>
      </c>
      <c r="N30" s="8" t="s">
        <v>48</v>
      </c>
      <c r="O30" s="8" t="s">
        <v>48</v>
      </c>
      <c r="P30" s="8" t="s">
        <v>49</v>
      </c>
      <c r="Q30" s="8" t="s">
        <v>716</v>
      </c>
      <c r="S30" s="8">
        <v>120.0</v>
      </c>
      <c r="Y30" s="8" t="s">
        <v>73</v>
      </c>
      <c r="Z30" s="8" t="s">
        <v>54</v>
      </c>
      <c r="AC30" s="8" t="s">
        <v>54</v>
      </c>
      <c r="AD30" s="8" t="s">
        <v>54</v>
      </c>
      <c r="AE30" s="8" t="s">
        <v>54</v>
      </c>
      <c r="AF30" s="8" t="s">
        <v>54</v>
      </c>
      <c r="AG30" s="8">
        <v>0.0</v>
      </c>
      <c r="AH30" s="8">
        <v>0.0</v>
      </c>
      <c r="AI30" s="8">
        <v>0.0</v>
      </c>
      <c r="AJ30" s="8">
        <v>0.0</v>
      </c>
      <c r="AM30" s="8">
        <v>100000.0</v>
      </c>
      <c r="AQ30" s="8" t="s">
        <v>47</v>
      </c>
    </row>
    <row r="31">
      <c r="A31" s="8" t="s">
        <v>717</v>
      </c>
      <c r="B31" s="8">
        <v>112.0</v>
      </c>
      <c r="C31" s="48">
        <v>45687.0</v>
      </c>
      <c r="E31" s="8" t="s">
        <v>718</v>
      </c>
      <c r="F31" s="8" t="s">
        <v>124</v>
      </c>
      <c r="G31" s="8">
        <v>3.0</v>
      </c>
      <c r="K31" s="8">
        <v>133798.0</v>
      </c>
      <c r="L31" s="8">
        <v>133798.0</v>
      </c>
      <c r="N31" s="8" t="s">
        <v>48</v>
      </c>
      <c r="O31" s="8" t="s">
        <v>48</v>
      </c>
      <c r="P31" s="8" t="s">
        <v>61</v>
      </c>
      <c r="Y31" s="8" t="s">
        <v>53</v>
      </c>
      <c r="Z31" s="8" t="s">
        <v>54</v>
      </c>
      <c r="AC31" s="8" t="s">
        <v>54</v>
      </c>
      <c r="AD31" s="8" t="s">
        <v>54</v>
      </c>
      <c r="AE31" s="8" t="s">
        <v>54</v>
      </c>
      <c r="AF31" s="8" t="s">
        <v>54</v>
      </c>
      <c r="AG31" s="8">
        <v>0.0</v>
      </c>
      <c r="AH31" s="8">
        <v>0.0</v>
      </c>
      <c r="AI31" s="19">
        <f>100000+6650</f>
        <v>106650</v>
      </c>
      <c r="AJ31" s="19">
        <f>1306667</f>
        <v>1306667</v>
      </c>
      <c r="AM31" s="8">
        <v>400000.0</v>
      </c>
      <c r="AQ31" s="8" t="s">
        <v>47</v>
      </c>
    </row>
    <row r="32">
      <c r="A32" s="8" t="s">
        <v>719</v>
      </c>
      <c r="B32" s="8">
        <v>112.0</v>
      </c>
      <c r="C32" s="48">
        <v>45726.0</v>
      </c>
      <c r="E32" s="8" t="s">
        <v>720</v>
      </c>
      <c r="F32" s="8" t="s">
        <v>133</v>
      </c>
      <c r="G32" s="8">
        <v>3.0</v>
      </c>
      <c r="K32" s="8">
        <v>292360.0</v>
      </c>
      <c r="L32" s="8">
        <v>292360.0</v>
      </c>
      <c r="N32" s="8" t="s">
        <v>88</v>
      </c>
      <c r="O32" s="8" t="s">
        <v>88</v>
      </c>
      <c r="P32" s="8" t="s">
        <v>61</v>
      </c>
      <c r="Y32" s="8" t="s">
        <v>73</v>
      </c>
      <c r="Z32" s="8" t="s">
        <v>54</v>
      </c>
      <c r="AC32" s="8" t="s">
        <v>54</v>
      </c>
      <c r="AD32" s="8" t="s">
        <v>54</v>
      </c>
      <c r="AE32" s="8" t="s">
        <v>54</v>
      </c>
      <c r="AF32" s="8" t="s">
        <v>54</v>
      </c>
      <c r="AG32" s="8">
        <v>500.0</v>
      </c>
      <c r="AH32" s="8">
        <v>5100.0</v>
      </c>
      <c r="AI32" s="19">
        <f>72000</f>
        <v>72000</v>
      </c>
      <c r="AJ32" s="19">
        <f>105000</f>
        <v>105000</v>
      </c>
      <c r="AM32" s="8">
        <v>100000.0</v>
      </c>
      <c r="AQ32" s="8" t="s">
        <v>47</v>
      </c>
    </row>
    <row r="33">
      <c r="A33" s="8" t="s">
        <v>721</v>
      </c>
      <c r="B33" s="8">
        <v>112.0</v>
      </c>
      <c r="C33" s="48">
        <v>45834.0</v>
      </c>
      <c r="E33" s="8" t="s">
        <v>722</v>
      </c>
      <c r="F33" s="8" t="s">
        <v>73</v>
      </c>
      <c r="G33" s="8">
        <v>4.0</v>
      </c>
      <c r="K33" s="19">
        <f>1817+64992+250+6000</f>
        <v>73059</v>
      </c>
      <c r="L33" s="19">
        <f>1817+64992+250+6000+39260+178000</f>
        <v>290319</v>
      </c>
      <c r="N33" s="8" t="s">
        <v>88</v>
      </c>
      <c r="O33" s="8" t="s">
        <v>48</v>
      </c>
      <c r="P33" s="8" t="s">
        <v>49</v>
      </c>
      <c r="Q33" s="8" t="s">
        <v>723</v>
      </c>
      <c r="S33" s="8">
        <v>20.0</v>
      </c>
      <c r="Y33" s="8" t="s">
        <v>53</v>
      </c>
      <c r="Z33" s="8" t="s">
        <v>54</v>
      </c>
      <c r="AC33" s="8" t="s">
        <v>54</v>
      </c>
      <c r="AD33" s="8" t="s">
        <v>54</v>
      </c>
      <c r="AE33" s="8" t="s">
        <v>54</v>
      </c>
      <c r="AF33" s="8" t="s">
        <v>54</v>
      </c>
      <c r="AG33" s="8">
        <v>0.0</v>
      </c>
      <c r="AH33" s="8">
        <v>0.0</v>
      </c>
      <c r="AI33" s="8">
        <v>180.0</v>
      </c>
      <c r="AJ33" s="8">
        <v>0.0</v>
      </c>
      <c r="AM33" s="8">
        <v>100000.0</v>
      </c>
      <c r="AQ33" s="8" t="s">
        <v>47</v>
      </c>
    </row>
    <row r="34">
      <c r="A34" s="8" t="s">
        <v>724</v>
      </c>
      <c r="B34" s="8">
        <v>112.0</v>
      </c>
      <c r="C34" s="48">
        <v>45660.0</v>
      </c>
      <c r="E34" s="8" t="s">
        <v>725</v>
      </c>
      <c r="F34" s="8" t="s">
        <v>133</v>
      </c>
      <c r="G34" s="8">
        <v>3.0</v>
      </c>
      <c r="K34" s="8">
        <f>741+328913+1200+9000</f>
        <v>339854</v>
      </c>
      <c r="L34" s="8">
        <f>7141+328913+1380+9000</f>
        <v>346434</v>
      </c>
      <c r="N34" s="8" t="s">
        <v>48</v>
      </c>
      <c r="O34" s="8" t="s">
        <v>48</v>
      </c>
      <c r="P34" s="8" t="s">
        <v>61</v>
      </c>
      <c r="Y34" s="8" t="s">
        <v>53</v>
      </c>
      <c r="Z34" s="8" t="s">
        <v>54</v>
      </c>
      <c r="AC34" s="8" t="s">
        <v>54</v>
      </c>
      <c r="AD34" s="8" t="s">
        <v>54</v>
      </c>
      <c r="AE34" s="8" t="s">
        <v>54</v>
      </c>
      <c r="AF34" s="8" t="s">
        <v>54</v>
      </c>
      <c r="AG34" s="8">
        <v>0.0</v>
      </c>
      <c r="AH34" s="8">
        <v>1440.0</v>
      </c>
      <c r="AI34" s="8">
        <f>48000+22000</f>
        <v>70000</v>
      </c>
      <c r="AJ34" s="8">
        <v>0.0</v>
      </c>
      <c r="AM34" s="8">
        <v>120000.0</v>
      </c>
      <c r="AQ34" s="8" t="s">
        <v>47</v>
      </c>
    </row>
    <row r="35">
      <c r="A35" s="8" t="s">
        <v>726</v>
      </c>
      <c r="B35" s="8">
        <v>112.0</v>
      </c>
      <c r="C35" s="48">
        <v>45724.0</v>
      </c>
      <c r="E35" s="8" t="s">
        <v>727</v>
      </c>
      <c r="F35" s="8" t="s">
        <v>124</v>
      </c>
      <c r="G35" s="8">
        <v>4.0</v>
      </c>
      <c r="K35" s="8">
        <v>10096.0</v>
      </c>
      <c r="L35" s="8">
        <v>10096.0</v>
      </c>
      <c r="N35" s="8" t="s">
        <v>48</v>
      </c>
      <c r="O35" s="8" t="s">
        <v>48</v>
      </c>
      <c r="P35" s="8" t="s">
        <v>49</v>
      </c>
      <c r="Q35" s="8" t="s">
        <v>728</v>
      </c>
      <c r="S35" s="8">
        <v>60.0</v>
      </c>
      <c r="Y35" s="8" t="s">
        <v>73</v>
      </c>
      <c r="Z35" s="8" t="s">
        <v>54</v>
      </c>
      <c r="AC35" s="8" t="s">
        <v>54</v>
      </c>
      <c r="AD35" s="8" t="s">
        <v>54</v>
      </c>
      <c r="AE35" s="8" t="s">
        <v>54</v>
      </c>
      <c r="AF35" s="8" t="s">
        <v>54</v>
      </c>
      <c r="AG35" s="8">
        <v>24074.0</v>
      </c>
      <c r="AH35" s="8">
        <v>32235.0</v>
      </c>
      <c r="AI35" s="19">
        <f>37715+7780</f>
        <v>45495</v>
      </c>
      <c r="AJ35" s="19">
        <f>92485</f>
        <v>92485</v>
      </c>
      <c r="AM35" s="8">
        <v>50000.0</v>
      </c>
      <c r="AQ35" s="8" t="s">
        <v>54</v>
      </c>
      <c r="AR35" s="49">
        <v>0.3</v>
      </c>
    </row>
    <row r="36">
      <c r="A36" s="8" t="s">
        <v>729</v>
      </c>
      <c r="B36" s="8">
        <v>112.0</v>
      </c>
      <c r="C36" s="48">
        <v>45708.0</v>
      </c>
      <c r="E36" s="8" t="s">
        <v>730</v>
      </c>
      <c r="F36" s="8" t="s">
        <v>70</v>
      </c>
      <c r="G36" s="8">
        <v>5.0</v>
      </c>
      <c r="K36" s="8">
        <v>7000.0</v>
      </c>
      <c r="L36" s="8">
        <v>7000.0</v>
      </c>
      <c r="N36" s="8" t="s">
        <v>88</v>
      </c>
      <c r="O36" s="8" t="s">
        <v>48</v>
      </c>
      <c r="P36" s="8" t="s">
        <v>49</v>
      </c>
      <c r="Q36" s="8" t="s">
        <v>731</v>
      </c>
      <c r="S36" s="8">
        <v>30.0</v>
      </c>
      <c r="Y36" s="8" t="s">
        <v>53</v>
      </c>
      <c r="Z36" s="8" t="s">
        <v>47</v>
      </c>
      <c r="AC36" s="8" t="s">
        <v>54</v>
      </c>
      <c r="AD36" s="8" t="s">
        <v>54</v>
      </c>
      <c r="AE36" s="8" t="s">
        <v>54</v>
      </c>
      <c r="AF36" s="8" t="s">
        <v>54</v>
      </c>
      <c r="AG36" s="8">
        <v>12000.0</v>
      </c>
      <c r="AH36" s="19">
        <f>19880</f>
        <v>19880</v>
      </c>
      <c r="AI36" s="8">
        <v>0.0</v>
      </c>
      <c r="AJ36" s="8">
        <v>0.0</v>
      </c>
      <c r="AM36" s="8">
        <v>50000.0</v>
      </c>
      <c r="AQ36" s="8" t="s">
        <v>47</v>
      </c>
    </row>
    <row r="37">
      <c r="A37" s="8" t="s">
        <v>732</v>
      </c>
      <c r="B37" s="8">
        <v>112.0</v>
      </c>
      <c r="C37" s="48">
        <v>45806.0</v>
      </c>
      <c r="E37" s="8" t="s">
        <v>733</v>
      </c>
      <c r="F37" s="8" t="s">
        <v>46</v>
      </c>
      <c r="G37" s="8">
        <v>4.0</v>
      </c>
      <c r="K37" s="8">
        <v>459953.0</v>
      </c>
      <c r="L37" s="8">
        <v>459953.0</v>
      </c>
      <c r="N37" s="8" t="s">
        <v>88</v>
      </c>
      <c r="O37" s="8" t="s">
        <v>48</v>
      </c>
      <c r="P37" s="8" t="s">
        <v>49</v>
      </c>
      <c r="Q37" s="8" t="s">
        <v>734</v>
      </c>
      <c r="S37" s="8">
        <v>60.0</v>
      </c>
      <c r="Y37" s="8" t="s">
        <v>73</v>
      </c>
      <c r="Z37" s="8" t="s">
        <v>47</v>
      </c>
      <c r="AC37" s="8" t="s">
        <v>54</v>
      </c>
      <c r="AD37" s="8" t="s">
        <v>54</v>
      </c>
      <c r="AE37" s="8" t="s">
        <v>54</v>
      </c>
      <c r="AF37" s="8" t="s">
        <v>54</v>
      </c>
      <c r="AG37" s="8">
        <v>0.0</v>
      </c>
      <c r="AH37" s="8">
        <v>0.0</v>
      </c>
      <c r="AI37" s="8">
        <v>0.0</v>
      </c>
      <c r="AJ37" s="19">
        <f>327318</f>
        <v>327318</v>
      </c>
      <c r="AM37" s="8">
        <v>150000.0</v>
      </c>
      <c r="AQ37" s="8" t="s">
        <v>47</v>
      </c>
    </row>
    <row r="38">
      <c r="A38" s="8" t="s">
        <v>735</v>
      </c>
      <c r="B38" s="8">
        <v>112.0</v>
      </c>
      <c r="C38" s="48">
        <v>45673.0</v>
      </c>
      <c r="E38" s="8" t="s">
        <v>736</v>
      </c>
      <c r="F38" s="8" t="s">
        <v>70</v>
      </c>
      <c r="G38" s="8">
        <v>3.0</v>
      </c>
      <c r="K38" s="8">
        <v>194835.0</v>
      </c>
      <c r="L38" s="8">
        <v>194835.0</v>
      </c>
      <c r="N38" s="8" t="s">
        <v>88</v>
      </c>
      <c r="O38" s="8" t="s">
        <v>48</v>
      </c>
      <c r="P38" s="8" t="s">
        <v>61</v>
      </c>
      <c r="Y38" s="8" t="s">
        <v>56</v>
      </c>
      <c r="Z38" s="8" t="s">
        <v>54</v>
      </c>
      <c r="AC38" s="8" t="s">
        <v>54</v>
      </c>
      <c r="AD38" s="8" t="s">
        <v>54</v>
      </c>
      <c r="AE38" s="8" t="s">
        <v>54</v>
      </c>
      <c r="AF38" s="8" t="s">
        <v>54</v>
      </c>
      <c r="AG38" s="8">
        <v>8774.0</v>
      </c>
      <c r="AH38" s="8">
        <v>10030.0</v>
      </c>
      <c r="AI38" s="19">
        <f>132000</f>
        <v>132000</v>
      </c>
      <c r="AJ38" s="19">
        <f>228768+368449</f>
        <v>597217</v>
      </c>
      <c r="AM38" s="8">
        <v>250000.0</v>
      </c>
      <c r="AQ38" s="8" t="s">
        <v>47</v>
      </c>
    </row>
    <row r="39">
      <c r="A39" s="8" t="s">
        <v>737</v>
      </c>
      <c r="B39" s="8">
        <v>112.0</v>
      </c>
      <c r="C39" s="48">
        <v>45789.0</v>
      </c>
      <c r="E39" s="8" t="s">
        <v>738</v>
      </c>
      <c r="F39" s="8" t="s">
        <v>124</v>
      </c>
      <c r="G39" s="8">
        <v>3.0</v>
      </c>
      <c r="K39" s="8">
        <v>24061.0</v>
      </c>
      <c r="L39" s="8">
        <v>24061.0</v>
      </c>
      <c r="N39" s="8" t="s">
        <v>48</v>
      </c>
      <c r="O39" s="8" t="s">
        <v>48</v>
      </c>
      <c r="P39" s="8" t="s">
        <v>49</v>
      </c>
      <c r="Q39" s="8" t="s">
        <v>739</v>
      </c>
      <c r="S39" s="8">
        <v>90.0</v>
      </c>
      <c r="Y39" s="8" t="s">
        <v>53</v>
      </c>
      <c r="Z39" s="8" t="s">
        <v>54</v>
      </c>
      <c r="AC39" s="8" t="s">
        <v>54</v>
      </c>
      <c r="AD39" s="8" t="s">
        <v>54</v>
      </c>
      <c r="AE39" s="8" t="s">
        <v>54</v>
      </c>
      <c r="AF39" s="8" t="s">
        <v>54</v>
      </c>
      <c r="AG39" s="8">
        <v>0.0</v>
      </c>
      <c r="AH39" s="8">
        <v>0.0</v>
      </c>
      <c r="AI39" s="19">
        <f>8000</f>
        <v>8000</v>
      </c>
      <c r="AJ39" s="19">
        <f>69000</f>
        <v>69000</v>
      </c>
      <c r="AM39" s="8">
        <v>200000.0</v>
      </c>
      <c r="AQ39" s="8" t="s">
        <v>47</v>
      </c>
    </row>
    <row r="40">
      <c r="A40" s="8" t="s">
        <v>740</v>
      </c>
      <c r="B40" s="8">
        <v>112.0</v>
      </c>
      <c r="C40" s="48">
        <v>45694.0</v>
      </c>
      <c r="E40" s="8" t="s">
        <v>741</v>
      </c>
      <c r="F40" s="8" t="s">
        <v>56</v>
      </c>
      <c r="G40" s="8">
        <v>3.0</v>
      </c>
      <c r="K40" s="8">
        <v>66019.0</v>
      </c>
      <c r="L40" s="8">
        <v>66019.0</v>
      </c>
      <c r="N40" s="8" t="s">
        <v>88</v>
      </c>
      <c r="O40" s="8" t="s">
        <v>48</v>
      </c>
      <c r="P40" s="8" t="s">
        <v>49</v>
      </c>
      <c r="Q40" s="8" t="s">
        <v>742</v>
      </c>
      <c r="S40" s="8">
        <v>55.0</v>
      </c>
      <c r="Y40" s="8" t="s">
        <v>56</v>
      </c>
      <c r="Z40" s="8" t="s">
        <v>54</v>
      </c>
      <c r="AC40" s="8" t="s">
        <v>54</v>
      </c>
      <c r="AD40" s="8" t="s">
        <v>54</v>
      </c>
      <c r="AE40" s="8" t="s">
        <v>54</v>
      </c>
      <c r="AF40" s="8" t="s">
        <v>54</v>
      </c>
      <c r="AG40" s="8">
        <v>2715.0</v>
      </c>
      <c r="AH40" s="8">
        <v>27150.0</v>
      </c>
      <c r="AI40" s="19">
        <f>168000+42000</f>
        <v>210000</v>
      </c>
      <c r="AJ40" s="8">
        <v>551131.0</v>
      </c>
      <c r="AM40" s="8">
        <v>150000.0</v>
      </c>
      <c r="AQ40" s="8" t="s">
        <v>47</v>
      </c>
    </row>
    <row r="41">
      <c r="A41" s="8" t="s">
        <v>743</v>
      </c>
      <c r="B41" s="8">
        <v>112.0</v>
      </c>
      <c r="C41" s="48">
        <v>45897.0</v>
      </c>
      <c r="E41" s="8" t="s">
        <v>744</v>
      </c>
      <c r="F41" s="8" t="s">
        <v>133</v>
      </c>
      <c r="G41" s="8">
        <v>4.0</v>
      </c>
      <c r="K41" s="8">
        <v>598142.0</v>
      </c>
      <c r="L41" s="8">
        <v>598142.0</v>
      </c>
      <c r="N41" s="8" t="s">
        <v>88</v>
      </c>
      <c r="O41" s="8" t="s">
        <v>48</v>
      </c>
      <c r="P41" s="8" t="s">
        <v>49</v>
      </c>
      <c r="Q41" s="8" t="s">
        <v>745</v>
      </c>
      <c r="S41" s="8">
        <v>90.0</v>
      </c>
      <c r="Y41" s="8" t="s">
        <v>73</v>
      </c>
      <c r="Z41" s="8" t="s">
        <v>54</v>
      </c>
      <c r="AC41" s="8" t="s">
        <v>54</v>
      </c>
      <c r="AD41" s="8" t="s">
        <v>54</v>
      </c>
      <c r="AE41" s="8" t="s">
        <v>54</v>
      </c>
      <c r="AF41" s="8" t="s">
        <v>54</v>
      </c>
      <c r="AG41" s="8">
        <v>175.0</v>
      </c>
      <c r="AH41" s="8">
        <v>1750.0</v>
      </c>
      <c r="AI41" s="19">
        <f>198540+150000</f>
        <v>348540</v>
      </c>
      <c r="AJ41" s="19">
        <f>1309+192000</f>
        <v>193309</v>
      </c>
      <c r="AM41" s="8">
        <v>250000.0</v>
      </c>
      <c r="AQ41" s="8" t="s">
        <v>47</v>
      </c>
    </row>
    <row r="42">
      <c r="A42" s="8" t="s">
        <v>746</v>
      </c>
      <c r="B42" s="8">
        <v>112.0</v>
      </c>
      <c r="C42" s="48">
        <v>45789.0</v>
      </c>
      <c r="E42" s="8" t="s">
        <v>747</v>
      </c>
      <c r="F42" s="8" t="s">
        <v>133</v>
      </c>
      <c r="G42" s="8">
        <v>3.0</v>
      </c>
      <c r="K42" s="8">
        <v>14857.0</v>
      </c>
      <c r="L42" s="8">
        <v>14857.0</v>
      </c>
      <c r="N42" s="8" t="s">
        <v>88</v>
      </c>
      <c r="O42" s="8" t="s">
        <v>48</v>
      </c>
      <c r="P42" s="8" t="s">
        <v>49</v>
      </c>
      <c r="Q42" s="8" t="s">
        <v>748</v>
      </c>
      <c r="S42" s="8">
        <v>20.0</v>
      </c>
      <c r="Y42" s="8" t="s">
        <v>53</v>
      </c>
      <c r="Z42" s="8" t="s">
        <v>54</v>
      </c>
      <c r="AC42" s="8" t="s">
        <v>54</v>
      </c>
      <c r="AD42" s="8" t="s">
        <v>54</v>
      </c>
      <c r="AE42" s="8" t="s">
        <v>54</v>
      </c>
      <c r="AF42" s="8" t="s">
        <v>54</v>
      </c>
      <c r="AG42" s="8">
        <v>1580.0</v>
      </c>
      <c r="AH42" s="8">
        <v>15800.0</v>
      </c>
      <c r="AI42" s="8">
        <v>0.0</v>
      </c>
      <c r="AJ42" s="19">
        <f>10800</f>
        <v>10800</v>
      </c>
      <c r="AM42" s="8">
        <v>300000.0</v>
      </c>
      <c r="AQ42" s="8" t="s">
        <v>54</v>
      </c>
    </row>
    <row r="43">
      <c r="A43" s="8" t="s">
        <v>749</v>
      </c>
      <c r="B43" s="8">
        <v>112.0</v>
      </c>
      <c r="C43" s="48">
        <v>45663.0</v>
      </c>
      <c r="E43" s="8" t="s">
        <v>750</v>
      </c>
      <c r="F43" s="8" t="s">
        <v>70</v>
      </c>
      <c r="G43" s="8">
        <v>3.0</v>
      </c>
      <c r="K43" s="8">
        <v>183221.0</v>
      </c>
      <c r="L43" s="8">
        <v>183221.0</v>
      </c>
      <c r="N43" s="8" t="s">
        <v>88</v>
      </c>
      <c r="O43" s="8" t="s">
        <v>48</v>
      </c>
      <c r="P43" s="8" t="s">
        <v>49</v>
      </c>
      <c r="Q43" s="8" t="s">
        <v>751</v>
      </c>
      <c r="S43" s="8">
        <v>90.0</v>
      </c>
      <c r="Y43" s="8" t="s">
        <v>73</v>
      </c>
      <c r="Z43" s="8" t="s">
        <v>54</v>
      </c>
      <c r="AC43" s="8" t="s">
        <v>54</v>
      </c>
      <c r="AD43" s="8" t="s">
        <v>54</v>
      </c>
      <c r="AE43" s="8" t="s">
        <v>54</v>
      </c>
      <c r="AF43" s="8" t="s">
        <v>54</v>
      </c>
      <c r="AG43" s="8">
        <v>0.0</v>
      </c>
      <c r="AH43" s="8">
        <v>0.0</v>
      </c>
      <c r="AI43" s="19">
        <f>36000+15540</f>
        <v>51540</v>
      </c>
      <c r="AJ43" s="19">
        <f>720</f>
        <v>720</v>
      </c>
      <c r="AM43" s="8">
        <v>150000.0</v>
      </c>
      <c r="AQ43" s="8" t="s">
        <v>54</v>
      </c>
      <c r="AR43" s="49">
        <v>0.4</v>
      </c>
    </row>
    <row r="44">
      <c r="A44" s="8" t="s">
        <v>752</v>
      </c>
      <c r="B44" s="8">
        <v>112.0</v>
      </c>
      <c r="C44" s="48">
        <v>45855.0</v>
      </c>
      <c r="E44" s="8" t="s">
        <v>753</v>
      </c>
      <c r="F44" s="8" t="s">
        <v>133</v>
      </c>
      <c r="G44" s="8">
        <v>2.0</v>
      </c>
      <c r="K44" s="19">
        <f>426841+15180</f>
        <v>442021</v>
      </c>
      <c r="L44" s="8">
        <f>426841+15180+84000</f>
        <v>526021</v>
      </c>
      <c r="N44" s="8" t="s">
        <v>48</v>
      </c>
      <c r="O44" s="8" t="s">
        <v>48</v>
      </c>
      <c r="P44" s="8" t="s">
        <v>49</v>
      </c>
      <c r="Q44" s="8" t="s">
        <v>754</v>
      </c>
      <c r="S44" s="8">
        <v>150.0</v>
      </c>
      <c r="Y44" s="8" t="s">
        <v>56</v>
      </c>
      <c r="Z44" s="8" t="s">
        <v>54</v>
      </c>
      <c r="AC44" s="8" t="s">
        <v>54</v>
      </c>
      <c r="AD44" s="8" t="s">
        <v>54</v>
      </c>
      <c r="AE44" s="8" t="s">
        <v>54</v>
      </c>
      <c r="AF44" s="8" t="s">
        <v>54</v>
      </c>
      <c r="AG44" s="8">
        <v>43109.0</v>
      </c>
      <c r="AH44" s="8">
        <v>43109.0</v>
      </c>
      <c r="AI44" s="19">
        <f>417500+29060</f>
        <v>446560</v>
      </c>
      <c r="AJ44" s="19">
        <f>600000+1604844</f>
        <v>2204844</v>
      </c>
      <c r="AM44" s="8">
        <v>300000.0</v>
      </c>
      <c r="AQ44" s="8" t="s">
        <v>54</v>
      </c>
      <c r="AR44" s="49">
        <v>0.3</v>
      </c>
    </row>
    <row r="45">
      <c r="A45" s="8" t="s">
        <v>755</v>
      </c>
      <c r="B45" s="8">
        <v>112.0</v>
      </c>
      <c r="C45" s="48">
        <v>45803.0</v>
      </c>
      <c r="E45" s="8" t="s">
        <v>756</v>
      </c>
      <c r="F45" s="8" t="s">
        <v>56</v>
      </c>
      <c r="G45" s="8">
        <v>3.0</v>
      </c>
      <c r="K45" s="8">
        <v>30000.0</v>
      </c>
      <c r="L45" s="8">
        <v>30000.0</v>
      </c>
      <c r="N45" s="8" t="s">
        <v>48</v>
      </c>
      <c r="O45" s="8" t="s">
        <v>48</v>
      </c>
      <c r="P45" s="8" t="s">
        <v>49</v>
      </c>
      <c r="Q45" s="8" t="s">
        <v>757</v>
      </c>
      <c r="S45" s="8">
        <v>330.0</v>
      </c>
      <c r="Y45" s="8" t="s">
        <v>758</v>
      </c>
      <c r="Z45" s="8" t="s">
        <v>54</v>
      </c>
      <c r="AC45" s="8" t="s">
        <v>54</v>
      </c>
      <c r="AD45" s="8" t="s">
        <v>54</v>
      </c>
      <c r="AE45" s="8" t="s">
        <v>54</v>
      </c>
      <c r="AF45" s="8" t="s">
        <v>54</v>
      </c>
      <c r="AG45" s="19">
        <f>18302+40920</f>
        <v>59222</v>
      </c>
      <c r="AH45" s="8">
        <f>228018+63302</f>
        <v>291320</v>
      </c>
      <c r="AI45" s="8">
        <v>0.0</v>
      </c>
      <c r="AJ45" s="19">
        <f>66370</f>
        <v>66370</v>
      </c>
      <c r="AM45" s="8">
        <v>200000.0</v>
      </c>
      <c r="AQ45" s="8" t="s">
        <v>54</v>
      </c>
      <c r="AR45" s="49">
        <v>0.3</v>
      </c>
    </row>
    <row r="46">
      <c r="A46" s="8" t="s">
        <v>759</v>
      </c>
      <c r="B46" s="8">
        <v>112.0</v>
      </c>
      <c r="C46" s="48">
        <v>45859.0</v>
      </c>
      <c r="E46" s="8" t="s">
        <v>760</v>
      </c>
      <c r="F46" s="8" t="s">
        <v>56</v>
      </c>
      <c r="G46" s="8">
        <v>3.0</v>
      </c>
      <c r="K46" s="8">
        <v>126350.0</v>
      </c>
      <c r="L46" s="8">
        <v>126350.0</v>
      </c>
      <c r="N46" s="8" t="s">
        <v>48</v>
      </c>
      <c r="O46" s="8" t="s">
        <v>48</v>
      </c>
      <c r="P46" s="8" t="s">
        <v>49</v>
      </c>
      <c r="Q46" s="8" t="s">
        <v>761</v>
      </c>
      <c r="S46" s="8">
        <v>120.0</v>
      </c>
      <c r="Y46" s="8" t="s">
        <v>73</v>
      </c>
      <c r="Z46" s="8" t="s">
        <v>54</v>
      </c>
      <c r="AC46" s="8" t="s">
        <v>54</v>
      </c>
      <c r="AD46" s="8" t="s">
        <v>54</v>
      </c>
      <c r="AE46" s="8" t="s">
        <v>54</v>
      </c>
      <c r="AF46" s="8" t="s">
        <v>54</v>
      </c>
      <c r="AG46" s="8">
        <v>5470.0</v>
      </c>
      <c r="AH46" s="8">
        <v>23200.0</v>
      </c>
      <c r="AI46" s="19">
        <f>149500+17050</f>
        <v>166550</v>
      </c>
      <c r="AJ46" s="19">
        <f>364833+26479</f>
        <v>391312</v>
      </c>
      <c r="AM46" s="8">
        <v>500000.0</v>
      </c>
      <c r="AQ46" s="8" t="s">
        <v>47</v>
      </c>
    </row>
    <row r="47">
      <c r="A47" s="8" t="s">
        <v>762</v>
      </c>
      <c r="B47" s="8">
        <v>112.0</v>
      </c>
      <c r="C47" s="48">
        <v>45731.0</v>
      </c>
      <c r="E47" s="8" t="s">
        <v>763</v>
      </c>
      <c r="F47" s="8" t="s">
        <v>70</v>
      </c>
      <c r="G47" s="8">
        <v>5.0</v>
      </c>
      <c r="K47" s="8">
        <v>2570.0</v>
      </c>
      <c r="L47" s="8">
        <v>2570.0</v>
      </c>
      <c r="N47" s="8" t="s">
        <v>48</v>
      </c>
      <c r="O47" s="8" t="s">
        <v>48</v>
      </c>
      <c r="P47" s="8" t="s">
        <v>49</v>
      </c>
      <c r="Q47" s="8" t="s">
        <v>764</v>
      </c>
      <c r="S47" s="8">
        <v>40.0</v>
      </c>
      <c r="Y47" s="8" t="s">
        <v>56</v>
      </c>
      <c r="Z47" s="8" t="s">
        <v>54</v>
      </c>
      <c r="AA47" s="8" t="s">
        <v>54</v>
      </c>
      <c r="AB47" s="8" t="s">
        <v>54</v>
      </c>
      <c r="AC47" s="8" t="s">
        <v>54</v>
      </c>
      <c r="AD47" s="8" t="s">
        <v>54</v>
      </c>
      <c r="AE47" s="8" t="s">
        <v>54</v>
      </c>
      <c r="AF47" s="8" t="s">
        <v>54</v>
      </c>
      <c r="AG47" s="8">
        <v>0.0</v>
      </c>
      <c r="AH47" s="8">
        <v>0.0</v>
      </c>
      <c r="AI47" s="8">
        <v>0.0</v>
      </c>
      <c r="AJ47" s="19">
        <f>34907</f>
        <v>34907</v>
      </c>
      <c r="AM47" s="8">
        <v>50000.0</v>
      </c>
      <c r="AQ47" s="8" t="s">
        <v>54</v>
      </c>
      <c r="AR47" s="49">
        <v>0.2</v>
      </c>
    </row>
    <row r="48">
      <c r="A48" s="8" t="s">
        <v>765</v>
      </c>
      <c r="B48" s="8">
        <v>112.0</v>
      </c>
      <c r="C48" s="48">
        <v>45761.0</v>
      </c>
      <c r="E48" s="8" t="s">
        <v>766</v>
      </c>
      <c r="F48" s="8" t="s">
        <v>133</v>
      </c>
      <c r="G48" s="8">
        <v>3.0</v>
      </c>
      <c r="K48" s="8">
        <v>267888.0</v>
      </c>
      <c r="L48" s="8">
        <v>267888.0</v>
      </c>
      <c r="N48" s="8" t="s">
        <v>88</v>
      </c>
      <c r="O48" s="8" t="s">
        <v>48</v>
      </c>
      <c r="P48" s="8" t="s">
        <v>49</v>
      </c>
      <c r="Q48" s="8" t="s">
        <v>767</v>
      </c>
      <c r="S48" s="8">
        <v>90.0</v>
      </c>
      <c r="Y48" s="8" t="s">
        <v>53</v>
      </c>
      <c r="Z48" s="8" t="s">
        <v>47</v>
      </c>
      <c r="AC48" s="8" t="s">
        <v>47</v>
      </c>
      <c r="AD48" s="8" t="s">
        <v>47</v>
      </c>
      <c r="AE48" s="8" t="s">
        <v>47</v>
      </c>
      <c r="AF48" s="8" t="s">
        <v>47</v>
      </c>
      <c r="AG48" s="8">
        <v>0.0</v>
      </c>
      <c r="AH48" s="8">
        <v>60000.0</v>
      </c>
      <c r="AI48" s="8">
        <v>0.0</v>
      </c>
      <c r="AJ48" s="8">
        <v>0.0</v>
      </c>
      <c r="AM48" s="8">
        <v>200000.0</v>
      </c>
      <c r="AQ48" s="8" t="s">
        <v>54</v>
      </c>
      <c r="AR48" s="49">
        <v>0.3</v>
      </c>
    </row>
    <row r="49">
      <c r="A49" s="8" t="s">
        <v>768</v>
      </c>
      <c r="B49" s="8">
        <v>112.0</v>
      </c>
      <c r="C49" s="48">
        <v>45670.0</v>
      </c>
      <c r="E49" s="8" t="s">
        <v>769</v>
      </c>
      <c r="F49" s="8" t="s">
        <v>133</v>
      </c>
      <c r="G49" s="8">
        <v>5.0</v>
      </c>
      <c r="K49" s="8">
        <v>1460.0</v>
      </c>
      <c r="L49" s="8">
        <v>2005.0</v>
      </c>
      <c r="N49" s="8" t="s">
        <v>88</v>
      </c>
      <c r="O49" s="8" t="s">
        <v>48</v>
      </c>
      <c r="P49" s="8" t="s">
        <v>49</v>
      </c>
      <c r="Q49" s="8" t="s">
        <v>770</v>
      </c>
      <c r="S49" s="8">
        <v>30.0</v>
      </c>
      <c r="Y49" s="8" t="s">
        <v>73</v>
      </c>
      <c r="Z49" s="8" t="s">
        <v>54</v>
      </c>
      <c r="AC49" s="8" t="s">
        <v>54</v>
      </c>
      <c r="AD49" s="8" t="s">
        <v>54</v>
      </c>
      <c r="AE49" s="8" t="s">
        <v>54</v>
      </c>
      <c r="AF49" s="8" t="s">
        <v>54</v>
      </c>
      <c r="AG49" s="8">
        <v>1290.0</v>
      </c>
      <c r="AH49" s="8">
        <v>12900.0</v>
      </c>
      <c r="AI49" s="8">
        <v>0.0</v>
      </c>
      <c r="AJ49" s="8">
        <v>2400.0</v>
      </c>
      <c r="AM49" s="8">
        <v>30000.0</v>
      </c>
      <c r="AQ49" s="8" t="s">
        <v>54</v>
      </c>
      <c r="AR49" s="49">
        <v>0.3</v>
      </c>
    </row>
    <row r="50">
      <c r="A50" s="8" t="s">
        <v>771</v>
      </c>
      <c r="B50" s="8">
        <v>112.0</v>
      </c>
      <c r="C50" s="48">
        <v>45838.0</v>
      </c>
      <c r="E50" s="8" t="s">
        <v>772</v>
      </c>
      <c r="F50" s="8" t="s">
        <v>133</v>
      </c>
      <c r="G50" s="8">
        <v>3.0</v>
      </c>
      <c r="K50" s="8">
        <v>1420.0</v>
      </c>
      <c r="L50" s="8">
        <v>1420.0</v>
      </c>
      <c r="N50" s="8" t="s">
        <v>88</v>
      </c>
      <c r="O50" s="8" t="s">
        <v>48</v>
      </c>
      <c r="P50" s="8" t="s">
        <v>61</v>
      </c>
      <c r="Y50" s="8" t="s">
        <v>73</v>
      </c>
      <c r="Z50" s="8" t="s">
        <v>54</v>
      </c>
      <c r="AC50" s="8" t="s">
        <v>54</v>
      </c>
      <c r="AD50" s="8" t="s">
        <v>54</v>
      </c>
      <c r="AE50" s="8" t="s">
        <v>54</v>
      </c>
      <c r="AF50" s="8" t="s">
        <v>54</v>
      </c>
      <c r="AG50" s="8">
        <v>0.0</v>
      </c>
      <c r="AH50" s="8">
        <v>0.0</v>
      </c>
      <c r="AI50" s="19">
        <f>72000+2180</f>
        <v>74180</v>
      </c>
      <c r="AJ50" s="19">
        <f>50000</f>
        <v>50000</v>
      </c>
      <c r="AM50" s="8">
        <v>90000.0</v>
      </c>
      <c r="AQ50" s="8" t="s">
        <v>47</v>
      </c>
    </row>
    <row r="51">
      <c r="A51" s="8" t="s">
        <v>773</v>
      </c>
      <c r="B51" s="8">
        <v>112.0</v>
      </c>
      <c r="C51" s="48">
        <v>45690.0</v>
      </c>
      <c r="E51" s="8" t="s">
        <v>774</v>
      </c>
      <c r="F51" s="8" t="s">
        <v>70</v>
      </c>
      <c r="G51" s="8">
        <v>5.0</v>
      </c>
      <c r="K51" s="8">
        <v>430.0</v>
      </c>
      <c r="L51" s="8">
        <v>4430.0</v>
      </c>
      <c r="N51" s="8" t="s">
        <v>88</v>
      </c>
      <c r="O51" s="8" t="s">
        <v>48</v>
      </c>
      <c r="P51" s="8" t="s">
        <v>49</v>
      </c>
      <c r="Q51" s="8" t="s">
        <v>775</v>
      </c>
      <c r="S51" s="8">
        <v>30.0</v>
      </c>
      <c r="Y51" s="8" t="s">
        <v>53</v>
      </c>
      <c r="Z51" s="8" t="s">
        <v>54</v>
      </c>
      <c r="AC51" s="8" t="s">
        <v>54</v>
      </c>
      <c r="AD51" s="8" t="s">
        <v>54</v>
      </c>
      <c r="AE51" s="8" t="s">
        <v>54</v>
      </c>
      <c r="AF51" s="8" t="s">
        <v>54</v>
      </c>
      <c r="AG51" s="8">
        <v>370.0</v>
      </c>
      <c r="AH51" s="8">
        <v>3700.0</v>
      </c>
      <c r="AI51" s="8">
        <v>0.0</v>
      </c>
      <c r="AJ51" s="8">
        <v>0.0</v>
      </c>
      <c r="AM51" s="8">
        <v>10000.0</v>
      </c>
      <c r="AQ51" s="8" t="s">
        <v>47</v>
      </c>
    </row>
    <row r="52">
      <c r="A52" s="8" t="s">
        <v>776</v>
      </c>
      <c r="B52" s="8">
        <v>112.0</v>
      </c>
      <c r="C52" s="48">
        <v>45713.0</v>
      </c>
      <c r="E52" s="8" t="s">
        <v>777</v>
      </c>
      <c r="F52" s="8" t="s">
        <v>73</v>
      </c>
      <c r="G52" s="8">
        <v>2.0</v>
      </c>
      <c r="K52" s="8">
        <f t="shared" ref="K52:L52" si="3">542969+7318</f>
        <v>550287</v>
      </c>
      <c r="L52" s="8">
        <f t="shared" si="3"/>
        <v>550287</v>
      </c>
      <c r="N52" s="8" t="s">
        <v>88</v>
      </c>
      <c r="O52" s="8" t="s">
        <v>48</v>
      </c>
      <c r="P52" s="8" t="s">
        <v>61</v>
      </c>
      <c r="Y52" s="8" t="s">
        <v>53</v>
      </c>
      <c r="Z52" s="8" t="s">
        <v>54</v>
      </c>
      <c r="AC52" s="8" t="s">
        <v>54</v>
      </c>
      <c r="AD52" s="8" t="s">
        <v>54</v>
      </c>
      <c r="AE52" s="8" t="s">
        <v>54</v>
      </c>
      <c r="AF52" s="8" t="s">
        <v>54</v>
      </c>
      <c r="AG52" s="8">
        <v>27000.0</v>
      </c>
      <c r="AH52" s="8">
        <v>27000.0</v>
      </c>
      <c r="AI52" s="19">
        <f>20260+66000</f>
        <v>86260</v>
      </c>
      <c r="AJ52" s="8">
        <v>0.0</v>
      </c>
      <c r="AM52" s="8">
        <v>1250000.0</v>
      </c>
      <c r="AQ52" s="8" t="s">
        <v>47</v>
      </c>
    </row>
    <row r="53">
      <c r="A53" s="8" t="s">
        <v>778</v>
      </c>
      <c r="B53" s="8">
        <v>112.0</v>
      </c>
      <c r="C53" s="48">
        <v>45731.0</v>
      </c>
      <c r="E53" s="8" t="s">
        <v>779</v>
      </c>
      <c r="F53" s="8" t="s">
        <v>70</v>
      </c>
      <c r="G53" s="8">
        <v>3.0</v>
      </c>
      <c r="K53" s="8">
        <f t="shared" ref="K53:L53" si="4">172608+43845</f>
        <v>216453</v>
      </c>
      <c r="L53" s="8">
        <f t="shared" si="4"/>
        <v>216453</v>
      </c>
      <c r="N53" s="8" t="s">
        <v>48</v>
      </c>
      <c r="O53" s="8" t="s">
        <v>48</v>
      </c>
      <c r="P53" s="8" t="s">
        <v>49</v>
      </c>
      <c r="Q53" s="8" t="s">
        <v>780</v>
      </c>
      <c r="S53" s="8">
        <v>55.0</v>
      </c>
      <c r="Y53" s="8" t="s">
        <v>73</v>
      </c>
      <c r="Z53" s="8" t="s">
        <v>54</v>
      </c>
      <c r="AC53" s="8" t="s">
        <v>54</v>
      </c>
      <c r="AD53" s="8" t="s">
        <v>54</v>
      </c>
      <c r="AE53" s="8" t="s">
        <v>54</v>
      </c>
      <c r="AF53" s="8" t="s">
        <v>54</v>
      </c>
      <c r="AG53" s="8">
        <v>6300.0</v>
      </c>
      <c r="AH53" s="8">
        <v>14780.0</v>
      </c>
      <c r="AI53" s="19">
        <f>5200+21600</f>
        <v>26800</v>
      </c>
      <c r="AJ53" s="19">
        <f>606387+1049491</f>
        <v>1655878</v>
      </c>
      <c r="AM53" s="8">
        <v>500000.0</v>
      </c>
      <c r="AQ53" s="8" t="s">
        <v>47</v>
      </c>
    </row>
    <row r="54">
      <c r="A54" s="8" t="s">
        <v>781</v>
      </c>
      <c r="B54" s="8">
        <v>112.0</v>
      </c>
      <c r="C54" s="48">
        <v>45726.0</v>
      </c>
      <c r="E54" s="8" t="s">
        <v>782</v>
      </c>
      <c r="F54" s="8" t="s">
        <v>70</v>
      </c>
      <c r="G54" s="8">
        <v>4.0</v>
      </c>
      <c r="K54" s="8">
        <v>68366.0</v>
      </c>
      <c r="L54" s="8">
        <v>68366.0</v>
      </c>
      <c r="N54" s="8" t="s">
        <v>48</v>
      </c>
      <c r="O54" s="8" t="s">
        <v>88</v>
      </c>
      <c r="P54" s="8" t="s">
        <v>49</v>
      </c>
      <c r="Q54" s="8" t="s">
        <v>783</v>
      </c>
      <c r="S54" s="8">
        <v>40.0</v>
      </c>
      <c r="Y54" s="8" t="s">
        <v>73</v>
      </c>
      <c r="Z54" s="8" t="s">
        <v>54</v>
      </c>
      <c r="AA54" s="8" t="s">
        <v>54</v>
      </c>
      <c r="AB54" s="8" t="s">
        <v>54</v>
      </c>
      <c r="AC54" s="8" t="s">
        <v>54</v>
      </c>
      <c r="AD54" s="8" t="s">
        <v>54</v>
      </c>
      <c r="AE54" s="8" t="s">
        <v>54</v>
      </c>
      <c r="AF54" s="8" t="s">
        <v>54</v>
      </c>
      <c r="AG54" s="8">
        <v>0.0</v>
      </c>
      <c r="AH54" s="8">
        <v>16600.0</v>
      </c>
      <c r="AI54" s="19">
        <f>66000</f>
        <v>66000</v>
      </c>
      <c r="AJ54" s="19">
        <f>71400</f>
        <v>71400</v>
      </c>
      <c r="AM54" s="8">
        <v>100000.0</v>
      </c>
      <c r="AQ54" s="8" t="s">
        <v>54</v>
      </c>
      <c r="AR54" s="49">
        <v>0.2</v>
      </c>
    </row>
    <row r="55">
      <c r="A55" s="8" t="s">
        <v>784</v>
      </c>
      <c r="B55" s="8">
        <v>112.0</v>
      </c>
      <c r="C55" s="48">
        <v>45698.0</v>
      </c>
      <c r="E55" s="8" t="s">
        <v>785</v>
      </c>
      <c r="F55" s="8" t="s">
        <v>70</v>
      </c>
      <c r="G55" s="8">
        <v>5.0</v>
      </c>
      <c r="K55" s="8">
        <v>8829.0</v>
      </c>
      <c r="L55" s="8">
        <v>8829.0</v>
      </c>
      <c r="N55" s="8" t="s">
        <v>48</v>
      </c>
      <c r="O55" s="8" t="s">
        <v>48</v>
      </c>
      <c r="P55" s="8" t="s">
        <v>49</v>
      </c>
      <c r="Q55" s="8" t="s">
        <v>786</v>
      </c>
      <c r="S55" s="8">
        <v>55.0</v>
      </c>
      <c r="Y55" s="8" t="s">
        <v>53</v>
      </c>
      <c r="Z55" s="8" t="s">
        <v>54</v>
      </c>
      <c r="AC55" s="8" t="s">
        <v>54</v>
      </c>
      <c r="AD55" s="8" t="s">
        <v>54</v>
      </c>
      <c r="AE55" s="8" t="s">
        <v>54</v>
      </c>
      <c r="AF55" s="8" t="s">
        <v>54</v>
      </c>
      <c r="AG55" s="8">
        <v>13260.0</v>
      </c>
      <c r="AH55" s="8">
        <v>13260.0</v>
      </c>
      <c r="AI55" s="8">
        <v>0.0</v>
      </c>
      <c r="AJ55" s="8">
        <f>107377+8548+1350</f>
        <v>117275</v>
      </c>
      <c r="AM55" s="8">
        <v>120000.0</v>
      </c>
      <c r="AQ55" s="8" t="s">
        <v>47</v>
      </c>
    </row>
    <row r="56">
      <c r="A56" s="8" t="s">
        <v>787</v>
      </c>
      <c r="B56" s="8">
        <v>112.0</v>
      </c>
      <c r="C56" s="48">
        <v>45724.0</v>
      </c>
      <c r="E56" s="8" t="s">
        <v>788</v>
      </c>
      <c r="F56" s="8" t="s">
        <v>124</v>
      </c>
      <c r="G56" s="8">
        <v>3.0</v>
      </c>
      <c r="K56" s="8">
        <v>33083.0</v>
      </c>
      <c r="L56" s="8">
        <v>168901.0</v>
      </c>
      <c r="N56" s="8" t="s">
        <v>48</v>
      </c>
      <c r="O56" s="8" t="s">
        <v>48</v>
      </c>
      <c r="P56" s="8" t="s">
        <v>49</v>
      </c>
      <c r="Q56" s="8" t="s">
        <v>789</v>
      </c>
      <c r="S56" s="8">
        <v>50.0</v>
      </c>
      <c r="Y56" s="8" t="s">
        <v>53</v>
      </c>
      <c r="Z56" s="8" t="s">
        <v>54</v>
      </c>
      <c r="AA56" s="8" t="s">
        <v>54</v>
      </c>
      <c r="AB56" s="8" t="s">
        <v>54</v>
      </c>
      <c r="AC56" s="8" t="s">
        <v>54</v>
      </c>
      <c r="AD56" s="8" t="s">
        <v>54</v>
      </c>
      <c r="AE56" s="8" t="s">
        <v>54</v>
      </c>
      <c r="AF56" s="8" t="s">
        <v>54</v>
      </c>
      <c r="AG56" s="8">
        <v>3698.0</v>
      </c>
      <c r="AH56" s="8">
        <v>7565.0</v>
      </c>
      <c r="AI56" s="19">
        <f>75000</f>
        <v>75000</v>
      </c>
      <c r="AJ56" s="19">
        <f>7062+1518000+615586</f>
        <v>2140648</v>
      </c>
      <c r="AM56" s="8">
        <v>200000.0</v>
      </c>
      <c r="AQ56" s="8" t="s">
        <v>54</v>
      </c>
      <c r="AR56" s="49">
        <v>0.3</v>
      </c>
    </row>
    <row r="57">
      <c r="A57" s="8" t="s">
        <v>790</v>
      </c>
      <c r="B57" s="8">
        <v>112.0</v>
      </c>
      <c r="C57" s="48">
        <v>45815.0</v>
      </c>
      <c r="E57" s="8" t="s">
        <v>791</v>
      </c>
      <c r="F57" s="8" t="s">
        <v>73</v>
      </c>
      <c r="G57" s="8">
        <v>4.0</v>
      </c>
      <c r="K57" s="8">
        <v>13898.0</v>
      </c>
      <c r="L57" s="8">
        <v>13898.0</v>
      </c>
      <c r="N57" s="8" t="s">
        <v>88</v>
      </c>
      <c r="O57" s="8" t="s">
        <v>48</v>
      </c>
      <c r="P57" s="8" t="s">
        <v>49</v>
      </c>
      <c r="Q57" s="8" t="s">
        <v>792</v>
      </c>
      <c r="S57" s="8">
        <v>120.0</v>
      </c>
      <c r="Y57" s="8" t="s">
        <v>73</v>
      </c>
      <c r="Z57" s="8" t="s">
        <v>54</v>
      </c>
      <c r="AA57" s="8" t="s">
        <v>54</v>
      </c>
      <c r="AB57" s="8" t="s">
        <v>54</v>
      </c>
      <c r="AC57" s="8" t="s">
        <v>54</v>
      </c>
      <c r="AD57" s="8" t="s">
        <v>54</v>
      </c>
      <c r="AE57" s="8" t="s">
        <v>54</v>
      </c>
      <c r="AF57" s="8" t="s">
        <v>54</v>
      </c>
      <c r="AG57" s="8">
        <v>0.0</v>
      </c>
      <c r="AH57" s="8">
        <v>0.0</v>
      </c>
      <c r="AI57" s="19">
        <f>217000+1800+30000+3386+157500+900</f>
        <v>410586</v>
      </c>
      <c r="AJ57" s="19">
        <f>4920+4872</f>
        <v>9792</v>
      </c>
      <c r="AM57" s="8">
        <v>200000.0</v>
      </c>
      <c r="AQ57" s="8" t="s">
        <v>47</v>
      </c>
    </row>
    <row r="58">
      <c r="A58" s="8" t="s">
        <v>793</v>
      </c>
      <c r="B58" s="8">
        <v>112.0</v>
      </c>
      <c r="C58" s="48">
        <v>45689.0</v>
      </c>
      <c r="E58" s="8" t="s">
        <v>794</v>
      </c>
      <c r="F58" s="8" t="s">
        <v>70</v>
      </c>
      <c r="G58" s="8">
        <v>5.0</v>
      </c>
      <c r="K58" s="8">
        <v>1163.0</v>
      </c>
      <c r="L58" s="8">
        <v>191575.0</v>
      </c>
      <c r="N58" s="8" t="s">
        <v>48</v>
      </c>
      <c r="O58" s="8" t="s">
        <v>48</v>
      </c>
      <c r="P58" s="8" t="s">
        <v>49</v>
      </c>
      <c r="Q58" s="8" t="s">
        <v>795</v>
      </c>
      <c r="S58" s="8">
        <v>20.0</v>
      </c>
      <c r="Y58" s="8" t="s">
        <v>73</v>
      </c>
      <c r="Z58" s="8" t="s">
        <v>54</v>
      </c>
      <c r="AA58" s="8" t="s">
        <v>54</v>
      </c>
      <c r="AB58" s="8" t="s">
        <v>54</v>
      </c>
      <c r="AC58" s="8" t="s">
        <v>54</v>
      </c>
      <c r="AD58" s="8" t="s">
        <v>54</v>
      </c>
      <c r="AE58" s="8" t="s">
        <v>54</v>
      </c>
      <c r="AF58" s="8" t="s">
        <v>54</v>
      </c>
      <c r="AG58" s="8">
        <v>48200.0</v>
      </c>
      <c r="AH58" s="8">
        <v>48200.0</v>
      </c>
      <c r="AI58" s="8">
        <v>0.0</v>
      </c>
      <c r="AJ58" s="8">
        <v>0.0</v>
      </c>
      <c r="AM58" s="8">
        <v>9000.0</v>
      </c>
      <c r="AQ58" s="8" t="s">
        <v>54</v>
      </c>
      <c r="AR58" s="49">
        <v>0.7</v>
      </c>
    </row>
    <row r="59">
      <c r="A59" s="8" t="s">
        <v>796</v>
      </c>
      <c r="B59" s="8">
        <v>112.0</v>
      </c>
      <c r="C59" s="48">
        <v>45745.0</v>
      </c>
      <c r="E59" s="8" t="s">
        <v>797</v>
      </c>
      <c r="F59" s="8" t="s">
        <v>70</v>
      </c>
      <c r="G59" s="8">
        <v>3.0</v>
      </c>
      <c r="K59" s="8">
        <v>163432.0</v>
      </c>
      <c r="L59" s="8">
        <f>163432+4172+5590</f>
        <v>173194</v>
      </c>
      <c r="N59" s="8" t="s">
        <v>48</v>
      </c>
      <c r="O59" s="8" t="s">
        <v>48</v>
      </c>
      <c r="P59" s="8" t="s">
        <v>61</v>
      </c>
      <c r="Y59" s="8" t="s">
        <v>73</v>
      </c>
      <c r="Z59" s="8" t="s">
        <v>47</v>
      </c>
      <c r="AC59" s="8" t="s">
        <v>47</v>
      </c>
      <c r="AD59" s="8" t="s">
        <v>47</v>
      </c>
      <c r="AE59" s="8" t="s">
        <v>47</v>
      </c>
      <c r="AF59" s="8" t="s">
        <v>47</v>
      </c>
      <c r="AG59" s="8">
        <v>0.0</v>
      </c>
      <c r="AH59" s="8">
        <v>0.0</v>
      </c>
      <c r="AI59" s="19">
        <f>101200</f>
        <v>101200</v>
      </c>
      <c r="AJ59" s="19">
        <f>468846+1052954</f>
        <v>1521800</v>
      </c>
      <c r="AM59" s="8">
        <v>200000.0</v>
      </c>
      <c r="AQ59" s="8" t="s">
        <v>47</v>
      </c>
    </row>
    <row r="60">
      <c r="A60" s="8" t="s">
        <v>798</v>
      </c>
      <c r="B60" s="8">
        <v>112.0</v>
      </c>
      <c r="C60" s="48">
        <v>45689.0</v>
      </c>
      <c r="E60" s="8" t="s">
        <v>799</v>
      </c>
      <c r="F60" s="8" t="s">
        <v>73</v>
      </c>
      <c r="G60" s="8">
        <v>2.0</v>
      </c>
      <c r="K60" s="8">
        <v>113198.0</v>
      </c>
      <c r="L60" s="8">
        <v>117108.0</v>
      </c>
      <c r="N60" s="51" t="s">
        <v>88</v>
      </c>
      <c r="O60" s="8" t="s">
        <v>48</v>
      </c>
      <c r="P60" s="8" t="s">
        <v>49</v>
      </c>
      <c r="Q60" s="8" t="s">
        <v>800</v>
      </c>
      <c r="S60" s="8">
        <v>150.0</v>
      </c>
      <c r="Y60" s="8" t="s">
        <v>73</v>
      </c>
      <c r="Z60" s="8" t="s">
        <v>54</v>
      </c>
      <c r="AC60" s="8" t="s">
        <v>54</v>
      </c>
      <c r="AD60" s="8" t="s">
        <v>54</v>
      </c>
      <c r="AE60" s="8" t="s">
        <v>54</v>
      </c>
      <c r="AF60" s="8" t="s">
        <v>54</v>
      </c>
      <c r="AG60" s="8">
        <v>0.0</v>
      </c>
      <c r="AH60" s="8">
        <v>0.0</v>
      </c>
      <c r="AI60" s="19">
        <f>278000+172680+33000</f>
        <v>483680</v>
      </c>
      <c r="AJ60" s="19">
        <f>14554</f>
        <v>14554</v>
      </c>
      <c r="AM60" s="8">
        <v>1400000.0</v>
      </c>
      <c r="AQ60" s="8" t="s">
        <v>47</v>
      </c>
    </row>
    <row r="61">
      <c r="A61" s="8" t="s">
        <v>801</v>
      </c>
      <c r="B61" s="8">
        <v>112.0</v>
      </c>
      <c r="C61" s="48">
        <v>45691.0</v>
      </c>
      <c r="E61" s="8" t="s">
        <v>802</v>
      </c>
      <c r="F61" s="8" t="s">
        <v>133</v>
      </c>
      <c r="G61" s="8">
        <v>3.0</v>
      </c>
      <c r="K61" s="8">
        <f>368894+11694</f>
        <v>380588</v>
      </c>
      <c r="L61" s="8">
        <f>368894+14000</f>
        <v>382894</v>
      </c>
      <c r="N61" s="51" t="s">
        <v>88</v>
      </c>
      <c r="O61" s="51" t="s">
        <v>88</v>
      </c>
      <c r="P61" s="8" t="s">
        <v>49</v>
      </c>
      <c r="Q61" s="8" t="s">
        <v>803</v>
      </c>
      <c r="S61" s="8">
        <v>60.0</v>
      </c>
      <c r="Y61" s="8" t="s">
        <v>56</v>
      </c>
      <c r="Z61" s="8" t="s">
        <v>54</v>
      </c>
      <c r="AA61" s="8" t="s">
        <v>54</v>
      </c>
      <c r="AB61" s="8" t="s">
        <v>54</v>
      </c>
      <c r="AC61" s="8" t="s">
        <v>54</v>
      </c>
      <c r="AD61" s="8" t="s">
        <v>54</v>
      </c>
      <c r="AE61" s="8" t="s">
        <v>54</v>
      </c>
      <c r="AF61" s="8" t="s">
        <v>54</v>
      </c>
      <c r="AG61" s="8">
        <v>0.0</v>
      </c>
      <c r="AH61" s="8">
        <v>0.0</v>
      </c>
      <c r="AI61" s="19">
        <f>139700+72000</f>
        <v>211700</v>
      </c>
      <c r="AJ61" s="8">
        <v>0.0</v>
      </c>
      <c r="AM61" s="8">
        <v>400000.0</v>
      </c>
      <c r="AQ61" s="8" t="s">
        <v>47</v>
      </c>
    </row>
    <row r="62">
      <c r="A62" s="8" t="s">
        <v>804</v>
      </c>
      <c r="B62" s="8">
        <v>112.0</v>
      </c>
      <c r="C62" s="48">
        <v>45662.0</v>
      </c>
      <c r="E62" s="8" t="s">
        <v>805</v>
      </c>
      <c r="F62" s="8" t="s">
        <v>46</v>
      </c>
      <c r="G62" s="8">
        <v>3.0</v>
      </c>
      <c r="K62" s="8">
        <v>55716.0</v>
      </c>
      <c r="L62" s="8">
        <v>55716.0</v>
      </c>
      <c r="N62" s="51" t="s">
        <v>88</v>
      </c>
      <c r="O62" s="8" t="s">
        <v>48</v>
      </c>
      <c r="P62" s="8" t="s">
        <v>49</v>
      </c>
      <c r="Q62" s="8" t="s">
        <v>806</v>
      </c>
      <c r="S62" s="8">
        <v>60.0</v>
      </c>
      <c r="Y62" s="8" t="s">
        <v>53</v>
      </c>
      <c r="Z62" s="8" t="s">
        <v>54</v>
      </c>
      <c r="AC62" s="8" t="s">
        <v>54</v>
      </c>
      <c r="AD62" s="8" t="s">
        <v>54</v>
      </c>
      <c r="AE62" s="8" t="s">
        <v>54</v>
      </c>
      <c r="AF62" s="8" t="s">
        <v>54</v>
      </c>
      <c r="AG62" s="8">
        <v>0.0</v>
      </c>
      <c r="AH62" s="8">
        <v>0.0</v>
      </c>
      <c r="AI62" s="19">
        <f>42500</f>
        <v>42500</v>
      </c>
      <c r="AJ62" s="19">
        <f>795</f>
        <v>795</v>
      </c>
      <c r="AM62" s="8">
        <v>200000.0</v>
      </c>
      <c r="AQ62" s="8" t="s">
        <v>54</v>
      </c>
      <c r="AR62" s="49">
        <v>0.3</v>
      </c>
    </row>
    <row r="63">
      <c r="A63" s="8" t="s">
        <v>807</v>
      </c>
      <c r="B63" s="8">
        <v>112.0</v>
      </c>
      <c r="C63" s="48">
        <v>45843.0</v>
      </c>
      <c r="E63" s="8" t="s">
        <v>808</v>
      </c>
      <c r="F63" s="8" t="s">
        <v>70</v>
      </c>
      <c r="G63" s="8">
        <v>3.0</v>
      </c>
      <c r="K63" s="19">
        <f t="shared" ref="K63:L63" si="5">456540+150750</f>
        <v>607290</v>
      </c>
      <c r="L63" s="19">
        <f t="shared" si="5"/>
        <v>607290</v>
      </c>
      <c r="N63" s="8" t="s">
        <v>48</v>
      </c>
      <c r="O63" s="8" t="s">
        <v>48</v>
      </c>
      <c r="P63" s="8" t="s">
        <v>49</v>
      </c>
      <c r="Q63" s="8" t="s">
        <v>809</v>
      </c>
      <c r="S63" s="8">
        <v>50.0</v>
      </c>
      <c r="Y63" s="8" t="s">
        <v>73</v>
      </c>
      <c r="Z63" s="8" t="s">
        <v>54</v>
      </c>
      <c r="AA63" s="8" t="s">
        <v>54</v>
      </c>
      <c r="AB63" s="8" t="s">
        <v>54</v>
      </c>
      <c r="AC63" s="8" t="s">
        <v>54</v>
      </c>
      <c r="AD63" s="8" t="s">
        <v>54</v>
      </c>
      <c r="AE63" s="8" t="s">
        <v>54</v>
      </c>
      <c r="AF63" s="8" t="s">
        <v>54</v>
      </c>
      <c r="AG63" s="8">
        <v>15810.0</v>
      </c>
      <c r="AH63" s="8">
        <v>57300.0</v>
      </c>
      <c r="AI63" s="19">
        <f>473600+32980+13000</f>
        <v>519580</v>
      </c>
      <c r="AJ63" s="8">
        <f>1150019</f>
        <v>1150019</v>
      </c>
      <c r="AM63" s="8">
        <v>300000.0</v>
      </c>
      <c r="AQ63" s="8" t="s">
        <v>54</v>
      </c>
      <c r="AR63" s="49">
        <v>0.3</v>
      </c>
    </row>
    <row r="64">
      <c r="A64" s="8" t="s">
        <v>810</v>
      </c>
      <c r="B64" s="8">
        <v>112.0</v>
      </c>
      <c r="C64" s="48">
        <v>45732.0</v>
      </c>
      <c r="E64" s="8" t="s">
        <v>811</v>
      </c>
      <c r="F64" s="8" t="s">
        <v>56</v>
      </c>
      <c r="G64" s="8">
        <v>3.0</v>
      </c>
      <c r="K64" s="8">
        <v>62897.0</v>
      </c>
      <c r="L64" s="8">
        <v>71000.0</v>
      </c>
      <c r="N64" s="8" t="s">
        <v>88</v>
      </c>
      <c r="O64" s="8" t="s">
        <v>48</v>
      </c>
      <c r="P64" s="8" t="s">
        <v>49</v>
      </c>
      <c r="Q64" s="8" t="s">
        <v>812</v>
      </c>
      <c r="S64" s="8">
        <v>30.0</v>
      </c>
      <c r="Y64" s="8" t="s">
        <v>73</v>
      </c>
      <c r="Z64" s="8" t="s">
        <v>54</v>
      </c>
      <c r="AC64" s="8" t="s">
        <v>54</v>
      </c>
      <c r="AD64" s="8" t="s">
        <v>54</v>
      </c>
      <c r="AE64" s="8" t="s">
        <v>54</v>
      </c>
      <c r="AF64" s="8" t="s">
        <v>54</v>
      </c>
      <c r="AG64" s="8">
        <v>0.0</v>
      </c>
      <c r="AH64" s="8">
        <v>0.0</v>
      </c>
      <c r="AI64" s="19">
        <f>3185+115679</f>
        <v>118864</v>
      </c>
      <c r="AJ64" s="19">
        <f>11500</f>
        <v>11500</v>
      </c>
      <c r="AM64" s="8">
        <v>100000.0</v>
      </c>
      <c r="AQ64" s="8" t="s">
        <v>54</v>
      </c>
      <c r="AR64" s="49">
        <v>0.6</v>
      </c>
    </row>
    <row r="65">
      <c r="A65" s="8" t="s">
        <v>813</v>
      </c>
      <c r="B65" s="8">
        <v>112.0</v>
      </c>
      <c r="C65" s="48">
        <v>45664.0</v>
      </c>
      <c r="E65" s="8" t="s">
        <v>814</v>
      </c>
      <c r="F65" s="8" t="s">
        <v>70</v>
      </c>
      <c r="G65" s="8">
        <v>5.0</v>
      </c>
      <c r="K65" s="8">
        <v>0.0</v>
      </c>
      <c r="L65" s="8">
        <v>2000.0</v>
      </c>
      <c r="N65" s="8" t="s">
        <v>48</v>
      </c>
      <c r="O65" s="8" t="s">
        <v>48</v>
      </c>
      <c r="P65" s="8" t="s">
        <v>49</v>
      </c>
      <c r="Q65" s="8" t="s">
        <v>815</v>
      </c>
      <c r="S65" s="8">
        <v>50.0</v>
      </c>
      <c r="Y65" s="8" t="s">
        <v>46</v>
      </c>
      <c r="Z65" s="8" t="s">
        <v>54</v>
      </c>
      <c r="AC65" s="8" t="s">
        <v>54</v>
      </c>
      <c r="AD65" s="8" t="s">
        <v>54</v>
      </c>
      <c r="AE65" s="8" t="s">
        <v>54</v>
      </c>
      <c r="AF65" s="8" t="s">
        <v>54</v>
      </c>
      <c r="AG65" s="8">
        <v>10145.0</v>
      </c>
      <c r="AH65" s="8">
        <v>78800.0</v>
      </c>
      <c r="AI65" s="8">
        <v>0.0</v>
      </c>
      <c r="AJ65" s="19">
        <f>43000</f>
        <v>43000</v>
      </c>
      <c r="AM65" s="8">
        <v>5000.0</v>
      </c>
      <c r="AQ65" s="8" t="s">
        <v>47</v>
      </c>
    </row>
    <row r="66">
      <c r="A66" s="8" t="s">
        <v>816</v>
      </c>
      <c r="B66" s="8">
        <v>112.0</v>
      </c>
      <c r="C66" s="48">
        <v>45726.0</v>
      </c>
      <c r="E66" s="8" t="s">
        <v>817</v>
      </c>
      <c r="F66" s="8" t="s">
        <v>70</v>
      </c>
      <c r="G66" s="8">
        <v>5.0</v>
      </c>
      <c r="K66" s="8">
        <f t="shared" ref="K66:L66" si="6">4626+2400</f>
        <v>7026</v>
      </c>
      <c r="L66" s="8">
        <f t="shared" si="6"/>
        <v>7026</v>
      </c>
      <c r="N66" s="8" t="s">
        <v>48</v>
      </c>
      <c r="O66" s="8" t="s">
        <v>48</v>
      </c>
      <c r="P66" s="8" t="s">
        <v>49</v>
      </c>
      <c r="Q66" s="8" t="s">
        <v>818</v>
      </c>
      <c r="S66" s="8">
        <v>10.0</v>
      </c>
      <c r="Y66" s="8" t="s">
        <v>56</v>
      </c>
      <c r="Z66" s="8" t="s">
        <v>54</v>
      </c>
      <c r="AC66" s="8" t="s">
        <v>54</v>
      </c>
      <c r="AD66" s="8" t="s">
        <v>54</v>
      </c>
      <c r="AE66" s="8" t="s">
        <v>54</v>
      </c>
      <c r="AF66" s="8" t="s">
        <v>54</v>
      </c>
      <c r="AG66" s="8">
        <v>11600.0</v>
      </c>
      <c r="AH66" s="8">
        <v>11600.0</v>
      </c>
      <c r="AI66" s="19">
        <f>750</f>
        <v>750</v>
      </c>
      <c r="AJ66" s="8">
        <v>0.0</v>
      </c>
      <c r="AM66" s="8">
        <v>15000.0</v>
      </c>
      <c r="AQ66" s="8" t="s">
        <v>47</v>
      </c>
    </row>
    <row r="67">
      <c r="A67" s="8" t="s">
        <v>819</v>
      </c>
      <c r="B67" s="8">
        <v>112.0</v>
      </c>
      <c r="C67" s="48">
        <v>45662.0</v>
      </c>
      <c r="E67" s="8" t="s">
        <v>820</v>
      </c>
      <c r="F67" s="8" t="s">
        <v>70</v>
      </c>
      <c r="G67" s="8">
        <v>5.0</v>
      </c>
      <c r="K67" s="8">
        <v>26960.0</v>
      </c>
      <c r="L67" s="8">
        <v>26960.0</v>
      </c>
      <c r="N67" s="8" t="s">
        <v>88</v>
      </c>
      <c r="O67" s="8" t="s">
        <v>48</v>
      </c>
      <c r="P67" s="8" t="s">
        <v>49</v>
      </c>
      <c r="Q67" s="8" t="s">
        <v>821</v>
      </c>
      <c r="S67" s="8">
        <v>40.0</v>
      </c>
      <c r="Y67" s="8" t="s">
        <v>53</v>
      </c>
      <c r="Z67" s="8" t="s">
        <v>54</v>
      </c>
      <c r="AC67" s="8" t="s">
        <v>54</v>
      </c>
      <c r="AD67" s="8" t="s">
        <v>54</v>
      </c>
      <c r="AE67" s="8" t="s">
        <v>54</v>
      </c>
      <c r="AF67" s="8" t="s">
        <v>54</v>
      </c>
      <c r="AG67" s="8">
        <v>1375.0</v>
      </c>
      <c r="AH67" s="8">
        <v>13750.0</v>
      </c>
      <c r="AI67" s="19">
        <f>9180</f>
        <v>9180</v>
      </c>
      <c r="AJ67" s="8">
        <v>2000.0</v>
      </c>
      <c r="AM67" s="8">
        <v>36000.0</v>
      </c>
      <c r="AQ67" s="8" t="s">
        <v>47</v>
      </c>
    </row>
    <row r="68">
      <c r="A68" s="8" t="s">
        <v>822</v>
      </c>
      <c r="B68" s="8">
        <v>112.0</v>
      </c>
      <c r="C68" s="48">
        <v>45670.0</v>
      </c>
      <c r="E68" s="8" t="s">
        <v>823</v>
      </c>
      <c r="F68" s="8" t="s">
        <v>124</v>
      </c>
      <c r="G68" s="8">
        <v>5.0</v>
      </c>
      <c r="K68" s="8">
        <v>1390.0</v>
      </c>
      <c r="L68" s="8">
        <v>1390.0</v>
      </c>
      <c r="N68" s="8" t="s">
        <v>48</v>
      </c>
      <c r="O68" s="8" t="s">
        <v>88</v>
      </c>
      <c r="P68" s="8" t="s">
        <v>49</v>
      </c>
      <c r="Q68" s="8" t="s">
        <v>824</v>
      </c>
      <c r="S68" s="8">
        <v>120.0</v>
      </c>
      <c r="Y68" s="8" t="s">
        <v>53</v>
      </c>
      <c r="Z68" s="8" t="s">
        <v>54</v>
      </c>
      <c r="AC68" s="8" t="s">
        <v>54</v>
      </c>
      <c r="AD68" s="8" t="s">
        <v>54</v>
      </c>
      <c r="AE68" s="8" t="s">
        <v>54</v>
      </c>
      <c r="AF68" s="8" t="s">
        <v>54</v>
      </c>
      <c r="AG68" s="8">
        <v>6627.0</v>
      </c>
      <c r="AH68" s="8">
        <v>55470.0</v>
      </c>
      <c r="AI68" s="8">
        <v>0.0</v>
      </c>
      <c r="AJ68" s="19">
        <f>12000</f>
        <v>12000</v>
      </c>
      <c r="AM68" s="8">
        <v>30000.0</v>
      </c>
      <c r="AQ68" s="8" t="s">
        <v>47</v>
      </c>
    </row>
    <row r="69">
      <c r="A69" s="8" t="s">
        <v>825</v>
      </c>
      <c r="B69" s="8">
        <v>112.0</v>
      </c>
      <c r="C69" s="48">
        <v>45775.0</v>
      </c>
      <c r="E69" s="8" t="s">
        <v>826</v>
      </c>
      <c r="F69" s="8" t="s">
        <v>124</v>
      </c>
      <c r="G69" s="8">
        <v>2.0</v>
      </c>
      <c r="K69" s="8">
        <v>129641.0</v>
      </c>
      <c r="L69" s="8">
        <v>129641.0</v>
      </c>
      <c r="N69" s="8" t="s">
        <v>48</v>
      </c>
      <c r="O69" s="8" t="s">
        <v>48</v>
      </c>
      <c r="P69" s="8" t="s">
        <v>49</v>
      </c>
      <c r="Q69" s="8" t="s">
        <v>827</v>
      </c>
      <c r="S69" s="8">
        <v>180.0</v>
      </c>
      <c r="Y69" s="8" t="s">
        <v>73</v>
      </c>
      <c r="Z69" s="8" t="s">
        <v>54</v>
      </c>
      <c r="AC69" s="8" t="s">
        <v>54</v>
      </c>
      <c r="AD69" s="8" t="s">
        <v>54</v>
      </c>
      <c r="AE69" s="8" t="s">
        <v>54</v>
      </c>
      <c r="AF69" s="8" t="s">
        <v>54</v>
      </c>
      <c r="AG69" s="8">
        <v>5807.0</v>
      </c>
      <c r="AH69" s="8">
        <v>58070.0</v>
      </c>
      <c r="AI69" s="19">
        <f>222700</f>
        <v>222700</v>
      </c>
      <c r="AJ69" s="19">
        <f>800+218742+1881394</f>
        <v>2100936</v>
      </c>
      <c r="AM69" s="8">
        <v>200000.0</v>
      </c>
      <c r="AQ69" s="8" t="s">
        <v>54</v>
      </c>
      <c r="AR69" s="49">
        <v>0.2</v>
      </c>
    </row>
    <row r="70">
      <c r="A70" s="8" t="s">
        <v>828</v>
      </c>
      <c r="B70" s="8">
        <v>112.0</v>
      </c>
      <c r="C70" s="48">
        <v>45671.0</v>
      </c>
      <c r="E70" s="8" t="s">
        <v>829</v>
      </c>
      <c r="F70" s="8" t="s">
        <v>70</v>
      </c>
      <c r="G70" s="8">
        <v>3.0</v>
      </c>
      <c r="K70" s="8">
        <v>246132.0</v>
      </c>
      <c r="L70" s="8">
        <v>246132.0</v>
      </c>
      <c r="N70" s="8" t="s">
        <v>48</v>
      </c>
      <c r="O70" s="8" t="s">
        <v>48</v>
      </c>
      <c r="P70" s="8" t="s">
        <v>49</v>
      </c>
      <c r="Q70" s="8" t="s">
        <v>830</v>
      </c>
      <c r="S70" s="8">
        <v>58.0</v>
      </c>
      <c r="Y70" s="8" t="s">
        <v>53</v>
      </c>
      <c r="Z70" s="8" t="s">
        <v>54</v>
      </c>
      <c r="AC70" s="8" t="s">
        <v>54</v>
      </c>
      <c r="AD70" s="8" t="s">
        <v>54</v>
      </c>
      <c r="AE70" s="8" t="s">
        <v>54</v>
      </c>
      <c r="AF70" s="8" t="s">
        <v>54</v>
      </c>
      <c r="AG70" s="8">
        <v>2550.0</v>
      </c>
      <c r="AH70" s="8">
        <v>25500.0</v>
      </c>
      <c r="AI70" s="19">
        <f>56000</f>
        <v>56000</v>
      </c>
      <c r="AJ70" s="19">
        <f>179679+120+10000</f>
        <v>189799</v>
      </c>
      <c r="AM70" s="8">
        <v>100000.0</v>
      </c>
      <c r="AQ70" s="8" t="s">
        <v>54</v>
      </c>
      <c r="AR70" s="49">
        <v>0.3</v>
      </c>
    </row>
    <row r="71">
      <c r="A71" s="8" t="s">
        <v>831</v>
      </c>
      <c r="B71" s="8">
        <v>112.0</v>
      </c>
      <c r="C71" s="48">
        <v>45803.0</v>
      </c>
      <c r="E71" s="8" t="s">
        <v>832</v>
      </c>
      <c r="F71" s="8" t="s">
        <v>70</v>
      </c>
      <c r="G71" s="8">
        <v>4.0</v>
      </c>
      <c r="K71" s="8">
        <v>25920.0</v>
      </c>
      <c r="L71" s="8">
        <v>170300.0</v>
      </c>
      <c r="N71" s="8" t="s">
        <v>48</v>
      </c>
      <c r="O71" s="8" t="s">
        <v>88</v>
      </c>
      <c r="P71" s="8" t="s">
        <v>49</v>
      </c>
      <c r="Q71" s="8" t="s">
        <v>833</v>
      </c>
      <c r="S71" s="8">
        <v>20.0</v>
      </c>
      <c r="Y71" s="8" t="s">
        <v>73</v>
      </c>
      <c r="Z71" s="8" t="s">
        <v>54</v>
      </c>
      <c r="AC71" s="8" t="s">
        <v>54</v>
      </c>
      <c r="AD71" s="8" t="s">
        <v>54</v>
      </c>
      <c r="AE71" s="8" t="s">
        <v>54</v>
      </c>
      <c r="AF71" s="8" t="s">
        <v>54</v>
      </c>
      <c r="AG71" s="8">
        <v>3620.0</v>
      </c>
      <c r="AH71" s="8">
        <v>9200.0</v>
      </c>
      <c r="AI71" s="8">
        <v>0.0</v>
      </c>
      <c r="AJ71" s="19">
        <f>39592+15+31500+554062</f>
        <v>625169</v>
      </c>
      <c r="AM71" s="8">
        <v>150000.0</v>
      </c>
      <c r="AQ71" s="8" t="s">
        <v>47</v>
      </c>
    </row>
    <row r="72">
      <c r="A72" s="8" t="s">
        <v>834</v>
      </c>
      <c r="B72" s="8">
        <v>112.0</v>
      </c>
      <c r="C72" s="48">
        <v>45782.0</v>
      </c>
      <c r="E72" s="8" t="s">
        <v>835</v>
      </c>
      <c r="F72" s="8" t="s">
        <v>70</v>
      </c>
      <c r="G72" s="8">
        <v>5.0</v>
      </c>
      <c r="K72" s="19">
        <f>13720</f>
        <v>13720</v>
      </c>
      <c r="L72" s="19">
        <f>24695+45040</f>
        <v>69735</v>
      </c>
      <c r="N72" s="8" t="s">
        <v>88</v>
      </c>
      <c r="O72" s="8" t="s">
        <v>48</v>
      </c>
      <c r="P72" s="8" t="s">
        <v>49</v>
      </c>
      <c r="Q72" s="8" t="s">
        <v>836</v>
      </c>
      <c r="S72" s="8">
        <v>90.0</v>
      </c>
      <c r="Y72" s="8" t="s">
        <v>73</v>
      </c>
      <c r="Z72" s="8" t="s">
        <v>54</v>
      </c>
      <c r="AC72" s="8" t="s">
        <v>54</v>
      </c>
      <c r="AD72" s="8" t="s">
        <v>54</v>
      </c>
      <c r="AE72" s="8" t="s">
        <v>54</v>
      </c>
      <c r="AF72" s="8" t="s">
        <v>54</v>
      </c>
      <c r="AG72" s="8">
        <v>0.0</v>
      </c>
      <c r="AH72" s="8">
        <v>0.0</v>
      </c>
      <c r="AI72" s="8">
        <v>0.0</v>
      </c>
      <c r="AJ72" s="19">
        <f>6880</f>
        <v>6880</v>
      </c>
      <c r="AM72" s="8">
        <v>200000.0</v>
      </c>
      <c r="AQ72" s="8" t="s">
        <v>47</v>
      </c>
    </row>
    <row r="73">
      <c r="A73" s="8" t="s">
        <v>837</v>
      </c>
      <c r="B73" s="8">
        <v>112.0</v>
      </c>
      <c r="C73" s="48">
        <v>45834.0</v>
      </c>
      <c r="E73" s="8" t="s">
        <v>838</v>
      </c>
      <c r="F73" s="8" t="s">
        <v>70</v>
      </c>
      <c r="G73" s="8">
        <v>5.0</v>
      </c>
      <c r="K73" s="8">
        <v>6170.0</v>
      </c>
      <c r="L73" s="8">
        <v>6170.0</v>
      </c>
      <c r="N73" s="8" t="s">
        <v>48</v>
      </c>
      <c r="O73" s="8" t="s">
        <v>48</v>
      </c>
      <c r="P73" s="8" t="s">
        <v>61</v>
      </c>
      <c r="Y73" s="8" t="s">
        <v>73</v>
      </c>
      <c r="Z73" s="8" t="s">
        <v>54</v>
      </c>
      <c r="AC73" s="8" t="s">
        <v>54</v>
      </c>
      <c r="AD73" s="8" t="s">
        <v>54</v>
      </c>
      <c r="AE73" s="8" t="s">
        <v>54</v>
      </c>
      <c r="AF73" s="8" t="s">
        <v>54</v>
      </c>
      <c r="AG73" s="8">
        <v>16750.0</v>
      </c>
      <c r="AH73" s="8">
        <v>16750.0</v>
      </c>
      <c r="AI73" s="8">
        <v>2360.0</v>
      </c>
      <c r="AJ73" s="8">
        <v>3500.0</v>
      </c>
      <c r="AM73" s="8">
        <v>35000.0</v>
      </c>
      <c r="AQ73" s="8" t="s">
        <v>47</v>
      </c>
    </row>
    <row r="74">
      <c r="A74" s="8" t="s">
        <v>839</v>
      </c>
      <c r="B74" s="8">
        <v>112.0</v>
      </c>
      <c r="C74" s="48">
        <v>45822.0</v>
      </c>
      <c r="E74" s="8" t="s">
        <v>840</v>
      </c>
      <c r="F74" s="8" t="s">
        <v>186</v>
      </c>
      <c r="G74" s="8">
        <v>3.0</v>
      </c>
      <c r="K74" s="8">
        <v>15373.0</v>
      </c>
      <c r="L74" s="8">
        <v>15373.0</v>
      </c>
      <c r="N74" s="8" t="s">
        <v>48</v>
      </c>
      <c r="O74" s="8" t="s">
        <v>48</v>
      </c>
      <c r="P74" s="8" t="s">
        <v>49</v>
      </c>
      <c r="Q74" s="8" t="s">
        <v>841</v>
      </c>
      <c r="S74" s="8">
        <v>210.0</v>
      </c>
      <c r="Y74" s="8" t="s">
        <v>92</v>
      </c>
      <c r="Z74" s="8" t="s">
        <v>54</v>
      </c>
      <c r="AC74" s="8" t="s">
        <v>54</v>
      </c>
      <c r="AD74" s="8" t="s">
        <v>54</v>
      </c>
      <c r="AE74" s="8" t="s">
        <v>54</v>
      </c>
      <c r="AF74" s="8" t="s">
        <v>54</v>
      </c>
      <c r="AG74" s="8">
        <v>150000.0</v>
      </c>
      <c r="AH74" s="8">
        <v>280000.0</v>
      </c>
      <c r="AI74" s="19">
        <f>1040+90000</f>
        <v>91040</v>
      </c>
      <c r="AJ74" s="19">
        <f>10000</f>
        <v>10000</v>
      </c>
      <c r="AM74" s="8">
        <v>300000.0</v>
      </c>
      <c r="AQ74" s="8" t="s">
        <v>47</v>
      </c>
    </row>
    <row r="75">
      <c r="A75" s="8" t="s">
        <v>842</v>
      </c>
      <c r="B75" s="8">
        <v>112.0</v>
      </c>
      <c r="C75" s="48">
        <v>45737.0</v>
      </c>
      <c r="E75" s="8" t="s">
        <v>843</v>
      </c>
      <c r="F75" s="8" t="s">
        <v>56</v>
      </c>
      <c r="G75" s="8">
        <v>3.0</v>
      </c>
      <c r="K75" s="8">
        <v>0.0</v>
      </c>
      <c r="L75" s="8">
        <v>93043.0</v>
      </c>
      <c r="N75" s="8" t="s">
        <v>48</v>
      </c>
      <c r="O75" s="8" t="s">
        <v>48</v>
      </c>
      <c r="P75" s="8" t="s">
        <v>49</v>
      </c>
      <c r="Q75" s="8" t="s">
        <v>844</v>
      </c>
      <c r="S75" s="8">
        <v>20.0</v>
      </c>
      <c r="Y75" s="8" t="s">
        <v>53</v>
      </c>
      <c r="Z75" s="8" t="s">
        <v>54</v>
      </c>
      <c r="AC75" s="8" t="s">
        <v>54</v>
      </c>
      <c r="AD75" s="8" t="s">
        <v>54</v>
      </c>
      <c r="AE75" s="8" t="s">
        <v>54</v>
      </c>
      <c r="AF75" s="8" t="s">
        <v>54</v>
      </c>
      <c r="AG75" s="8">
        <v>45900.0</v>
      </c>
      <c r="AH75" s="8">
        <v>45900.0</v>
      </c>
      <c r="AI75" s="19">
        <f>72000</f>
        <v>72000</v>
      </c>
      <c r="AJ75" s="19">
        <f>40200</f>
        <v>40200</v>
      </c>
      <c r="AM75" s="8">
        <v>90000.0</v>
      </c>
      <c r="AQ75" s="8" t="s">
        <v>54</v>
      </c>
      <c r="AR75" s="49">
        <v>0.7</v>
      </c>
    </row>
    <row r="76">
      <c r="A76" s="8" t="s">
        <v>845</v>
      </c>
      <c r="B76" s="8">
        <v>112.0</v>
      </c>
      <c r="C76" s="48">
        <v>45780.0</v>
      </c>
      <c r="E76" s="8" t="s">
        <v>846</v>
      </c>
      <c r="F76" s="8" t="s">
        <v>56</v>
      </c>
      <c r="G76" s="8">
        <v>3.0</v>
      </c>
      <c r="K76" s="8">
        <v>0.0</v>
      </c>
      <c r="L76" s="8">
        <v>0.0</v>
      </c>
      <c r="N76" s="8" t="s">
        <v>48</v>
      </c>
      <c r="O76" s="8" t="s">
        <v>88</v>
      </c>
      <c r="P76" s="8" t="s">
        <v>49</v>
      </c>
      <c r="Q76" s="8" t="s">
        <v>847</v>
      </c>
      <c r="S76" s="8">
        <v>50.0</v>
      </c>
      <c r="Y76" s="8" t="s">
        <v>73</v>
      </c>
      <c r="Z76" s="8" t="s">
        <v>54</v>
      </c>
      <c r="AA76" s="8" t="s">
        <v>54</v>
      </c>
      <c r="AB76" s="8" t="s">
        <v>54</v>
      </c>
      <c r="AC76" s="8" t="s">
        <v>54</v>
      </c>
      <c r="AD76" s="8" t="s">
        <v>54</v>
      </c>
      <c r="AE76" s="8" t="s">
        <v>54</v>
      </c>
      <c r="AF76" s="8" t="s">
        <v>54</v>
      </c>
      <c r="AG76" s="8">
        <v>2083.0</v>
      </c>
      <c r="AH76" s="8">
        <v>4000.0</v>
      </c>
      <c r="AI76" s="8">
        <v>13200.0</v>
      </c>
      <c r="AJ76" s="8">
        <v>0.0</v>
      </c>
      <c r="AM76" s="8">
        <v>50000.0</v>
      </c>
      <c r="AQ76" s="8" t="s">
        <v>47</v>
      </c>
    </row>
    <row r="77">
      <c r="A77" s="8" t="s">
        <v>848</v>
      </c>
      <c r="B77" s="8">
        <v>112.0</v>
      </c>
      <c r="C77" s="48">
        <v>45738.0</v>
      </c>
      <c r="E77" s="8" t="s">
        <v>849</v>
      </c>
      <c r="F77" s="8" t="s">
        <v>70</v>
      </c>
      <c r="G77" s="8">
        <v>5.0</v>
      </c>
      <c r="K77" s="8">
        <v>500.0</v>
      </c>
      <c r="L77" s="8">
        <v>21179.0</v>
      </c>
      <c r="N77" s="8" t="s">
        <v>88</v>
      </c>
      <c r="O77" s="8" t="s">
        <v>48</v>
      </c>
      <c r="P77" s="8" t="s">
        <v>49</v>
      </c>
      <c r="Q77" s="8" t="s">
        <v>850</v>
      </c>
      <c r="S77" s="8">
        <v>90.0</v>
      </c>
      <c r="Y77" s="8" t="s">
        <v>53</v>
      </c>
      <c r="Z77" s="8" t="s">
        <v>54</v>
      </c>
      <c r="AC77" s="8" t="s">
        <v>54</v>
      </c>
      <c r="AD77" s="8" t="s">
        <v>54</v>
      </c>
      <c r="AE77" s="8" t="s">
        <v>54</v>
      </c>
      <c r="AF77" s="8" t="s">
        <v>54</v>
      </c>
      <c r="AG77" s="8">
        <v>60838.0</v>
      </c>
      <c r="AH77" s="8">
        <v>80001.0</v>
      </c>
      <c r="AI77" s="8">
        <v>0.0</v>
      </c>
      <c r="AJ77" s="8">
        <v>0.0</v>
      </c>
      <c r="AM77" s="8">
        <v>10000.0</v>
      </c>
      <c r="AQ77" s="8" t="s">
        <v>47</v>
      </c>
    </row>
    <row r="78">
      <c r="A78" s="8" t="s">
        <v>851</v>
      </c>
      <c r="B78" s="8">
        <v>112.0</v>
      </c>
      <c r="C78" s="48">
        <v>45673.0</v>
      </c>
      <c r="E78" s="8" t="s">
        <v>852</v>
      </c>
      <c r="F78" s="8" t="s">
        <v>70</v>
      </c>
      <c r="G78" s="8">
        <v>3.0</v>
      </c>
      <c r="K78" s="8">
        <v>79633.0</v>
      </c>
      <c r="L78" s="8">
        <v>79633.0</v>
      </c>
      <c r="N78" s="8" t="s">
        <v>88</v>
      </c>
      <c r="O78" s="8" t="s">
        <v>48</v>
      </c>
      <c r="P78" s="8" t="s">
        <v>49</v>
      </c>
      <c r="Q78" s="8" t="s">
        <v>853</v>
      </c>
      <c r="S78" s="8">
        <v>150.0</v>
      </c>
      <c r="Y78" s="8" t="s">
        <v>758</v>
      </c>
      <c r="Z78" s="8" t="s">
        <v>54</v>
      </c>
      <c r="AA78" s="8" t="s">
        <v>54</v>
      </c>
      <c r="AB78" s="8" t="s">
        <v>54</v>
      </c>
      <c r="AC78" s="8" t="s">
        <v>54</v>
      </c>
      <c r="AD78" s="8" t="s">
        <v>54</v>
      </c>
      <c r="AE78" s="8" t="s">
        <v>54</v>
      </c>
      <c r="AF78" s="8" t="s">
        <v>54</v>
      </c>
      <c r="AG78" s="8">
        <v>0.0</v>
      </c>
      <c r="AH78" s="8">
        <v>16050.0</v>
      </c>
      <c r="AI78" s="19">
        <f>11368+60000</f>
        <v>71368</v>
      </c>
      <c r="AJ78" s="8">
        <v>0.0</v>
      </c>
      <c r="AM78" s="8">
        <v>70000.0</v>
      </c>
      <c r="AQ78" s="8" t="s">
        <v>47</v>
      </c>
    </row>
    <row r="79">
      <c r="A79" s="8" t="s">
        <v>854</v>
      </c>
      <c r="B79" s="8">
        <v>112.0</v>
      </c>
      <c r="C79" s="48">
        <v>45660.0</v>
      </c>
      <c r="E79" s="8" t="s">
        <v>855</v>
      </c>
      <c r="F79" s="8" t="s">
        <v>70</v>
      </c>
      <c r="G79" s="8">
        <v>5.0</v>
      </c>
      <c r="K79" s="8">
        <v>0.0</v>
      </c>
      <c r="L79" s="8">
        <v>0.0</v>
      </c>
      <c r="N79" s="8" t="s">
        <v>48</v>
      </c>
      <c r="O79" s="8" t="s">
        <v>48</v>
      </c>
      <c r="P79" s="8" t="s">
        <v>49</v>
      </c>
      <c r="Q79" s="8" t="s">
        <v>856</v>
      </c>
      <c r="S79" s="8">
        <v>20.0</v>
      </c>
      <c r="Y79" s="8" t="s">
        <v>73</v>
      </c>
      <c r="Z79" s="8" t="s">
        <v>54</v>
      </c>
      <c r="AC79" s="8" t="s">
        <v>54</v>
      </c>
      <c r="AD79" s="8" t="s">
        <v>54</v>
      </c>
      <c r="AE79" s="8" t="s">
        <v>54</v>
      </c>
      <c r="AF79" s="8" t="s">
        <v>54</v>
      </c>
      <c r="AG79" s="8">
        <v>36903.0</v>
      </c>
      <c r="AH79" s="8">
        <v>48050.0</v>
      </c>
      <c r="AI79" s="8">
        <v>0.0</v>
      </c>
      <c r="AJ79" s="8">
        <v>0.0</v>
      </c>
      <c r="AM79" s="8">
        <v>2000.0</v>
      </c>
      <c r="AQ79" s="8" t="s">
        <v>54</v>
      </c>
      <c r="AR79" s="49">
        <v>0.3</v>
      </c>
    </row>
    <row r="80">
      <c r="A80" s="8" t="s">
        <v>857</v>
      </c>
      <c r="B80" s="8">
        <v>112.0</v>
      </c>
      <c r="C80" s="48">
        <v>45894.0</v>
      </c>
      <c r="E80" s="8" t="s">
        <v>858</v>
      </c>
      <c r="F80" s="8" t="s">
        <v>70</v>
      </c>
      <c r="G80" s="8">
        <v>3.0</v>
      </c>
      <c r="K80" s="8">
        <v>0.0</v>
      </c>
      <c r="L80" s="8">
        <v>0.0</v>
      </c>
      <c r="N80" s="8" t="s">
        <v>48</v>
      </c>
      <c r="O80" s="8" t="s">
        <v>48</v>
      </c>
      <c r="P80" s="8" t="s">
        <v>61</v>
      </c>
      <c r="Y80" s="8" t="s">
        <v>344</v>
      </c>
      <c r="Z80" s="8" t="s">
        <v>54</v>
      </c>
      <c r="AC80" s="8" t="s">
        <v>54</v>
      </c>
      <c r="AD80" s="8" t="s">
        <v>54</v>
      </c>
      <c r="AE80" s="8" t="s">
        <v>54</v>
      </c>
      <c r="AF80" s="8" t="s">
        <v>54</v>
      </c>
      <c r="AG80" s="8">
        <v>547.0</v>
      </c>
      <c r="AH80" s="8">
        <v>3950.0</v>
      </c>
      <c r="AI80" s="8">
        <v>0.0</v>
      </c>
      <c r="AJ80" s="19">
        <f>70000+503568</f>
        <v>573568</v>
      </c>
      <c r="AM80" s="8">
        <v>150000.0</v>
      </c>
      <c r="AQ80" s="8" t="s">
        <v>54</v>
      </c>
      <c r="AR80" s="49">
        <v>0.7</v>
      </c>
    </row>
    <row r="81">
      <c r="A81" s="8" t="s">
        <v>859</v>
      </c>
      <c r="B81" s="8">
        <v>112.0</v>
      </c>
      <c r="C81" s="48">
        <v>45747.0</v>
      </c>
      <c r="E81" s="8" t="s">
        <v>860</v>
      </c>
      <c r="F81" s="8" t="s">
        <v>73</v>
      </c>
      <c r="G81" s="8">
        <v>1.0</v>
      </c>
      <c r="K81" s="8">
        <v>1015718.0</v>
      </c>
      <c r="L81" s="8">
        <v>1015718.0</v>
      </c>
      <c r="N81" s="8" t="s">
        <v>88</v>
      </c>
      <c r="O81" s="8" t="s">
        <v>48</v>
      </c>
      <c r="P81" s="8" t="s">
        <v>49</v>
      </c>
      <c r="Q81" s="8" t="s">
        <v>861</v>
      </c>
      <c r="S81" s="8">
        <v>240.0</v>
      </c>
      <c r="Y81" s="8" t="s">
        <v>73</v>
      </c>
      <c r="Z81" s="8" t="s">
        <v>54</v>
      </c>
      <c r="AC81" s="8" t="s">
        <v>54</v>
      </c>
      <c r="AD81" s="8" t="s">
        <v>54</v>
      </c>
      <c r="AE81" s="8" t="s">
        <v>54</v>
      </c>
      <c r="AF81" s="8" t="s">
        <v>54</v>
      </c>
      <c r="AG81" s="8">
        <v>0.0</v>
      </c>
      <c r="AH81" s="8">
        <v>0.0</v>
      </c>
      <c r="AI81" s="19">
        <f>1595000+13906342</f>
        <v>15501342</v>
      </c>
      <c r="AJ81" s="19">
        <f>945000+4359731</f>
        <v>5304731</v>
      </c>
      <c r="AM81" s="8">
        <v>1500000.0</v>
      </c>
      <c r="AQ81" s="8" t="s">
        <v>47</v>
      </c>
    </row>
    <row r="82">
      <c r="A82" s="8" t="s">
        <v>862</v>
      </c>
      <c r="B82" s="8">
        <v>112.0</v>
      </c>
      <c r="C82" s="48">
        <v>45739.0</v>
      </c>
      <c r="E82" s="8" t="s">
        <v>863</v>
      </c>
      <c r="F82" s="8" t="s">
        <v>70</v>
      </c>
      <c r="G82" s="8">
        <v>3.0</v>
      </c>
      <c r="K82" s="8">
        <v>56462.0</v>
      </c>
      <c r="L82" s="8">
        <v>56462.0</v>
      </c>
      <c r="N82" s="8" t="s">
        <v>48</v>
      </c>
      <c r="O82" s="8" t="s">
        <v>88</v>
      </c>
      <c r="P82" s="8" t="s">
        <v>49</v>
      </c>
      <c r="Q82" s="8" t="s">
        <v>864</v>
      </c>
      <c r="S82" s="8">
        <v>50.0</v>
      </c>
      <c r="Y82" s="8" t="s">
        <v>73</v>
      </c>
      <c r="Z82" s="8" t="s">
        <v>54</v>
      </c>
      <c r="AC82" s="8" t="s">
        <v>54</v>
      </c>
      <c r="AD82" s="8" t="s">
        <v>54</v>
      </c>
      <c r="AE82" s="8" t="s">
        <v>54</v>
      </c>
      <c r="AF82" s="8" t="s">
        <v>54</v>
      </c>
      <c r="AG82" s="8">
        <v>0.0</v>
      </c>
      <c r="AH82" s="8">
        <v>0.0</v>
      </c>
      <c r="AI82" s="19">
        <f>60000</f>
        <v>60000</v>
      </c>
      <c r="AJ82" s="19">
        <f>300000</f>
        <v>300000</v>
      </c>
      <c r="AM82" s="8">
        <v>200000.0</v>
      </c>
      <c r="AQ82" s="8" t="s">
        <v>54</v>
      </c>
      <c r="AR82" s="49">
        <v>0.2</v>
      </c>
    </row>
    <row r="83">
      <c r="A83" s="8" t="s">
        <v>865</v>
      </c>
      <c r="B83" s="8">
        <v>112.0</v>
      </c>
      <c r="C83" s="48">
        <v>45775.0</v>
      </c>
      <c r="E83" s="8" t="s">
        <v>866</v>
      </c>
      <c r="F83" s="8" t="s">
        <v>73</v>
      </c>
      <c r="G83" s="8">
        <v>5.0</v>
      </c>
      <c r="K83" s="8">
        <v>1080.0</v>
      </c>
      <c r="L83" s="8">
        <v>1080.0</v>
      </c>
      <c r="N83" s="8" t="s">
        <v>48</v>
      </c>
      <c r="O83" s="8" t="s">
        <v>48</v>
      </c>
      <c r="P83" s="8" t="s">
        <v>49</v>
      </c>
      <c r="Q83" s="8" t="s">
        <v>867</v>
      </c>
      <c r="S83" s="8">
        <v>120.0</v>
      </c>
      <c r="Y83" s="8" t="s">
        <v>73</v>
      </c>
      <c r="Z83" s="8" t="s">
        <v>54</v>
      </c>
      <c r="AC83" s="8" t="s">
        <v>54</v>
      </c>
      <c r="AD83" s="8" t="s">
        <v>54</v>
      </c>
      <c r="AE83" s="8" t="s">
        <v>54</v>
      </c>
      <c r="AF83" s="8" t="s">
        <v>54</v>
      </c>
      <c r="AG83" s="8">
        <v>0.0</v>
      </c>
      <c r="AH83" s="8">
        <v>0.0</v>
      </c>
      <c r="AI83" s="8">
        <v>0.0</v>
      </c>
      <c r="AJ83" s="8">
        <v>0.0</v>
      </c>
      <c r="AM83" s="8">
        <v>20000.0</v>
      </c>
      <c r="AQ83" s="8" t="s">
        <v>47</v>
      </c>
    </row>
    <row r="84">
      <c r="A84" s="8" t="s">
        <v>868</v>
      </c>
      <c r="B84" s="8">
        <v>112.0</v>
      </c>
      <c r="C84" s="48">
        <v>45741.0</v>
      </c>
      <c r="E84" s="8" t="s">
        <v>869</v>
      </c>
      <c r="F84" s="8" t="s">
        <v>124</v>
      </c>
      <c r="G84" s="8">
        <v>5.0</v>
      </c>
      <c r="K84" s="19">
        <f t="shared" ref="K84:L84" si="7">7795+378</f>
        <v>8173</v>
      </c>
      <c r="L84" s="19">
        <f t="shared" si="7"/>
        <v>8173</v>
      </c>
      <c r="N84" s="8" t="s">
        <v>48</v>
      </c>
      <c r="O84" s="8" t="s">
        <v>48</v>
      </c>
      <c r="P84" s="8" t="s">
        <v>49</v>
      </c>
      <c r="Q84" s="8" t="s">
        <v>870</v>
      </c>
      <c r="S84" s="8">
        <v>40.0</v>
      </c>
      <c r="Y84" s="8" t="s">
        <v>73</v>
      </c>
      <c r="Z84" s="8" t="s">
        <v>54</v>
      </c>
      <c r="AC84" s="8" t="s">
        <v>54</v>
      </c>
      <c r="AD84" s="8" t="s">
        <v>54</v>
      </c>
      <c r="AE84" s="8" t="s">
        <v>54</v>
      </c>
      <c r="AF84" s="8" t="s">
        <v>54</v>
      </c>
      <c r="AG84" s="8">
        <v>2500.0</v>
      </c>
      <c r="AH84" s="8">
        <v>25000.0</v>
      </c>
      <c r="AI84" s="8">
        <v>0.0</v>
      </c>
      <c r="AJ84" s="8">
        <v>613.0</v>
      </c>
      <c r="AM84" s="8">
        <v>30000.0</v>
      </c>
      <c r="AQ84" s="8" t="s">
        <v>47</v>
      </c>
    </row>
    <row r="85">
      <c r="A85" s="8" t="s">
        <v>871</v>
      </c>
      <c r="B85" s="8">
        <v>112.0</v>
      </c>
      <c r="C85" s="48">
        <v>45824.0</v>
      </c>
      <c r="E85" s="8" t="s">
        <v>872</v>
      </c>
      <c r="F85" s="8" t="s">
        <v>186</v>
      </c>
      <c r="G85" s="8">
        <v>3.0</v>
      </c>
      <c r="K85" s="8">
        <f t="shared" ref="K85:L85" si="8">84902+6500</f>
        <v>91402</v>
      </c>
      <c r="L85" s="8">
        <f t="shared" si="8"/>
        <v>91402</v>
      </c>
      <c r="N85" s="8" t="s">
        <v>88</v>
      </c>
      <c r="O85" s="8" t="s">
        <v>48</v>
      </c>
      <c r="P85" s="8" t="s">
        <v>61</v>
      </c>
      <c r="Y85" s="8" t="s">
        <v>73</v>
      </c>
      <c r="Z85" s="8" t="s">
        <v>54</v>
      </c>
      <c r="AC85" s="8" t="s">
        <v>54</v>
      </c>
      <c r="AD85" s="8" t="s">
        <v>54</v>
      </c>
      <c r="AE85" s="8" t="s">
        <v>54</v>
      </c>
      <c r="AF85" s="8" t="s">
        <v>54</v>
      </c>
      <c r="AG85" s="19">
        <f t="shared" ref="AG85:AH85" si="9">3000</f>
        <v>3000</v>
      </c>
      <c r="AH85" s="19">
        <f t="shared" si="9"/>
        <v>3000</v>
      </c>
      <c r="AI85" s="19">
        <f>9500+36000</f>
        <v>45500</v>
      </c>
      <c r="AJ85" s="19">
        <f>216000</f>
        <v>216000</v>
      </c>
      <c r="AM85" s="8">
        <v>300000.0</v>
      </c>
      <c r="AQ85" s="8" t="s">
        <v>47</v>
      </c>
    </row>
    <row r="86">
      <c r="A86" s="8" t="s">
        <v>873</v>
      </c>
      <c r="B86" s="8">
        <v>112.0</v>
      </c>
      <c r="C86" s="48">
        <v>45782.0</v>
      </c>
      <c r="E86" s="8" t="s">
        <v>874</v>
      </c>
      <c r="F86" s="8" t="s">
        <v>46</v>
      </c>
      <c r="G86" s="8">
        <v>3.0</v>
      </c>
      <c r="K86" s="8">
        <f t="shared" ref="K86:L86" si="10">101832+12724</f>
        <v>114556</v>
      </c>
      <c r="L86" s="8">
        <f t="shared" si="10"/>
        <v>114556</v>
      </c>
      <c r="N86" s="8" t="s">
        <v>48</v>
      </c>
      <c r="O86" s="8" t="s">
        <v>48</v>
      </c>
      <c r="P86" s="8" t="s">
        <v>49</v>
      </c>
      <c r="Q86" s="8" t="s">
        <v>875</v>
      </c>
      <c r="S86" s="8">
        <v>55.0</v>
      </c>
      <c r="Y86" s="8" t="s">
        <v>73</v>
      </c>
      <c r="Z86" s="8" t="s">
        <v>54</v>
      </c>
      <c r="AC86" s="8" t="s">
        <v>54</v>
      </c>
      <c r="AD86" s="8" t="s">
        <v>54</v>
      </c>
      <c r="AE86" s="8" t="s">
        <v>54</v>
      </c>
      <c r="AF86" s="8" t="s">
        <v>54</v>
      </c>
      <c r="AG86" s="8">
        <v>4533.0</v>
      </c>
      <c r="AH86" s="8">
        <v>45330.0</v>
      </c>
      <c r="AI86" s="19">
        <f>7375</f>
        <v>7375</v>
      </c>
      <c r="AJ86" s="8">
        <v>227713.0</v>
      </c>
      <c r="AM86" s="8">
        <v>250000.0</v>
      </c>
      <c r="AQ86" s="8" t="s">
        <v>47</v>
      </c>
    </row>
    <row r="87">
      <c r="A87" s="8" t="s">
        <v>876</v>
      </c>
      <c r="B87" s="8">
        <v>112.0</v>
      </c>
      <c r="C87" s="48">
        <v>45702.0</v>
      </c>
      <c r="E87" s="8" t="s">
        <v>877</v>
      </c>
      <c r="F87" s="8" t="s">
        <v>133</v>
      </c>
      <c r="G87" s="8">
        <v>3.0</v>
      </c>
      <c r="K87" s="19">
        <f>22662+27300+43200+24194+32500</f>
        <v>149856</v>
      </c>
      <c r="L87" s="8">
        <f>331043+24194</f>
        <v>355237</v>
      </c>
      <c r="N87" s="8" t="s">
        <v>88</v>
      </c>
      <c r="O87" s="8" t="s">
        <v>88</v>
      </c>
      <c r="P87" s="8" t="s">
        <v>49</v>
      </c>
      <c r="Q87" s="8" t="s">
        <v>878</v>
      </c>
      <c r="S87" s="8">
        <v>80.0</v>
      </c>
      <c r="Y87" s="8" t="s">
        <v>53</v>
      </c>
      <c r="Z87" s="8" t="s">
        <v>54</v>
      </c>
      <c r="AC87" s="8" t="s">
        <v>54</v>
      </c>
      <c r="AD87" s="8" t="s">
        <v>54</v>
      </c>
      <c r="AE87" s="8" t="s">
        <v>54</v>
      </c>
      <c r="AF87" s="8" t="s">
        <v>54</v>
      </c>
      <c r="AG87" s="8">
        <v>0.0</v>
      </c>
      <c r="AH87" s="8">
        <v>0.0</v>
      </c>
      <c r="AI87" s="19">
        <f>125000</f>
        <v>125000</v>
      </c>
      <c r="AJ87" s="19">
        <f>1455816</f>
        <v>1455816</v>
      </c>
      <c r="AM87" s="8">
        <v>300000.0</v>
      </c>
      <c r="AQ87" s="8" t="s">
        <v>54</v>
      </c>
      <c r="AR87" s="49">
        <v>0.2</v>
      </c>
    </row>
    <row r="88">
      <c r="A88" s="8" t="s">
        <v>879</v>
      </c>
      <c r="B88" s="8">
        <v>112.0</v>
      </c>
      <c r="C88" s="48">
        <v>45825.0</v>
      </c>
      <c r="E88" s="8" t="s">
        <v>880</v>
      </c>
      <c r="F88" s="8" t="s">
        <v>70</v>
      </c>
      <c r="G88" s="8">
        <v>3.0</v>
      </c>
      <c r="K88" s="8">
        <v>176455.0</v>
      </c>
      <c r="L88" s="8">
        <v>176685.0</v>
      </c>
      <c r="N88" s="8" t="s">
        <v>48</v>
      </c>
      <c r="O88" s="8" t="s">
        <v>88</v>
      </c>
      <c r="P88" s="8" t="s">
        <v>61</v>
      </c>
      <c r="Y88" s="8" t="s">
        <v>73</v>
      </c>
      <c r="Z88" s="8" t="s">
        <v>54</v>
      </c>
      <c r="AC88" s="8" t="s">
        <v>54</v>
      </c>
      <c r="AD88" s="8" t="s">
        <v>54</v>
      </c>
      <c r="AE88" s="8" t="s">
        <v>54</v>
      </c>
      <c r="AF88" s="8" t="s">
        <v>54</v>
      </c>
      <c r="AG88" s="8">
        <v>0.0</v>
      </c>
      <c r="AH88" s="8">
        <v>0.0</v>
      </c>
      <c r="AI88" s="19">
        <f>216000</f>
        <v>216000</v>
      </c>
      <c r="AJ88" s="19">
        <f>19603+1337975</f>
        <v>1357578</v>
      </c>
      <c r="AM88" s="8">
        <v>300000.0</v>
      </c>
      <c r="AQ88" s="8" t="s">
        <v>47</v>
      </c>
    </row>
    <row r="89">
      <c r="A89" s="8" t="s">
        <v>881</v>
      </c>
      <c r="B89" s="8">
        <v>112.0</v>
      </c>
      <c r="C89" s="48">
        <v>45698.0</v>
      </c>
      <c r="E89" s="8" t="s">
        <v>882</v>
      </c>
      <c r="F89" s="8" t="s">
        <v>73</v>
      </c>
      <c r="G89" s="8">
        <v>5.0</v>
      </c>
      <c r="K89" s="8">
        <v>1220.0</v>
      </c>
      <c r="L89" s="8">
        <v>1220.0</v>
      </c>
      <c r="N89" s="8" t="s">
        <v>48</v>
      </c>
      <c r="O89" s="8" t="s">
        <v>88</v>
      </c>
      <c r="P89" s="8" t="s">
        <v>49</v>
      </c>
      <c r="Q89" s="8" t="s">
        <v>883</v>
      </c>
      <c r="S89" s="8">
        <v>150.0</v>
      </c>
      <c r="Y89" s="8" t="s">
        <v>73</v>
      </c>
      <c r="Z89" s="8" t="s">
        <v>54</v>
      </c>
      <c r="AC89" s="8" t="s">
        <v>54</v>
      </c>
      <c r="AD89" s="8" t="s">
        <v>54</v>
      </c>
      <c r="AE89" s="8" t="s">
        <v>54</v>
      </c>
      <c r="AF89" s="8" t="s">
        <v>54</v>
      </c>
      <c r="AG89" s="8">
        <v>0.0</v>
      </c>
      <c r="AH89" s="8">
        <v>0.0</v>
      </c>
      <c r="AI89" s="8">
        <v>1000.0</v>
      </c>
      <c r="AJ89" s="8">
        <v>0.0</v>
      </c>
      <c r="AM89" s="8">
        <v>50000.0</v>
      </c>
      <c r="AQ89" s="8" t="s">
        <v>47</v>
      </c>
    </row>
    <row r="90">
      <c r="A90" s="8" t="s">
        <v>884</v>
      </c>
      <c r="B90" s="8">
        <v>112.0</v>
      </c>
      <c r="C90" s="48">
        <v>45739.0</v>
      </c>
      <c r="E90" s="8" t="s">
        <v>885</v>
      </c>
      <c r="F90" s="8" t="s">
        <v>56</v>
      </c>
      <c r="G90" s="8">
        <v>3.0</v>
      </c>
      <c r="K90" s="19">
        <f>69193+8000+1330+69193+6650+3350</f>
        <v>157716</v>
      </c>
      <c r="L90" s="19">
        <f>120130+8000+16975+69193+10000</f>
        <v>224298</v>
      </c>
      <c r="N90" s="8" t="s">
        <v>88</v>
      </c>
      <c r="O90" s="8" t="s">
        <v>48</v>
      </c>
      <c r="P90" s="8" t="s">
        <v>49</v>
      </c>
      <c r="Q90" s="8" t="s">
        <v>886</v>
      </c>
      <c r="S90" s="8">
        <v>90.0</v>
      </c>
      <c r="Y90" s="8" t="s">
        <v>53</v>
      </c>
      <c r="Z90" s="8" t="s">
        <v>54</v>
      </c>
      <c r="AA90" s="8" t="s">
        <v>54</v>
      </c>
      <c r="AB90" s="8" t="s">
        <v>54</v>
      </c>
      <c r="AC90" s="8" t="s">
        <v>54</v>
      </c>
      <c r="AD90" s="8" t="s">
        <v>54</v>
      </c>
      <c r="AE90" s="8" t="s">
        <v>54</v>
      </c>
      <c r="AF90" s="8" t="s">
        <v>54</v>
      </c>
      <c r="AG90" s="8">
        <v>1820.0</v>
      </c>
      <c r="AH90" s="8">
        <v>18200.0</v>
      </c>
      <c r="AI90" s="19">
        <f>110400+8830+26684</f>
        <v>145914</v>
      </c>
      <c r="AJ90" s="19">
        <f>8730+23281+75076+759311</f>
        <v>866398</v>
      </c>
      <c r="AM90" s="8">
        <v>250000.0</v>
      </c>
      <c r="AQ90" s="8" t="s">
        <v>54</v>
      </c>
      <c r="AR90" s="49">
        <v>0.7</v>
      </c>
    </row>
    <row r="91">
      <c r="A91" s="8" t="s">
        <v>887</v>
      </c>
      <c r="B91" s="8">
        <v>112.0</v>
      </c>
      <c r="C91" s="48">
        <v>45740.0</v>
      </c>
      <c r="E91" s="8" t="s">
        <v>888</v>
      </c>
      <c r="F91" s="8" t="s">
        <v>73</v>
      </c>
      <c r="G91" s="8">
        <v>4.0</v>
      </c>
      <c r="K91" s="8">
        <v>3199.0</v>
      </c>
      <c r="L91" s="8">
        <v>3199.0</v>
      </c>
      <c r="N91" s="8" t="s">
        <v>48</v>
      </c>
      <c r="O91" s="8" t="s">
        <v>48</v>
      </c>
      <c r="P91" s="8" t="s">
        <v>61</v>
      </c>
      <c r="Y91" s="8" t="s">
        <v>53</v>
      </c>
      <c r="Z91" s="8" t="s">
        <v>54</v>
      </c>
      <c r="AA91" s="8" t="s">
        <v>54</v>
      </c>
      <c r="AB91" s="8" t="s">
        <v>54</v>
      </c>
      <c r="AC91" s="8" t="s">
        <v>54</v>
      </c>
      <c r="AD91" s="8" t="s">
        <v>54</v>
      </c>
      <c r="AE91" s="8" t="s">
        <v>54</v>
      </c>
      <c r="AF91" s="8" t="s">
        <v>54</v>
      </c>
      <c r="AG91" s="8">
        <v>50000.0</v>
      </c>
      <c r="AH91" s="8">
        <v>50000.0</v>
      </c>
      <c r="AI91" s="8">
        <v>0.0</v>
      </c>
      <c r="AJ91" s="8">
        <v>6000.0</v>
      </c>
      <c r="AM91" s="8">
        <v>6000.0</v>
      </c>
      <c r="AQ91" s="8" t="s">
        <v>47</v>
      </c>
    </row>
    <row r="92">
      <c r="A92" s="8" t="s">
        <v>889</v>
      </c>
      <c r="B92" s="8">
        <v>112.0</v>
      </c>
      <c r="C92" s="48">
        <v>45719.0</v>
      </c>
      <c r="E92" s="8" t="s">
        <v>890</v>
      </c>
      <c r="F92" s="8" t="s">
        <v>124</v>
      </c>
      <c r="G92" s="8">
        <v>2.0</v>
      </c>
      <c r="K92" s="8">
        <f t="shared" ref="K92:L92" si="11">52676+36700</f>
        <v>89376</v>
      </c>
      <c r="L92" s="8">
        <f t="shared" si="11"/>
        <v>89376</v>
      </c>
      <c r="N92" s="8" t="s">
        <v>48</v>
      </c>
      <c r="O92" s="8" t="s">
        <v>48</v>
      </c>
      <c r="P92" s="8" t="s">
        <v>49</v>
      </c>
      <c r="Q92" s="8" t="s">
        <v>891</v>
      </c>
      <c r="S92" s="8">
        <v>120.0</v>
      </c>
      <c r="Y92" s="8" t="s">
        <v>73</v>
      </c>
      <c r="Z92" s="8" t="s">
        <v>54</v>
      </c>
      <c r="AC92" s="8" t="s">
        <v>54</v>
      </c>
      <c r="AD92" s="8" t="s">
        <v>54</v>
      </c>
      <c r="AE92" s="8" t="s">
        <v>54</v>
      </c>
      <c r="AF92" s="8" t="s">
        <v>54</v>
      </c>
      <c r="AG92" s="8">
        <v>0.0</v>
      </c>
      <c r="AH92" s="8">
        <v>0.0</v>
      </c>
      <c r="AI92" s="19">
        <f>16879+552907</f>
        <v>569786</v>
      </c>
      <c r="AJ92" s="19">
        <f>11430+331744</f>
        <v>343174</v>
      </c>
      <c r="AM92" s="8">
        <v>700000.0</v>
      </c>
      <c r="AQ92" s="8" t="s">
        <v>54</v>
      </c>
      <c r="AR92" s="49">
        <v>0.6</v>
      </c>
    </row>
    <row r="93">
      <c r="A93" s="8" t="s">
        <v>892</v>
      </c>
      <c r="B93" s="8">
        <v>112.0</v>
      </c>
      <c r="C93" s="48">
        <v>45795.0</v>
      </c>
      <c r="E93" s="8" t="s">
        <v>893</v>
      </c>
      <c r="F93" s="8" t="s">
        <v>70</v>
      </c>
      <c r="G93" s="8">
        <v>5.0</v>
      </c>
      <c r="K93" s="8">
        <v>1110.0</v>
      </c>
      <c r="L93" s="8">
        <v>1110.0</v>
      </c>
      <c r="N93" s="8" t="s">
        <v>48</v>
      </c>
      <c r="O93" s="8" t="s">
        <v>48</v>
      </c>
      <c r="P93" s="8" t="s">
        <v>49</v>
      </c>
      <c r="Q93" s="8" t="s">
        <v>894</v>
      </c>
      <c r="S93" s="8">
        <v>120.0</v>
      </c>
      <c r="Y93" s="8" t="s">
        <v>73</v>
      </c>
      <c r="Z93" s="8" t="s">
        <v>54</v>
      </c>
      <c r="AA93" s="8" t="s">
        <v>54</v>
      </c>
      <c r="AB93" s="8" t="s">
        <v>54</v>
      </c>
      <c r="AC93" s="8" t="s">
        <v>54</v>
      </c>
      <c r="AD93" s="8" t="s">
        <v>54</v>
      </c>
      <c r="AE93" s="8" t="s">
        <v>54</v>
      </c>
      <c r="AF93" s="8" t="s">
        <v>54</v>
      </c>
      <c r="AG93" s="8">
        <v>0.0</v>
      </c>
      <c r="AH93" s="8">
        <v>0.0</v>
      </c>
      <c r="AI93" s="8">
        <v>0.0</v>
      </c>
      <c r="AJ93" s="8">
        <v>5500.0</v>
      </c>
      <c r="AM93" s="8">
        <v>10000.0</v>
      </c>
      <c r="AQ93" s="8" t="s">
        <v>47</v>
      </c>
    </row>
    <row r="94">
      <c r="A94" s="8" t="s">
        <v>895</v>
      </c>
      <c r="B94" s="8">
        <v>112.0</v>
      </c>
      <c r="C94" s="48">
        <v>45746.0</v>
      </c>
      <c r="E94" s="8" t="s">
        <v>896</v>
      </c>
      <c r="F94" s="8" t="s">
        <v>70</v>
      </c>
      <c r="G94" s="8">
        <v>5.0</v>
      </c>
      <c r="K94" s="8">
        <v>400.0</v>
      </c>
      <c r="L94" s="8">
        <v>400.0</v>
      </c>
      <c r="N94" s="8" t="s">
        <v>88</v>
      </c>
      <c r="O94" s="8" t="s">
        <v>48</v>
      </c>
      <c r="P94" s="8" t="s">
        <v>49</v>
      </c>
      <c r="Q94" s="8" t="s">
        <v>897</v>
      </c>
      <c r="S94" s="8">
        <v>20.0</v>
      </c>
      <c r="Y94" s="8" t="s">
        <v>53</v>
      </c>
      <c r="Z94" s="8" t="s">
        <v>54</v>
      </c>
      <c r="AC94" s="8" t="s">
        <v>54</v>
      </c>
      <c r="AD94" s="8" t="s">
        <v>54</v>
      </c>
      <c r="AE94" s="8" t="s">
        <v>54</v>
      </c>
      <c r="AF94" s="8" t="s">
        <v>54</v>
      </c>
      <c r="AG94" s="8">
        <v>3585.0</v>
      </c>
      <c r="AH94" s="8">
        <v>8800.0</v>
      </c>
      <c r="AI94" s="8">
        <v>0.0</v>
      </c>
      <c r="AJ94" s="8">
        <v>1000.0</v>
      </c>
      <c r="AM94" s="8">
        <v>3600.0</v>
      </c>
      <c r="AQ94" s="8" t="s">
        <v>47</v>
      </c>
    </row>
    <row r="95">
      <c r="A95" s="8" t="s">
        <v>898</v>
      </c>
      <c r="B95" s="8">
        <v>112.0</v>
      </c>
      <c r="C95" s="48">
        <v>45711.0</v>
      </c>
      <c r="E95" s="8" t="s">
        <v>899</v>
      </c>
      <c r="F95" s="8" t="s">
        <v>70</v>
      </c>
      <c r="G95" s="8">
        <v>5.0</v>
      </c>
      <c r="K95" s="8">
        <v>6000.0</v>
      </c>
      <c r="L95" s="8">
        <v>6000.0</v>
      </c>
      <c r="N95" s="8" t="s">
        <v>48</v>
      </c>
      <c r="O95" s="8" t="s">
        <v>48</v>
      </c>
      <c r="P95" s="8" t="s">
        <v>49</v>
      </c>
      <c r="Q95" s="8" t="s">
        <v>900</v>
      </c>
      <c r="S95" s="8">
        <v>40.0</v>
      </c>
      <c r="Y95" s="8" t="s">
        <v>73</v>
      </c>
      <c r="Z95" s="8" t="s">
        <v>54</v>
      </c>
      <c r="AA95" s="8" t="s">
        <v>54</v>
      </c>
      <c r="AB95" s="8" t="s">
        <v>54</v>
      </c>
      <c r="AC95" s="8" t="s">
        <v>54</v>
      </c>
      <c r="AD95" s="8" t="s">
        <v>54</v>
      </c>
      <c r="AE95" s="8" t="s">
        <v>54</v>
      </c>
      <c r="AF95" s="8" t="s">
        <v>54</v>
      </c>
      <c r="AG95" s="8">
        <v>14472.0</v>
      </c>
      <c r="AH95" s="8">
        <v>16540.0</v>
      </c>
      <c r="AI95" s="19">
        <f>285</f>
        <v>285</v>
      </c>
      <c r="AJ95" s="8">
        <v>0.0</v>
      </c>
      <c r="AM95" s="8">
        <v>5000.0</v>
      </c>
      <c r="AQ95" s="8" t="s">
        <v>47</v>
      </c>
    </row>
    <row r="96">
      <c r="A96" s="8" t="s">
        <v>901</v>
      </c>
      <c r="B96" s="8">
        <v>112.0</v>
      </c>
      <c r="C96" s="48">
        <v>45775.0</v>
      </c>
      <c r="E96" s="8" t="s">
        <v>902</v>
      </c>
      <c r="F96" s="8" t="s">
        <v>70</v>
      </c>
      <c r="G96" s="8">
        <v>3.0</v>
      </c>
      <c r="K96" s="8">
        <v>35100.0</v>
      </c>
      <c r="L96" s="8">
        <v>37875.0</v>
      </c>
      <c r="N96" s="8" t="s">
        <v>88</v>
      </c>
      <c r="O96" s="8" t="s">
        <v>48</v>
      </c>
      <c r="P96" s="8" t="s">
        <v>49</v>
      </c>
      <c r="Q96" s="8" t="s">
        <v>903</v>
      </c>
      <c r="S96" s="8">
        <v>120.0</v>
      </c>
      <c r="Y96" s="8" t="s">
        <v>53</v>
      </c>
      <c r="Z96" s="8" t="s">
        <v>54</v>
      </c>
      <c r="AA96" s="8" t="s">
        <v>54</v>
      </c>
      <c r="AB96" s="8" t="s">
        <v>54</v>
      </c>
      <c r="AC96" s="8" t="s">
        <v>54</v>
      </c>
      <c r="AD96" s="8" t="s">
        <v>54</v>
      </c>
      <c r="AE96" s="8" t="s">
        <v>54</v>
      </c>
      <c r="AF96" s="8" t="s">
        <v>54</v>
      </c>
      <c r="AG96" s="8">
        <v>0.0</v>
      </c>
      <c r="AH96" s="8">
        <v>0.0</v>
      </c>
      <c r="AI96" s="19">
        <f>60000</f>
        <v>60000</v>
      </c>
      <c r="AJ96" s="8">
        <v>0.0</v>
      </c>
      <c r="AM96" s="8">
        <v>60000.0</v>
      </c>
      <c r="AQ96" s="8" t="s">
        <v>47</v>
      </c>
    </row>
    <row r="97">
      <c r="A97" s="8" t="s">
        <v>904</v>
      </c>
      <c r="B97" s="8">
        <v>112.0</v>
      </c>
      <c r="C97" s="48">
        <v>45754.0</v>
      </c>
      <c r="E97" s="8" t="s">
        <v>905</v>
      </c>
      <c r="F97" s="8" t="s">
        <v>70</v>
      </c>
      <c r="G97" s="8">
        <v>5.0</v>
      </c>
      <c r="K97" s="8">
        <v>1400.0</v>
      </c>
      <c r="L97" s="8">
        <v>1400.0</v>
      </c>
      <c r="N97" s="8" t="s">
        <v>88</v>
      </c>
      <c r="O97" s="8" t="s">
        <v>48</v>
      </c>
      <c r="P97" s="8" t="s">
        <v>49</v>
      </c>
      <c r="Q97" s="8" t="s">
        <v>906</v>
      </c>
      <c r="S97" s="8">
        <v>40.0</v>
      </c>
      <c r="Y97" s="8" t="s">
        <v>53</v>
      </c>
      <c r="Z97" s="8" t="s">
        <v>54</v>
      </c>
      <c r="AA97" s="8" t="s">
        <v>54</v>
      </c>
      <c r="AB97" s="8" t="s">
        <v>54</v>
      </c>
      <c r="AC97" s="8" t="s">
        <v>54</v>
      </c>
      <c r="AD97" s="8" t="s">
        <v>54</v>
      </c>
      <c r="AE97" s="8" t="s">
        <v>54</v>
      </c>
      <c r="AF97" s="8" t="s">
        <v>54</v>
      </c>
      <c r="AG97" s="8">
        <v>33415.0</v>
      </c>
      <c r="AH97" s="8">
        <v>37300.0</v>
      </c>
      <c r="AI97" s="8">
        <v>0.0</v>
      </c>
      <c r="AJ97" s="8">
        <v>2000.0</v>
      </c>
      <c r="AM97" s="8">
        <v>10000.0</v>
      </c>
      <c r="AQ97" s="8" t="s">
        <v>47</v>
      </c>
    </row>
    <row r="98">
      <c r="A98" s="8" t="s">
        <v>907</v>
      </c>
      <c r="B98" s="8">
        <v>112.0</v>
      </c>
      <c r="C98" s="48">
        <v>45810.0</v>
      </c>
      <c r="E98" s="8" t="s">
        <v>908</v>
      </c>
      <c r="F98" s="8" t="s">
        <v>124</v>
      </c>
      <c r="G98" s="8">
        <v>3.0</v>
      </c>
      <c r="K98" s="8">
        <v>5784.0</v>
      </c>
      <c r="L98" s="8">
        <v>5784.0</v>
      </c>
      <c r="N98" s="8" t="s">
        <v>48</v>
      </c>
      <c r="O98" s="8" t="s">
        <v>48</v>
      </c>
      <c r="P98" s="8" t="s">
        <v>49</v>
      </c>
      <c r="Q98" s="8" t="s">
        <v>909</v>
      </c>
      <c r="S98" s="8">
        <v>60.0</v>
      </c>
      <c r="Y98" s="8" t="s">
        <v>53</v>
      </c>
      <c r="Z98" s="8" t="s">
        <v>54</v>
      </c>
      <c r="AC98" s="8" t="s">
        <v>54</v>
      </c>
      <c r="AD98" s="8" t="s">
        <v>54</v>
      </c>
      <c r="AE98" s="8" t="s">
        <v>54</v>
      </c>
      <c r="AF98" s="8" t="s">
        <v>54</v>
      </c>
      <c r="AG98" s="8">
        <v>10915.0</v>
      </c>
      <c r="AH98" s="8">
        <v>22000.0</v>
      </c>
      <c r="AI98" s="8">
        <v>0.0</v>
      </c>
      <c r="AJ98" s="8">
        <f>99990+6000</f>
        <v>105990</v>
      </c>
      <c r="AM98" s="8">
        <v>36000.0</v>
      </c>
      <c r="AQ98" s="8" t="s">
        <v>54</v>
      </c>
      <c r="AR98" s="49">
        <v>0.3</v>
      </c>
    </row>
    <row r="99">
      <c r="A99" s="8" t="s">
        <v>910</v>
      </c>
      <c r="B99" s="8">
        <v>112.0</v>
      </c>
      <c r="C99" s="48">
        <v>45866.0</v>
      </c>
      <c r="E99" s="8" t="s">
        <v>911</v>
      </c>
      <c r="F99" s="8" t="s">
        <v>124</v>
      </c>
      <c r="G99" s="8">
        <v>4.0</v>
      </c>
      <c r="K99" s="8">
        <v>51849.0</v>
      </c>
      <c r="L99" s="8">
        <v>51849.0</v>
      </c>
      <c r="N99" s="8" t="s">
        <v>88</v>
      </c>
      <c r="O99" s="8" t="s">
        <v>48</v>
      </c>
      <c r="P99" s="8" t="s">
        <v>49</v>
      </c>
      <c r="Q99" s="8" t="s">
        <v>912</v>
      </c>
      <c r="S99" s="8">
        <v>40.0</v>
      </c>
      <c r="Y99" s="8" t="s">
        <v>73</v>
      </c>
      <c r="Z99" s="8" t="s">
        <v>54</v>
      </c>
      <c r="AA99" s="8" t="s">
        <v>54</v>
      </c>
      <c r="AB99" s="8" t="s">
        <v>54</v>
      </c>
      <c r="AC99" s="8" t="s">
        <v>54</v>
      </c>
      <c r="AD99" s="8" t="s">
        <v>54</v>
      </c>
      <c r="AE99" s="8" t="s">
        <v>54</v>
      </c>
      <c r="AF99" s="8" t="s">
        <v>54</v>
      </c>
      <c r="AG99" s="8">
        <v>1635.0</v>
      </c>
      <c r="AH99" s="8">
        <v>16350.0</v>
      </c>
      <c r="AI99" s="8">
        <v>0.0</v>
      </c>
      <c r="AJ99" s="8">
        <v>0.0</v>
      </c>
      <c r="AM99" s="8">
        <v>50000.0</v>
      </c>
      <c r="AQ99" s="8" t="s">
        <v>47</v>
      </c>
    </row>
    <row r="100">
      <c r="A100" s="8" t="s">
        <v>913</v>
      </c>
      <c r="B100" s="8">
        <v>112.0</v>
      </c>
      <c r="C100" s="48">
        <v>45711.0</v>
      </c>
      <c r="E100" s="8" t="s">
        <v>914</v>
      </c>
      <c r="F100" s="8" t="s">
        <v>46</v>
      </c>
      <c r="G100" s="8">
        <v>4.0</v>
      </c>
      <c r="K100" s="8">
        <v>1880.0</v>
      </c>
      <c r="L100" s="8">
        <v>3600.0</v>
      </c>
      <c r="N100" s="8" t="s">
        <v>48</v>
      </c>
      <c r="O100" s="8" t="s">
        <v>88</v>
      </c>
      <c r="P100" s="8" t="s">
        <v>49</v>
      </c>
      <c r="Q100" s="8" t="s">
        <v>915</v>
      </c>
      <c r="S100" s="8">
        <v>60.0</v>
      </c>
      <c r="Y100" s="8" t="s">
        <v>73</v>
      </c>
      <c r="Z100" s="8" t="s">
        <v>54</v>
      </c>
      <c r="AC100" s="8" t="s">
        <v>54</v>
      </c>
      <c r="AD100" s="8" t="s">
        <v>54</v>
      </c>
      <c r="AE100" s="8" t="s">
        <v>54</v>
      </c>
      <c r="AF100" s="8" t="s">
        <v>54</v>
      </c>
      <c r="AG100" s="8">
        <v>1362.0</v>
      </c>
      <c r="AH100" s="8">
        <v>5450.0</v>
      </c>
      <c r="AI100" s="8">
        <v>0.0</v>
      </c>
      <c r="AJ100" s="19">
        <f>3270</f>
        <v>3270</v>
      </c>
      <c r="AM100" s="8">
        <v>10000.0</v>
      </c>
      <c r="AQ100" s="8" t="s">
        <v>47</v>
      </c>
    </row>
    <row r="101">
      <c r="A101" s="8" t="s">
        <v>916</v>
      </c>
      <c r="B101" s="8">
        <v>112.0</v>
      </c>
      <c r="C101" s="48">
        <v>45837.0</v>
      </c>
      <c r="E101" s="8" t="s">
        <v>917</v>
      </c>
      <c r="F101" s="8" t="s">
        <v>70</v>
      </c>
      <c r="G101" s="8">
        <v>4.0</v>
      </c>
      <c r="K101" s="8">
        <v>800.0</v>
      </c>
      <c r="L101" s="8">
        <v>218011.0</v>
      </c>
      <c r="N101" s="8" t="s">
        <v>48</v>
      </c>
      <c r="O101" s="8" t="s">
        <v>88</v>
      </c>
      <c r="P101" s="8" t="s">
        <v>49</v>
      </c>
      <c r="Q101" s="8" t="s">
        <v>918</v>
      </c>
      <c r="S101" s="8">
        <v>30.0</v>
      </c>
      <c r="Y101" s="8" t="s">
        <v>73</v>
      </c>
      <c r="Z101" s="8" t="s">
        <v>54</v>
      </c>
      <c r="AA101" s="8" t="s">
        <v>54</v>
      </c>
      <c r="AB101" s="8" t="s">
        <v>54</v>
      </c>
      <c r="AC101" s="8" t="s">
        <v>54</v>
      </c>
      <c r="AD101" s="8" t="s">
        <v>54</v>
      </c>
      <c r="AE101" s="8" t="s">
        <v>54</v>
      </c>
      <c r="AF101" s="8" t="s">
        <v>54</v>
      </c>
      <c r="AG101" s="8">
        <v>0.0</v>
      </c>
      <c r="AH101" s="8">
        <v>0.0</v>
      </c>
      <c r="AI101" s="8">
        <v>0.0</v>
      </c>
      <c r="AJ101" s="8">
        <v>0.0</v>
      </c>
      <c r="AM101" s="8">
        <v>40000.0</v>
      </c>
      <c r="AQ101" s="8" t="s">
        <v>47</v>
      </c>
    </row>
    <row r="102">
      <c r="A102" s="8" t="s">
        <v>919</v>
      </c>
      <c r="B102" s="8">
        <v>112.0</v>
      </c>
      <c r="C102" s="48">
        <v>45729.0</v>
      </c>
      <c r="E102" s="8" t="s">
        <v>920</v>
      </c>
      <c r="F102" s="8" t="s">
        <v>70</v>
      </c>
      <c r="G102" s="8">
        <v>5.0</v>
      </c>
      <c r="K102" s="8">
        <v>0.0</v>
      </c>
      <c r="L102" s="8">
        <v>0.0</v>
      </c>
      <c r="N102" s="8" t="s">
        <v>48</v>
      </c>
      <c r="O102" s="8" t="s">
        <v>48</v>
      </c>
      <c r="P102" s="8" t="s">
        <v>49</v>
      </c>
      <c r="Q102" s="8" t="s">
        <v>921</v>
      </c>
      <c r="S102" s="8">
        <v>50.0</v>
      </c>
      <c r="Y102" s="8" t="s">
        <v>55</v>
      </c>
      <c r="Z102" s="8" t="s">
        <v>54</v>
      </c>
      <c r="AA102" s="8" t="s">
        <v>54</v>
      </c>
      <c r="AB102" s="8" t="s">
        <v>54</v>
      </c>
      <c r="AC102" s="8" t="s">
        <v>54</v>
      </c>
      <c r="AD102" s="8" t="s">
        <v>54</v>
      </c>
      <c r="AE102" s="8" t="s">
        <v>54</v>
      </c>
      <c r="AF102" s="8" t="s">
        <v>54</v>
      </c>
      <c r="AG102" s="8">
        <v>0.0</v>
      </c>
      <c r="AH102" s="8">
        <v>0.0</v>
      </c>
      <c r="AI102" s="8">
        <v>0.0</v>
      </c>
      <c r="AJ102" s="8">
        <v>0.0</v>
      </c>
      <c r="AM102" s="8">
        <v>10000.0</v>
      </c>
      <c r="AQ102" s="8" t="s">
        <v>47</v>
      </c>
    </row>
    <row r="103">
      <c r="A103" s="8" t="s">
        <v>922</v>
      </c>
      <c r="B103" s="8">
        <v>112.0</v>
      </c>
      <c r="C103" s="48">
        <v>45765.0</v>
      </c>
      <c r="E103" s="8" t="s">
        <v>923</v>
      </c>
      <c r="F103" s="8" t="s">
        <v>70</v>
      </c>
      <c r="G103" s="8">
        <v>4.0</v>
      </c>
      <c r="K103" s="8">
        <v>5000.0</v>
      </c>
      <c r="L103" s="8">
        <v>5050.0</v>
      </c>
      <c r="N103" s="8" t="s">
        <v>88</v>
      </c>
      <c r="O103" s="8" t="s">
        <v>88</v>
      </c>
      <c r="P103" s="8" t="s">
        <v>49</v>
      </c>
      <c r="Q103" s="8" t="s">
        <v>924</v>
      </c>
      <c r="S103" s="8">
        <v>120.0</v>
      </c>
      <c r="Y103" s="8" t="s">
        <v>73</v>
      </c>
      <c r="Z103" s="8" t="s">
        <v>54</v>
      </c>
      <c r="AA103" s="8" t="s">
        <v>54</v>
      </c>
      <c r="AB103" s="8" t="s">
        <v>54</v>
      </c>
      <c r="AC103" s="8" t="s">
        <v>54</v>
      </c>
      <c r="AD103" s="8" t="s">
        <v>54</v>
      </c>
      <c r="AE103" s="8" t="s">
        <v>54</v>
      </c>
      <c r="AF103" s="8" t="s">
        <v>54</v>
      </c>
      <c r="AG103" s="8">
        <v>4470.0</v>
      </c>
      <c r="AH103" s="8">
        <v>11880.0</v>
      </c>
      <c r="AI103" s="19">
        <f>50400</f>
        <v>50400</v>
      </c>
      <c r="AJ103" s="19">
        <f>62400</f>
        <v>62400</v>
      </c>
      <c r="AM103" s="8">
        <v>80000.0</v>
      </c>
      <c r="AQ103" s="8" t="s">
        <v>54</v>
      </c>
      <c r="AR103" s="49">
        <v>0.3</v>
      </c>
    </row>
    <row r="104">
      <c r="A104" s="8" t="s">
        <v>925</v>
      </c>
      <c r="B104" s="8">
        <v>112.0</v>
      </c>
      <c r="C104" s="48">
        <v>45740.0</v>
      </c>
      <c r="E104" s="8" t="s">
        <v>926</v>
      </c>
      <c r="F104" s="8" t="s">
        <v>73</v>
      </c>
      <c r="G104" s="8">
        <v>3.0</v>
      </c>
      <c r="K104" s="8">
        <v>88710.0</v>
      </c>
      <c r="L104" s="8">
        <v>88710.0</v>
      </c>
      <c r="N104" s="8" t="s">
        <v>88</v>
      </c>
      <c r="O104" s="8" t="s">
        <v>48</v>
      </c>
      <c r="P104" s="8" t="s">
        <v>49</v>
      </c>
      <c r="Q104" s="8" t="s">
        <v>927</v>
      </c>
      <c r="S104" s="8">
        <v>150.0</v>
      </c>
      <c r="Y104" s="8" t="s">
        <v>53</v>
      </c>
      <c r="Z104" s="8" t="s">
        <v>54</v>
      </c>
      <c r="AA104" s="8" t="s">
        <v>54</v>
      </c>
      <c r="AB104" s="8" t="s">
        <v>54</v>
      </c>
      <c r="AC104" s="8" t="s">
        <v>54</v>
      </c>
      <c r="AD104" s="8" t="s">
        <v>54</v>
      </c>
      <c r="AE104" s="8" t="s">
        <v>54</v>
      </c>
      <c r="AF104" s="8" t="s">
        <v>54</v>
      </c>
      <c r="AG104" s="8">
        <v>8825.0</v>
      </c>
      <c r="AH104" s="8">
        <v>32900.0</v>
      </c>
      <c r="AI104" s="19">
        <f>112200+1480</f>
        <v>113680</v>
      </c>
      <c r="AJ104" s="19">
        <f>33336</f>
        <v>33336</v>
      </c>
      <c r="AM104" s="8">
        <v>400000.0</v>
      </c>
      <c r="AQ104" s="8" t="s">
        <v>54</v>
      </c>
      <c r="AR104" s="49">
        <v>0.5</v>
      </c>
    </row>
    <row r="105">
      <c r="A105" s="8" t="s">
        <v>928</v>
      </c>
      <c r="B105" s="8">
        <v>112.0</v>
      </c>
      <c r="C105" s="48">
        <v>45747.0</v>
      </c>
      <c r="E105" s="8" t="s">
        <v>929</v>
      </c>
      <c r="F105" s="8" t="s">
        <v>46</v>
      </c>
      <c r="G105" s="8">
        <v>5.0</v>
      </c>
      <c r="K105" s="8">
        <v>0.0</v>
      </c>
      <c r="L105" s="8">
        <v>0.0</v>
      </c>
      <c r="N105" s="8" t="s">
        <v>88</v>
      </c>
      <c r="O105" s="8" t="s">
        <v>48</v>
      </c>
      <c r="P105" s="8" t="s">
        <v>49</v>
      </c>
      <c r="Q105" s="8" t="s">
        <v>930</v>
      </c>
      <c r="S105" s="8">
        <v>50.0</v>
      </c>
      <c r="Y105" s="8" t="s">
        <v>55</v>
      </c>
      <c r="Z105" s="8" t="s">
        <v>54</v>
      </c>
      <c r="AC105" s="8" t="s">
        <v>54</v>
      </c>
      <c r="AD105" s="8" t="s">
        <v>54</v>
      </c>
      <c r="AE105" s="8" t="s">
        <v>54</v>
      </c>
      <c r="AF105" s="8" t="s">
        <v>54</v>
      </c>
      <c r="AG105" s="8">
        <v>12700.0</v>
      </c>
      <c r="AH105" s="8">
        <v>19050.0</v>
      </c>
      <c r="AI105" s="8">
        <v>0.0</v>
      </c>
      <c r="AJ105" s="8">
        <v>0.0</v>
      </c>
      <c r="AM105" s="8">
        <v>15000.0</v>
      </c>
      <c r="AQ105" s="8" t="s">
        <v>47</v>
      </c>
    </row>
    <row r="106">
      <c r="A106" s="8" t="s">
        <v>931</v>
      </c>
      <c r="B106" s="8">
        <v>112.0</v>
      </c>
      <c r="C106" s="48">
        <v>45746.0</v>
      </c>
      <c r="E106" s="8" t="s">
        <v>932</v>
      </c>
      <c r="F106" s="8" t="s">
        <v>70</v>
      </c>
      <c r="G106" s="8">
        <v>5.0</v>
      </c>
      <c r="K106" s="8">
        <v>35000.0</v>
      </c>
      <c r="L106" s="8">
        <v>35000.0</v>
      </c>
      <c r="N106" s="8" t="s">
        <v>48</v>
      </c>
      <c r="O106" s="8" t="s">
        <v>48</v>
      </c>
      <c r="P106" s="8" t="s">
        <v>49</v>
      </c>
      <c r="Q106" s="8" t="s">
        <v>933</v>
      </c>
      <c r="S106" s="8">
        <v>30.0</v>
      </c>
      <c r="Y106" s="8" t="s">
        <v>73</v>
      </c>
      <c r="Z106" s="8" t="s">
        <v>47</v>
      </c>
      <c r="AC106" s="8" t="s">
        <v>54</v>
      </c>
      <c r="AD106" s="8" t="s">
        <v>54</v>
      </c>
      <c r="AE106" s="8" t="s">
        <v>54</v>
      </c>
      <c r="AF106" s="8" t="s">
        <v>54</v>
      </c>
      <c r="AG106" s="8">
        <v>0.0</v>
      </c>
      <c r="AH106" s="8">
        <v>0.0</v>
      </c>
      <c r="AI106" s="8">
        <v>0.0</v>
      </c>
      <c r="AJ106" s="8">
        <v>0.0</v>
      </c>
      <c r="AM106" s="8">
        <v>50000.0</v>
      </c>
      <c r="AQ106" s="8" t="s">
        <v>54</v>
      </c>
      <c r="AR106" s="49">
        <v>0.8</v>
      </c>
    </row>
    <row r="107">
      <c r="A107" s="8" t="s">
        <v>934</v>
      </c>
      <c r="B107" s="8">
        <v>112.0</v>
      </c>
      <c r="C107" s="48">
        <v>45760.0</v>
      </c>
      <c r="E107" s="8" t="s">
        <v>935</v>
      </c>
      <c r="F107" s="8" t="s">
        <v>46</v>
      </c>
      <c r="G107" s="8">
        <v>5.0</v>
      </c>
      <c r="K107" s="8">
        <v>600.0</v>
      </c>
      <c r="L107" s="8">
        <v>600.0</v>
      </c>
      <c r="N107" s="8" t="s">
        <v>48</v>
      </c>
      <c r="O107" s="8" t="s">
        <v>48</v>
      </c>
      <c r="P107" s="8" t="s">
        <v>49</v>
      </c>
      <c r="Q107" s="8" t="s">
        <v>936</v>
      </c>
      <c r="S107" s="8">
        <v>40.0</v>
      </c>
      <c r="Y107" s="8" t="s">
        <v>56</v>
      </c>
      <c r="Z107" s="8" t="s">
        <v>54</v>
      </c>
      <c r="AA107" s="8" t="s">
        <v>54</v>
      </c>
      <c r="AB107" s="8" t="s">
        <v>54</v>
      </c>
      <c r="AC107" s="8" t="s">
        <v>54</v>
      </c>
      <c r="AD107" s="8" t="s">
        <v>54</v>
      </c>
      <c r="AE107" s="8" t="s">
        <v>54</v>
      </c>
      <c r="AF107" s="8" t="s">
        <v>54</v>
      </c>
      <c r="AG107" s="8">
        <v>434770.0</v>
      </c>
      <c r="AH107" s="8">
        <v>551638.0</v>
      </c>
      <c r="AI107" s="19">
        <f>1960</f>
        <v>1960</v>
      </c>
      <c r="AJ107" s="19">
        <f>123000+4500+7000</f>
        <v>134500</v>
      </c>
      <c r="AM107" s="8">
        <v>80000.0</v>
      </c>
      <c r="AQ107" s="8" t="s">
        <v>47</v>
      </c>
    </row>
    <row r="108">
      <c r="A108" s="8" t="s">
        <v>937</v>
      </c>
      <c r="B108" s="8">
        <v>112.0</v>
      </c>
      <c r="C108" s="48">
        <v>45704.0</v>
      </c>
      <c r="E108" s="8" t="s">
        <v>938</v>
      </c>
      <c r="F108" s="8" t="s">
        <v>73</v>
      </c>
      <c r="G108" s="8">
        <v>2.0</v>
      </c>
      <c r="K108" s="8">
        <f t="shared" ref="K108:L108" si="12">34155+182560+4725</f>
        <v>221440</v>
      </c>
      <c r="L108" s="8">
        <f t="shared" si="12"/>
        <v>221440</v>
      </c>
      <c r="N108" s="8" t="s">
        <v>88</v>
      </c>
      <c r="O108" s="8" t="s">
        <v>48</v>
      </c>
      <c r="P108" s="8" t="s">
        <v>49</v>
      </c>
      <c r="Q108" s="8" t="s">
        <v>939</v>
      </c>
      <c r="S108" s="8">
        <v>120.0</v>
      </c>
      <c r="Y108" s="8" t="s">
        <v>73</v>
      </c>
      <c r="Z108" s="8" t="s">
        <v>54</v>
      </c>
      <c r="AA108" s="8" t="s">
        <v>54</v>
      </c>
      <c r="AB108" s="8" t="s">
        <v>54</v>
      </c>
      <c r="AC108" s="8" t="s">
        <v>54</v>
      </c>
      <c r="AD108" s="8" t="s">
        <v>54</v>
      </c>
      <c r="AE108" s="8" t="s">
        <v>54</v>
      </c>
      <c r="AF108" s="8" t="s">
        <v>54</v>
      </c>
      <c r="AG108" s="8">
        <v>0.0</v>
      </c>
      <c r="AH108" s="8">
        <v>0.0</v>
      </c>
      <c r="AI108" s="19">
        <f>22349+810</f>
        <v>23159</v>
      </c>
      <c r="AJ108" s="19">
        <f>12712+360000</f>
        <v>372712</v>
      </c>
      <c r="AM108" s="8">
        <v>420000.0</v>
      </c>
      <c r="AQ108" s="8" t="s">
        <v>47</v>
      </c>
    </row>
    <row r="109">
      <c r="A109" s="8" t="s">
        <v>940</v>
      </c>
      <c r="B109" s="8">
        <v>112.0</v>
      </c>
      <c r="C109" s="48">
        <v>45705.0</v>
      </c>
      <c r="E109" s="8" t="s">
        <v>941</v>
      </c>
      <c r="F109" s="8" t="s">
        <v>70</v>
      </c>
      <c r="G109" s="8">
        <v>5.0</v>
      </c>
      <c r="K109" s="8">
        <v>760.0</v>
      </c>
      <c r="L109" s="8">
        <v>760.0</v>
      </c>
      <c r="N109" s="8" t="s">
        <v>48</v>
      </c>
      <c r="O109" s="8" t="s">
        <v>48</v>
      </c>
      <c r="P109" s="8" t="s">
        <v>49</v>
      </c>
      <c r="Q109" s="8" t="s">
        <v>942</v>
      </c>
      <c r="S109" s="8">
        <v>40.0</v>
      </c>
      <c r="Y109" s="8" t="s">
        <v>73</v>
      </c>
      <c r="Z109" s="8" t="s">
        <v>47</v>
      </c>
      <c r="AC109" s="8" t="s">
        <v>54</v>
      </c>
      <c r="AD109" s="8" t="s">
        <v>54</v>
      </c>
      <c r="AE109" s="8" t="s">
        <v>54</v>
      </c>
      <c r="AF109" s="8" t="s">
        <v>54</v>
      </c>
      <c r="AG109" s="8">
        <v>5000.0</v>
      </c>
      <c r="AH109" s="8">
        <v>62788.0</v>
      </c>
      <c r="AI109" s="8">
        <v>0.0</v>
      </c>
      <c r="AJ109" s="19">
        <f>1667</f>
        <v>1667</v>
      </c>
      <c r="AM109" s="8">
        <v>50000.0</v>
      </c>
      <c r="AQ109" s="8" t="s">
        <v>54</v>
      </c>
      <c r="AR109" s="49">
        <v>0.3</v>
      </c>
    </row>
    <row r="110">
      <c r="A110" s="8" t="s">
        <v>943</v>
      </c>
      <c r="B110" s="8">
        <v>112.0</v>
      </c>
      <c r="C110" s="48">
        <v>45786.0</v>
      </c>
      <c r="E110" s="8" t="s">
        <v>944</v>
      </c>
      <c r="F110" s="8" t="s">
        <v>46</v>
      </c>
      <c r="G110" s="8">
        <v>3.0</v>
      </c>
      <c r="K110" s="8">
        <v>667718.0</v>
      </c>
      <c r="L110" s="8">
        <v>667718.0</v>
      </c>
      <c r="N110" s="8" t="s">
        <v>48</v>
      </c>
      <c r="O110" s="8" t="s">
        <v>48</v>
      </c>
      <c r="P110" s="8" t="s">
        <v>49</v>
      </c>
      <c r="Q110" s="8" t="s">
        <v>945</v>
      </c>
      <c r="S110" s="8">
        <v>40.0</v>
      </c>
      <c r="Y110" s="8" t="s">
        <v>73</v>
      </c>
      <c r="Z110" s="8" t="s">
        <v>47</v>
      </c>
      <c r="AC110" s="8" t="s">
        <v>54</v>
      </c>
      <c r="AD110" s="8" t="s">
        <v>54</v>
      </c>
      <c r="AE110" s="8" t="s">
        <v>54</v>
      </c>
      <c r="AF110" s="8" t="s">
        <v>54</v>
      </c>
      <c r="AG110" s="8">
        <v>0.0</v>
      </c>
      <c r="AH110" s="8">
        <v>0.0</v>
      </c>
      <c r="AI110" s="19">
        <f>22500+18875</f>
        <v>41375</v>
      </c>
      <c r="AJ110" s="8">
        <v>0.0</v>
      </c>
      <c r="AM110" s="8">
        <v>300000.0</v>
      </c>
      <c r="AQ110" s="8" t="s">
        <v>47</v>
      </c>
    </row>
    <row r="111">
      <c r="A111" s="8" t="s">
        <v>946</v>
      </c>
      <c r="B111" s="8">
        <v>112.0</v>
      </c>
      <c r="C111" s="48">
        <v>45800.0</v>
      </c>
      <c r="E111" s="8" t="s">
        <v>947</v>
      </c>
      <c r="F111" s="8" t="s">
        <v>70</v>
      </c>
      <c r="G111" s="8">
        <v>4.0</v>
      </c>
      <c r="K111" s="8">
        <f t="shared" ref="K111:L111" si="13">198940+17274</f>
        <v>216214</v>
      </c>
      <c r="L111" s="8">
        <f t="shared" si="13"/>
        <v>216214</v>
      </c>
      <c r="N111" s="8" t="s">
        <v>48</v>
      </c>
      <c r="O111" s="8" t="s">
        <v>88</v>
      </c>
      <c r="P111" s="8" t="s">
        <v>49</v>
      </c>
      <c r="Q111" s="8" t="s">
        <v>948</v>
      </c>
      <c r="S111" s="8">
        <v>90.0</v>
      </c>
      <c r="Y111" s="8" t="s">
        <v>53</v>
      </c>
      <c r="Z111" s="8" t="s">
        <v>54</v>
      </c>
      <c r="AC111" s="8" t="s">
        <v>54</v>
      </c>
      <c r="AD111" s="8" t="s">
        <v>54</v>
      </c>
      <c r="AE111" s="8" t="s">
        <v>54</v>
      </c>
      <c r="AF111" s="8" t="s">
        <v>54</v>
      </c>
      <c r="AG111" s="8">
        <v>3150.0</v>
      </c>
      <c r="AH111" s="19">
        <f>2700+4500</f>
        <v>7200</v>
      </c>
      <c r="AI111" s="19">
        <f>63600+11394</f>
        <v>74994</v>
      </c>
      <c r="AJ111" s="19">
        <f>22854+150440</f>
        <v>173294</v>
      </c>
      <c r="AM111" s="8">
        <v>120000.0</v>
      </c>
      <c r="AQ111" s="8" t="s">
        <v>47</v>
      </c>
    </row>
    <row r="112">
      <c r="A112" s="8" t="s">
        <v>949</v>
      </c>
      <c r="B112" s="8">
        <v>112.0</v>
      </c>
      <c r="C112" s="48">
        <v>45663.0</v>
      </c>
      <c r="E112" s="8" t="s">
        <v>950</v>
      </c>
      <c r="F112" s="8" t="s">
        <v>133</v>
      </c>
      <c r="G112" s="8">
        <v>4.0</v>
      </c>
      <c r="K112" s="8">
        <v>45588.0</v>
      </c>
      <c r="L112" s="8">
        <v>48481.0</v>
      </c>
      <c r="N112" s="8" t="s">
        <v>48</v>
      </c>
      <c r="O112" s="8" t="s">
        <v>88</v>
      </c>
      <c r="P112" s="8" t="s">
        <v>49</v>
      </c>
      <c r="Q112" s="8" t="s">
        <v>951</v>
      </c>
      <c r="S112" s="8">
        <v>40.0</v>
      </c>
      <c r="Y112" s="8" t="s">
        <v>53</v>
      </c>
      <c r="Z112" s="8" t="s">
        <v>54</v>
      </c>
      <c r="AC112" s="8" t="s">
        <v>54</v>
      </c>
      <c r="AD112" s="8" t="s">
        <v>54</v>
      </c>
      <c r="AE112" s="8" t="s">
        <v>54</v>
      </c>
      <c r="AF112" s="8" t="s">
        <v>54</v>
      </c>
      <c r="AG112" s="8">
        <v>0.0</v>
      </c>
      <c r="AH112" s="8">
        <v>149904.0</v>
      </c>
      <c r="AI112" s="19">
        <f>270</f>
        <v>270</v>
      </c>
      <c r="AJ112" s="19">
        <f>2400</f>
        <v>2400</v>
      </c>
      <c r="AM112" s="8">
        <v>20000.0</v>
      </c>
      <c r="AQ112" s="8" t="s">
        <v>47</v>
      </c>
    </row>
    <row r="113">
      <c r="A113" s="8" t="s">
        <v>952</v>
      </c>
      <c r="B113" s="8">
        <v>112.0</v>
      </c>
      <c r="C113" s="48">
        <v>45828.0</v>
      </c>
      <c r="E113" s="8" t="s">
        <v>953</v>
      </c>
      <c r="F113" s="8" t="s">
        <v>73</v>
      </c>
      <c r="G113" s="8">
        <v>5.0</v>
      </c>
      <c r="K113" s="8">
        <v>6395.0</v>
      </c>
      <c r="L113" s="8">
        <v>14605.0</v>
      </c>
      <c r="N113" s="8" t="s">
        <v>48</v>
      </c>
      <c r="O113" s="8" t="s">
        <v>48</v>
      </c>
      <c r="P113" s="8" t="s">
        <v>49</v>
      </c>
      <c r="Q113" s="8" t="s">
        <v>954</v>
      </c>
      <c r="S113" s="8">
        <v>60.0</v>
      </c>
      <c r="Y113" s="8" t="s">
        <v>53</v>
      </c>
      <c r="Z113" s="8" t="s">
        <v>54</v>
      </c>
      <c r="AC113" s="8" t="s">
        <v>54</v>
      </c>
      <c r="AD113" s="8" t="s">
        <v>54</v>
      </c>
      <c r="AE113" s="8" t="s">
        <v>54</v>
      </c>
      <c r="AF113" s="8" t="s">
        <v>54</v>
      </c>
      <c r="AG113" s="8">
        <v>0.0</v>
      </c>
      <c r="AH113" s="8">
        <v>0.0</v>
      </c>
      <c r="AI113" s="19">
        <f>8710</f>
        <v>8710</v>
      </c>
      <c r="AJ113" s="19">
        <f>8982+6908</f>
        <v>15890</v>
      </c>
      <c r="AM113" s="8">
        <v>150000.0</v>
      </c>
      <c r="AQ113" s="8" t="s">
        <v>47</v>
      </c>
    </row>
    <row r="114">
      <c r="A114" s="8" t="s">
        <v>955</v>
      </c>
      <c r="B114" s="8">
        <v>112.0</v>
      </c>
      <c r="C114" s="48">
        <v>45723.0</v>
      </c>
      <c r="E114" s="8" t="s">
        <v>956</v>
      </c>
      <c r="F114" s="8" t="s">
        <v>70</v>
      </c>
      <c r="G114" s="8">
        <v>5.0</v>
      </c>
      <c r="K114" s="8">
        <v>1479.0</v>
      </c>
      <c r="L114" s="8">
        <v>1501.0</v>
      </c>
      <c r="N114" s="8" t="s">
        <v>48</v>
      </c>
      <c r="O114" s="8" t="s">
        <v>88</v>
      </c>
      <c r="P114" s="8" t="s">
        <v>49</v>
      </c>
      <c r="Q114" s="8" t="s">
        <v>957</v>
      </c>
      <c r="S114" s="8">
        <v>50.0</v>
      </c>
      <c r="Y114" s="8" t="s">
        <v>73</v>
      </c>
      <c r="Z114" s="8" t="s">
        <v>47</v>
      </c>
      <c r="AC114" s="8" t="s">
        <v>54</v>
      </c>
      <c r="AD114" s="8" t="s">
        <v>54</v>
      </c>
      <c r="AE114" s="8" t="s">
        <v>54</v>
      </c>
      <c r="AF114" s="8" t="s">
        <v>54</v>
      </c>
      <c r="AG114" s="8">
        <v>0.0</v>
      </c>
      <c r="AH114" s="8">
        <v>0.0</v>
      </c>
      <c r="AI114" s="19">
        <f>550</f>
        <v>550</v>
      </c>
      <c r="AJ114" s="8">
        <v>0.0</v>
      </c>
      <c r="AM114" s="8">
        <v>5000.0</v>
      </c>
      <c r="AQ114" s="8" t="s">
        <v>47</v>
      </c>
    </row>
    <row r="115">
      <c r="A115" s="8" t="s">
        <v>958</v>
      </c>
      <c r="B115" s="8">
        <v>112.0</v>
      </c>
      <c r="C115" s="48">
        <v>45675.0</v>
      </c>
      <c r="E115" s="8" t="s">
        <v>959</v>
      </c>
      <c r="F115" s="8" t="s">
        <v>133</v>
      </c>
      <c r="G115" s="8">
        <v>3.0</v>
      </c>
      <c r="K115" s="19">
        <f t="shared" ref="K115:L115" si="14">12819+2523+2883</f>
        <v>18225</v>
      </c>
      <c r="L115" s="19">
        <f t="shared" si="14"/>
        <v>18225</v>
      </c>
      <c r="N115" s="8" t="s">
        <v>48</v>
      </c>
      <c r="O115" s="8" t="s">
        <v>48</v>
      </c>
      <c r="P115" s="8" t="s">
        <v>49</v>
      </c>
      <c r="Q115" s="8" t="s">
        <v>960</v>
      </c>
      <c r="S115" s="8">
        <v>90.0</v>
      </c>
      <c r="Y115" s="8" t="s">
        <v>73</v>
      </c>
      <c r="Z115" s="8" t="s">
        <v>54</v>
      </c>
      <c r="AA115" s="8" t="s">
        <v>54</v>
      </c>
      <c r="AB115" s="8" t="s">
        <v>54</v>
      </c>
      <c r="AC115" s="8" t="s">
        <v>54</v>
      </c>
      <c r="AD115" s="8" t="s">
        <v>54</v>
      </c>
      <c r="AE115" s="8" t="s">
        <v>54</v>
      </c>
      <c r="AF115" s="8" t="s">
        <v>54</v>
      </c>
      <c r="AG115" s="8">
        <v>3090.0</v>
      </c>
      <c r="AH115" s="8">
        <v>30900.0</v>
      </c>
      <c r="AI115" s="8">
        <v>0.0</v>
      </c>
      <c r="AJ115" s="19">
        <f>89715</f>
        <v>89715</v>
      </c>
      <c r="AM115" s="8">
        <v>80000.0</v>
      </c>
      <c r="AQ115" s="8" t="s">
        <v>54</v>
      </c>
      <c r="AR115" s="49">
        <v>0.2</v>
      </c>
    </row>
    <row r="116">
      <c r="A116" s="8" t="s">
        <v>961</v>
      </c>
      <c r="B116" s="8">
        <v>112.0</v>
      </c>
      <c r="C116" s="48">
        <v>45873.0</v>
      </c>
      <c r="E116" s="8" t="s">
        <v>962</v>
      </c>
      <c r="F116" s="8" t="s">
        <v>124</v>
      </c>
      <c r="G116" s="8">
        <v>3.0</v>
      </c>
      <c r="K116" s="8">
        <v>14509.0</v>
      </c>
      <c r="L116" s="8">
        <v>214509.0</v>
      </c>
      <c r="N116" s="8" t="s">
        <v>88</v>
      </c>
      <c r="O116" s="8" t="s">
        <v>48</v>
      </c>
      <c r="P116" s="8" t="s">
        <v>49</v>
      </c>
      <c r="Q116" s="8" t="s">
        <v>963</v>
      </c>
      <c r="S116" s="8">
        <v>35.0</v>
      </c>
      <c r="Y116" s="8" t="s">
        <v>73</v>
      </c>
      <c r="Z116" s="8" t="s">
        <v>47</v>
      </c>
      <c r="AC116" s="8" t="s">
        <v>54</v>
      </c>
      <c r="AD116" s="8" t="s">
        <v>54</v>
      </c>
      <c r="AE116" s="8" t="s">
        <v>54</v>
      </c>
      <c r="AF116" s="8" t="s">
        <v>54</v>
      </c>
      <c r="AG116" s="8">
        <v>0.0</v>
      </c>
      <c r="AH116" s="8">
        <v>3500.0</v>
      </c>
      <c r="AI116" s="8">
        <v>0.0</v>
      </c>
      <c r="AJ116" s="8">
        <v>0.0</v>
      </c>
      <c r="AM116" s="8">
        <v>100000.0</v>
      </c>
      <c r="AQ116" s="8" t="s">
        <v>47</v>
      </c>
    </row>
    <row r="117">
      <c r="A117" s="8" t="s">
        <v>964</v>
      </c>
      <c r="B117" s="8">
        <v>112.0</v>
      </c>
      <c r="C117" s="48">
        <v>45674.0</v>
      </c>
      <c r="E117" s="8" t="s">
        <v>965</v>
      </c>
      <c r="F117" s="8" t="s">
        <v>70</v>
      </c>
      <c r="G117" s="8">
        <v>4.0</v>
      </c>
      <c r="K117" s="8">
        <v>0.0</v>
      </c>
      <c r="L117" s="8">
        <v>104725.0</v>
      </c>
      <c r="N117" s="8" t="s">
        <v>48</v>
      </c>
      <c r="O117" s="8" t="s">
        <v>48</v>
      </c>
      <c r="P117" s="8" t="s">
        <v>61</v>
      </c>
      <c r="Y117" s="8" t="s">
        <v>56</v>
      </c>
      <c r="Z117" s="8" t="s">
        <v>47</v>
      </c>
      <c r="AC117" s="8" t="s">
        <v>54</v>
      </c>
      <c r="AD117" s="8" t="s">
        <v>54</v>
      </c>
      <c r="AE117" s="8" t="s">
        <v>54</v>
      </c>
      <c r="AF117" s="8" t="s">
        <v>54</v>
      </c>
      <c r="AG117" s="8">
        <v>0.0</v>
      </c>
      <c r="AH117" s="8">
        <v>0.0</v>
      </c>
      <c r="AI117" s="8">
        <v>0.0</v>
      </c>
      <c r="AJ117" s="8">
        <v>0.0</v>
      </c>
      <c r="AM117" s="8">
        <v>6000.0</v>
      </c>
      <c r="AQ117" s="8" t="s">
        <v>54</v>
      </c>
      <c r="AR117" s="49">
        <v>0.4</v>
      </c>
    </row>
    <row r="118">
      <c r="A118" s="8" t="s">
        <v>966</v>
      </c>
      <c r="B118" s="8">
        <v>112.0</v>
      </c>
      <c r="C118" s="48">
        <v>45670.0</v>
      </c>
      <c r="E118" s="8" t="s">
        <v>967</v>
      </c>
      <c r="F118" s="8" t="s">
        <v>56</v>
      </c>
      <c r="G118" s="8">
        <v>5.0</v>
      </c>
      <c r="K118" s="8">
        <v>40030.0</v>
      </c>
      <c r="L118" s="8">
        <v>50430.0</v>
      </c>
      <c r="N118" s="8" t="s">
        <v>88</v>
      </c>
      <c r="O118" s="8" t="s">
        <v>88</v>
      </c>
      <c r="P118" s="8" t="s">
        <v>49</v>
      </c>
      <c r="Q118" s="8" t="s">
        <v>968</v>
      </c>
      <c r="S118" s="8">
        <v>30.0</v>
      </c>
      <c r="Y118" s="8" t="s">
        <v>53</v>
      </c>
      <c r="Z118" s="8" t="s">
        <v>54</v>
      </c>
      <c r="AC118" s="8" t="s">
        <v>54</v>
      </c>
      <c r="AD118" s="8" t="s">
        <v>54</v>
      </c>
      <c r="AE118" s="8" t="s">
        <v>54</v>
      </c>
      <c r="AF118" s="8" t="s">
        <v>54</v>
      </c>
      <c r="AG118" s="8">
        <v>2510.0</v>
      </c>
      <c r="AH118" s="8">
        <v>6200.0</v>
      </c>
      <c r="AI118" s="19">
        <f>1685</f>
        <v>1685</v>
      </c>
      <c r="AJ118" s="19">
        <f>8743+10013</f>
        <v>18756</v>
      </c>
      <c r="AM118" s="8">
        <v>30000.0</v>
      </c>
      <c r="AQ118" s="8" t="s">
        <v>47</v>
      </c>
    </row>
    <row r="119">
      <c r="A119" s="8" t="s">
        <v>969</v>
      </c>
      <c r="B119" s="8">
        <v>112.0</v>
      </c>
      <c r="C119" s="48">
        <v>45726.0</v>
      </c>
      <c r="E119" s="8" t="s">
        <v>970</v>
      </c>
      <c r="F119" s="8" t="s">
        <v>70</v>
      </c>
      <c r="G119" s="8">
        <v>3.0</v>
      </c>
      <c r="K119" s="8">
        <v>154636.0</v>
      </c>
      <c r="L119" s="8">
        <v>154636.0</v>
      </c>
      <c r="N119" s="8" t="s">
        <v>48</v>
      </c>
      <c r="O119" s="8" t="s">
        <v>48</v>
      </c>
      <c r="P119" s="8" t="s">
        <v>49</v>
      </c>
      <c r="Q119" s="8" t="s">
        <v>971</v>
      </c>
      <c r="S119" s="8">
        <v>50.0</v>
      </c>
      <c r="Y119" s="8" t="s">
        <v>53</v>
      </c>
      <c r="Z119" s="8" t="s">
        <v>47</v>
      </c>
      <c r="AC119" s="8" t="s">
        <v>54</v>
      </c>
      <c r="AD119" s="8" t="s">
        <v>54</v>
      </c>
      <c r="AE119" s="8" t="s">
        <v>54</v>
      </c>
      <c r="AF119" s="8" t="s">
        <v>54</v>
      </c>
      <c r="AG119" s="8">
        <v>1788.0</v>
      </c>
      <c r="AH119" s="8">
        <v>5500.0</v>
      </c>
      <c r="AI119" s="19">
        <f>72000</f>
        <v>72000</v>
      </c>
      <c r="AJ119" s="8">
        <v>0.0</v>
      </c>
      <c r="AM119" s="8">
        <v>300000.0</v>
      </c>
      <c r="AQ119" s="8" t="s">
        <v>47</v>
      </c>
    </row>
    <row r="120">
      <c r="A120" s="8" t="s">
        <v>972</v>
      </c>
      <c r="B120" s="8">
        <v>112.0</v>
      </c>
      <c r="C120" s="48">
        <v>45761.0</v>
      </c>
      <c r="E120" s="8" t="s">
        <v>973</v>
      </c>
      <c r="F120" s="8" t="s">
        <v>56</v>
      </c>
      <c r="G120" s="8">
        <v>3.0</v>
      </c>
      <c r="K120" s="8">
        <v>75821.0</v>
      </c>
      <c r="L120" s="8">
        <v>75821.0</v>
      </c>
      <c r="N120" s="8" t="s">
        <v>88</v>
      </c>
      <c r="O120" s="8" t="s">
        <v>48</v>
      </c>
      <c r="P120" s="8" t="s">
        <v>49</v>
      </c>
      <c r="Q120" s="8" t="s">
        <v>974</v>
      </c>
      <c r="S120" s="8">
        <v>25.0</v>
      </c>
      <c r="Y120" s="8" t="s">
        <v>73</v>
      </c>
      <c r="Z120" s="8" t="s">
        <v>47</v>
      </c>
      <c r="AC120" s="8" t="s">
        <v>54</v>
      </c>
      <c r="AD120" s="8" t="s">
        <v>54</v>
      </c>
      <c r="AE120" s="8" t="s">
        <v>54</v>
      </c>
      <c r="AF120" s="8" t="s">
        <v>54</v>
      </c>
      <c r="AG120" s="8">
        <v>1450.0</v>
      </c>
      <c r="AH120" s="19">
        <f>400+10500</f>
        <v>10900</v>
      </c>
      <c r="AI120" s="19">
        <f>48000</f>
        <v>48000</v>
      </c>
      <c r="AJ120" s="8">
        <v>0.0</v>
      </c>
      <c r="AM120" s="8">
        <v>30000.0</v>
      </c>
      <c r="AQ120" s="8" t="s">
        <v>54</v>
      </c>
      <c r="AR120" s="49">
        <v>0.7</v>
      </c>
    </row>
    <row r="121">
      <c r="A121" s="8" t="s">
        <v>975</v>
      </c>
      <c r="B121" s="8">
        <v>112.0</v>
      </c>
      <c r="C121" s="48">
        <v>45887.0</v>
      </c>
      <c r="E121" s="8" t="s">
        <v>976</v>
      </c>
      <c r="F121" s="8" t="s">
        <v>70</v>
      </c>
      <c r="G121" s="8">
        <v>3.0</v>
      </c>
      <c r="K121" s="8">
        <v>139164.0</v>
      </c>
      <c r="L121" s="8">
        <v>139164.0</v>
      </c>
      <c r="N121" s="8" t="s">
        <v>48</v>
      </c>
      <c r="O121" s="8" t="s">
        <v>88</v>
      </c>
      <c r="P121" s="8" t="s">
        <v>49</v>
      </c>
      <c r="Q121" s="8" t="s">
        <v>977</v>
      </c>
      <c r="S121" s="8">
        <v>50.0</v>
      </c>
      <c r="Y121" s="8" t="s">
        <v>56</v>
      </c>
      <c r="Z121" s="8" t="s">
        <v>47</v>
      </c>
      <c r="AC121" s="8" t="s">
        <v>54</v>
      </c>
      <c r="AD121" s="8" t="s">
        <v>54</v>
      </c>
      <c r="AE121" s="8" t="s">
        <v>54</v>
      </c>
      <c r="AF121" s="8" t="s">
        <v>54</v>
      </c>
      <c r="AG121" s="8">
        <v>700.0</v>
      </c>
      <c r="AH121" s="8">
        <v>7000.0</v>
      </c>
      <c r="AI121" s="19">
        <f>4982+36000</f>
        <v>40982</v>
      </c>
      <c r="AJ121" s="19">
        <f>118800</f>
        <v>118800</v>
      </c>
      <c r="AM121" s="8">
        <v>300000.0</v>
      </c>
      <c r="AQ121" s="8" t="s">
        <v>54</v>
      </c>
      <c r="AR121" s="49">
        <v>0.5</v>
      </c>
    </row>
    <row r="122">
      <c r="A122" s="8" t="s">
        <v>978</v>
      </c>
      <c r="B122" s="8">
        <v>112.0</v>
      </c>
      <c r="C122" s="48">
        <v>45723.0</v>
      </c>
      <c r="E122" s="8" t="s">
        <v>979</v>
      </c>
      <c r="F122" s="8" t="s">
        <v>70</v>
      </c>
      <c r="G122" s="8">
        <v>5.0</v>
      </c>
      <c r="K122" s="8">
        <v>1501.0</v>
      </c>
      <c r="L122" s="8">
        <v>1501.0</v>
      </c>
      <c r="N122" s="8" t="s">
        <v>88</v>
      </c>
      <c r="O122" s="8" t="s">
        <v>88</v>
      </c>
      <c r="P122" s="8" t="s">
        <v>49</v>
      </c>
      <c r="Q122" s="8" t="s">
        <v>957</v>
      </c>
      <c r="S122" s="8">
        <v>50.0</v>
      </c>
      <c r="Y122" s="8" t="s">
        <v>73</v>
      </c>
      <c r="Z122" s="8" t="s">
        <v>47</v>
      </c>
      <c r="AC122" s="8" t="s">
        <v>54</v>
      </c>
      <c r="AD122" s="8" t="s">
        <v>54</v>
      </c>
      <c r="AE122" s="8" t="s">
        <v>54</v>
      </c>
      <c r="AF122" s="8" t="s">
        <v>54</v>
      </c>
      <c r="AG122" s="8">
        <v>3090.0</v>
      </c>
      <c r="AH122" s="8">
        <v>13250.0</v>
      </c>
      <c r="AI122" s="19">
        <f>19500</f>
        <v>19500</v>
      </c>
      <c r="AJ122" s="8">
        <v>0.0</v>
      </c>
      <c r="AM122" s="8">
        <v>5000.0</v>
      </c>
      <c r="AQ122" s="8" t="s">
        <v>47</v>
      </c>
    </row>
    <row r="123">
      <c r="A123" s="8" t="s">
        <v>980</v>
      </c>
      <c r="B123" s="8">
        <v>112.0</v>
      </c>
      <c r="C123" s="48">
        <v>45836.0</v>
      </c>
      <c r="E123" s="8" t="s">
        <v>981</v>
      </c>
      <c r="F123" s="8" t="s">
        <v>70</v>
      </c>
      <c r="G123" s="8">
        <v>3.0</v>
      </c>
      <c r="K123" s="8">
        <v>25850.0</v>
      </c>
      <c r="L123" s="8">
        <v>144162.0</v>
      </c>
      <c r="N123" s="8" t="s">
        <v>88</v>
      </c>
      <c r="O123" s="8" t="s">
        <v>88</v>
      </c>
      <c r="P123" s="8" t="s">
        <v>49</v>
      </c>
      <c r="Q123" s="8" t="s">
        <v>982</v>
      </c>
      <c r="S123" s="8">
        <v>180.0</v>
      </c>
      <c r="Y123" s="8" t="s">
        <v>46</v>
      </c>
      <c r="Z123" s="8" t="s">
        <v>54</v>
      </c>
      <c r="AC123" s="8" t="s">
        <v>54</v>
      </c>
      <c r="AD123" s="8" t="s">
        <v>54</v>
      </c>
      <c r="AE123" s="8" t="s">
        <v>54</v>
      </c>
      <c r="AF123" s="8" t="s">
        <v>54</v>
      </c>
      <c r="AG123" s="8">
        <v>0.0</v>
      </c>
      <c r="AH123" s="8">
        <v>0.0</v>
      </c>
      <c r="AI123" s="19">
        <f>45575</f>
        <v>45575</v>
      </c>
      <c r="AJ123" s="19">
        <f>755719</f>
        <v>755719</v>
      </c>
      <c r="AM123" s="8">
        <v>100000.0</v>
      </c>
      <c r="AQ123" s="8" t="s">
        <v>47</v>
      </c>
    </row>
    <row r="124">
      <c r="A124" s="8" t="s">
        <v>983</v>
      </c>
      <c r="B124" s="8">
        <v>112.0</v>
      </c>
      <c r="C124" s="48">
        <v>45837.0</v>
      </c>
      <c r="E124" s="8" t="s">
        <v>984</v>
      </c>
      <c r="F124" s="8" t="s">
        <v>46</v>
      </c>
      <c r="G124" s="8">
        <v>2.0</v>
      </c>
      <c r="K124" s="8">
        <v>197099.0</v>
      </c>
      <c r="L124" s="8">
        <v>197099.0</v>
      </c>
      <c r="N124" s="8" t="s">
        <v>88</v>
      </c>
      <c r="O124" s="8" t="s">
        <v>48</v>
      </c>
      <c r="P124" s="8" t="s">
        <v>49</v>
      </c>
      <c r="Q124" s="8" t="s">
        <v>985</v>
      </c>
      <c r="S124" s="8">
        <v>150.0</v>
      </c>
      <c r="Y124" s="8" t="s">
        <v>73</v>
      </c>
      <c r="Z124" s="8" t="s">
        <v>54</v>
      </c>
      <c r="AA124" s="8" t="s">
        <v>54</v>
      </c>
      <c r="AB124" s="8" t="s">
        <v>54</v>
      </c>
      <c r="AC124" s="8" t="s">
        <v>54</v>
      </c>
      <c r="AD124" s="8" t="s">
        <v>54</v>
      </c>
      <c r="AE124" s="8" t="s">
        <v>54</v>
      </c>
      <c r="AF124" s="8" t="s">
        <v>54</v>
      </c>
      <c r="AG124" s="8">
        <v>0.0</v>
      </c>
      <c r="AH124" s="8">
        <v>37850.0</v>
      </c>
      <c r="AI124" s="19">
        <f>47055+262500</f>
        <v>309555</v>
      </c>
      <c r="AJ124" s="19">
        <f>173589+950106</f>
        <v>1123695</v>
      </c>
      <c r="AM124" s="8">
        <v>800000.0</v>
      </c>
      <c r="AQ124" s="8" t="s">
        <v>47</v>
      </c>
    </row>
    <row r="125">
      <c r="A125" s="8" t="s">
        <v>986</v>
      </c>
      <c r="B125" s="8">
        <v>112.0</v>
      </c>
      <c r="C125" s="48">
        <v>45865.0</v>
      </c>
      <c r="E125" s="8" t="s">
        <v>987</v>
      </c>
      <c r="F125" s="8" t="s">
        <v>73</v>
      </c>
      <c r="G125" s="8">
        <v>3.0</v>
      </c>
      <c r="K125" s="8">
        <v>344224.0</v>
      </c>
      <c r="L125" s="8">
        <v>326476.0</v>
      </c>
      <c r="N125" s="8" t="s">
        <v>88</v>
      </c>
      <c r="O125" s="8" t="s">
        <v>48</v>
      </c>
      <c r="P125" s="8" t="s">
        <v>49</v>
      </c>
      <c r="Q125" s="8" t="s">
        <v>988</v>
      </c>
      <c r="S125" s="8">
        <v>55.0</v>
      </c>
      <c r="Y125" s="8" t="s">
        <v>53</v>
      </c>
      <c r="Z125" s="8" t="s">
        <v>54</v>
      </c>
      <c r="AC125" s="8" t="s">
        <v>54</v>
      </c>
      <c r="AD125" s="8" t="s">
        <v>54</v>
      </c>
      <c r="AE125" s="8" t="s">
        <v>54</v>
      </c>
      <c r="AF125" s="8" t="s">
        <v>54</v>
      </c>
      <c r="AG125" s="8">
        <v>45000.0</v>
      </c>
      <c r="AH125" s="8">
        <v>60000.0</v>
      </c>
      <c r="AI125" s="19">
        <f>9910</f>
        <v>9910</v>
      </c>
      <c r="AJ125" s="19">
        <f>8500+111878</f>
        <v>120378</v>
      </c>
      <c r="AM125" s="8">
        <v>100000.0</v>
      </c>
      <c r="AQ125" s="8" t="s">
        <v>47</v>
      </c>
    </row>
    <row r="126">
      <c r="A126" s="8" t="s">
        <v>989</v>
      </c>
      <c r="B126" s="8">
        <v>112.0</v>
      </c>
      <c r="C126" s="48">
        <v>45879.0</v>
      </c>
      <c r="E126" s="8" t="s">
        <v>990</v>
      </c>
      <c r="F126" s="8" t="s">
        <v>73</v>
      </c>
      <c r="G126" s="8">
        <v>4.0</v>
      </c>
      <c r="K126" s="8">
        <v>0.0</v>
      </c>
      <c r="L126" s="8">
        <v>0.0</v>
      </c>
      <c r="N126" s="8" t="s">
        <v>88</v>
      </c>
      <c r="O126" s="8" t="s">
        <v>48</v>
      </c>
      <c r="P126" s="8" t="s">
        <v>49</v>
      </c>
      <c r="Q126" s="8" t="s">
        <v>991</v>
      </c>
      <c r="S126" s="8">
        <v>60.0</v>
      </c>
      <c r="Y126" s="8" t="s">
        <v>53</v>
      </c>
      <c r="Z126" s="8" t="s">
        <v>54</v>
      </c>
      <c r="AC126" s="8" t="s">
        <v>54</v>
      </c>
      <c r="AD126" s="8" t="s">
        <v>54</v>
      </c>
      <c r="AE126" s="8" t="s">
        <v>54</v>
      </c>
      <c r="AF126" s="8" t="s">
        <v>54</v>
      </c>
      <c r="AG126" s="8">
        <v>0.0</v>
      </c>
      <c r="AH126" s="8">
        <v>0.0</v>
      </c>
      <c r="AI126" s="8">
        <v>0.0</v>
      </c>
      <c r="AJ126" s="8">
        <v>0.0</v>
      </c>
      <c r="AM126" s="8">
        <v>100000.0</v>
      </c>
      <c r="AQ126" s="8" t="s">
        <v>54</v>
      </c>
      <c r="AR126" s="49">
        <v>0.3</v>
      </c>
    </row>
    <row r="127">
      <c r="A127" s="8" t="s">
        <v>992</v>
      </c>
      <c r="B127" s="8">
        <v>112.0</v>
      </c>
      <c r="C127" s="48">
        <v>45837.0</v>
      </c>
      <c r="E127" s="8" t="s">
        <v>993</v>
      </c>
      <c r="F127" s="8" t="s">
        <v>124</v>
      </c>
      <c r="G127" s="8">
        <v>3.0</v>
      </c>
      <c r="K127" s="8">
        <f t="shared" ref="K127:L127" si="15">198693+76310+15000</f>
        <v>290003</v>
      </c>
      <c r="L127" s="8">
        <f t="shared" si="15"/>
        <v>290003</v>
      </c>
      <c r="N127" s="8" t="s">
        <v>48</v>
      </c>
      <c r="O127" s="8" t="s">
        <v>48</v>
      </c>
      <c r="P127" s="8" t="s">
        <v>49</v>
      </c>
      <c r="Q127" s="8" t="s">
        <v>994</v>
      </c>
      <c r="S127" s="8">
        <v>30.0</v>
      </c>
      <c r="Y127" s="8" t="s">
        <v>73</v>
      </c>
      <c r="Z127" s="8" t="s">
        <v>54</v>
      </c>
      <c r="AC127" s="8" t="s">
        <v>54</v>
      </c>
      <c r="AD127" s="8" t="s">
        <v>54</v>
      </c>
      <c r="AE127" s="8" t="s">
        <v>54</v>
      </c>
      <c r="AF127" s="8" t="s">
        <v>54</v>
      </c>
      <c r="AG127" s="8">
        <v>44794.0</v>
      </c>
      <c r="AH127" s="8">
        <v>69700.0</v>
      </c>
      <c r="AI127" s="19">
        <f>34800+27100</f>
        <v>61900</v>
      </c>
      <c r="AJ127" s="19">
        <f>156750</f>
        <v>156750</v>
      </c>
      <c r="AM127" s="8">
        <v>200000.0</v>
      </c>
      <c r="AQ127" s="8" t="s">
        <v>54</v>
      </c>
      <c r="AR127" s="49">
        <v>0.3</v>
      </c>
    </row>
    <row r="128">
      <c r="A128" s="8" t="s">
        <v>995</v>
      </c>
      <c r="B128" s="8">
        <v>112.0</v>
      </c>
      <c r="C128" s="48">
        <v>45814.0</v>
      </c>
      <c r="E128" s="8" t="s">
        <v>996</v>
      </c>
      <c r="F128" s="8" t="s">
        <v>124</v>
      </c>
      <c r="G128" s="8">
        <v>3.0</v>
      </c>
      <c r="K128" s="19">
        <f t="shared" ref="K128:L128" si="16">210539+38859</f>
        <v>249398</v>
      </c>
      <c r="L128" s="19">
        <f t="shared" si="16"/>
        <v>249398</v>
      </c>
      <c r="N128" s="8" t="s">
        <v>88</v>
      </c>
      <c r="O128" s="8" t="s">
        <v>88</v>
      </c>
      <c r="P128" s="8" t="s">
        <v>49</v>
      </c>
      <c r="Q128" s="8" t="s">
        <v>997</v>
      </c>
      <c r="S128" s="8">
        <v>60.0</v>
      </c>
      <c r="Y128" s="8" t="s">
        <v>73</v>
      </c>
      <c r="Z128" s="8" t="s">
        <v>54</v>
      </c>
      <c r="AA128" s="8" t="s">
        <v>54</v>
      </c>
      <c r="AB128" s="8" t="s">
        <v>54</v>
      </c>
      <c r="AC128" s="8" t="s">
        <v>54</v>
      </c>
      <c r="AD128" s="8" t="s">
        <v>54</v>
      </c>
      <c r="AE128" s="8" t="s">
        <v>54</v>
      </c>
      <c r="AF128" s="8" t="s">
        <v>54</v>
      </c>
      <c r="AG128" s="8">
        <v>6575.0</v>
      </c>
      <c r="AH128" s="8">
        <v>20750.0</v>
      </c>
      <c r="AI128" s="19">
        <f>91200+85375</f>
        <v>176575</v>
      </c>
      <c r="AJ128" s="19">
        <f>2290+2110+684000</f>
        <v>688400</v>
      </c>
      <c r="AM128" s="8">
        <v>147155.0</v>
      </c>
      <c r="AQ128" s="8" t="s">
        <v>47</v>
      </c>
    </row>
  </sheetData>
  <hyperlinks>
    <hyperlink r:id="rId1" ref="G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3.13"/>
    <col customWidth="1" min="3" max="3" width="12.25"/>
    <col customWidth="1" min="4" max="4" width="15.0"/>
    <col customWidth="1" min="5" max="5" width="8.88"/>
    <col customWidth="1" min="6" max="6" width="8.13"/>
    <col customWidth="1" min="7" max="7" width="13.38"/>
    <col customWidth="1" min="8" max="8" width="7.75"/>
    <col customWidth="1" min="9" max="9" width="9.13"/>
    <col customWidth="1" min="10" max="10" width="11.75"/>
    <col customWidth="1" min="11" max="11" width="12.25"/>
    <col customWidth="1" min="12" max="12" width="12.13"/>
    <col customWidth="1" min="13" max="13" width="12.25"/>
    <col customWidth="1" min="14" max="14" width="12.0"/>
    <col customWidth="1" min="15" max="15" width="12.13"/>
    <col customWidth="1" min="16" max="16" width="14.0"/>
    <col customWidth="1" min="17" max="17" width="14.75"/>
    <col customWidth="1" min="18" max="18" width="9.25"/>
    <col customWidth="1" min="19" max="19" width="12.25"/>
    <col customWidth="1" min="20" max="20" width="11.13"/>
  </cols>
  <sheetData>
    <row r="1">
      <c r="A1" s="3" t="s">
        <v>5</v>
      </c>
      <c r="B1" s="4" t="s">
        <v>998</v>
      </c>
      <c r="C1" s="5" t="s">
        <v>10</v>
      </c>
      <c r="D1" s="5" t="s">
        <v>11</v>
      </c>
      <c r="E1" s="3" t="s">
        <v>13</v>
      </c>
      <c r="F1" s="3" t="s">
        <v>14</v>
      </c>
      <c r="G1" s="3" t="s">
        <v>15</v>
      </c>
      <c r="H1" s="3" t="s">
        <v>18</v>
      </c>
      <c r="I1" s="3" t="s">
        <v>24</v>
      </c>
      <c r="J1" s="3" t="s">
        <v>25</v>
      </c>
      <c r="K1" s="3" t="s">
        <v>28</v>
      </c>
      <c r="L1" s="3" t="s">
        <v>29</v>
      </c>
      <c r="M1" s="3" t="s">
        <v>30</v>
      </c>
      <c r="N1" s="3" t="s">
        <v>31</v>
      </c>
      <c r="O1" s="5" t="s">
        <v>32</v>
      </c>
      <c r="P1" s="5" t="s">
        <v>33</v>
      </c>
      <c r="Q1" s="5" t="s">
        <v>34</v>
      </c>
      <c r="R1" s="5" t="s">
        <v>35</v>
      </c>
      <c r="S1" s="5" t="s">
        <v>42</v>
      </c>
      <c r="T1" s="6" t="s">
        <v>999</v>
      </c>
      <c r="U1" s="52"/>
    </row>
    <row r="2">
      <c r="A2" s="8" t="s">
        <v>46</v>
      </c>
      <c r="B2" s="9">
        <v>5.0</v>
      </c>
      <c r="C2" s="12">
        <v>0.0</v>
      </c>
      <c r="D2" s="12">
        <v>0.0</v>
      </c>
      <c r="E2" s="8" t="s">
        <v>48</v>
      </c>
      <c r="F2" s="8" t="s">
        <v>48</v>
      </c>
      <c r="G2" s="8" t="s">
        <v>49</v>
      </c>
      <c r="H2" s="14">
        <v>30.0</v>
      </c>
      <c r="I2" s="8" t="s">
        <v>53</v>
      </c>
      <c r="J2" s="8" t="s">
        <v>54</v>
      </c>
      <c r="K2" s="8" t="s">
        <v>54</v>
      </c>
      <c r="L2" s="8" t="s">
        <v>54</v>
      </c>
      <c r="M2" s="8" t="s">
        <v>54</v>
      </c>
      <c r="N2" s="8" t="s">
        <v>54</v>
      </c>
      <c r="O2" s="15">
        <v>106000.0</v>
      </c>
      <c r="P2" s="15">
        <v>106000.0</v>
      </c>
      <c r="Q2" s="9">
        <v>600.0</v>
      </c>
      <c r="R2" s="15">
        <v>6000.0</v>
      </c>
      <c r="S2" s="15" t="s">
        <v>47</v>
      </c>
      <c r="T2" s="15">
        <v>20000.0</v>
      </c>
    </row>
    <row r="3" hidden="1">
      <c r="A3" s="8"/>
      <c r="B3" s="9" t="s">
        <v>59</v>
      </c>
      <c r="C3" s="17">
        <v>85397.0</v>
      </c>
      <c r="D3" s="17"/>
      <c r="E3" s="8" t="s">
        <v>60</v>
      </c>
      <c r="F3" s="8" t="s">
        <v>48</v>
      </c>
      <c r="G3" s="8" t="s">
        <v>61</v>
      </c>
      <c r="H3" s="8"/>
      <c r="I3" s="8"/>
      <c r="J3" s="8"/>
      <c r="K3" s="8" t="s">
        <v>64</v>
      </c>
      <c r="L3" s="8" t="s">
        <v>65</v>
      </c>
      <c r="M3" s="8" t="s">
        <v>66</v>
      </c>
      <c r="N3" s="8" t="s">
        <v>67</v>
      </c>
      <c r="O3" s="9"/>
      <c r="P3" s="9"/>
      <c r="Q3" s="9"/>
      <c r="R3" s="9"/>
      <c r="S3" s="15" t="s">
        <v>47</v>
      </c>
      <c r="T3" s="15">
        <v>100000.0</v>
      </c>
    </row>
    <row r="4">
      <c r="A4" s="8" t="s">
        <v>70</v>
      </c>
      <c r="B4" s="9">
        <v>5.0</v>
      </c>
      <c r="C4" s="12">
        <v>350.0</v>
      </c>
      <c r="D4" s="12">
        <v>350.0</v>
      </c>
      <c r="E4" s="8" t="s">
        <v>48</v>
      </c>
      <c r="F4" s="8" t="s">
        <v>48</v>
      </c>
      <c r="G4" s="8" t="s">
        <v>49</v>
      </c>
      <c r="H4" s="14">
        <v>40.0</v>
      </c>
      <c r="I4" s="8" t="s">
        <v>73</v>
      </c>
      <c r="J4" s="8" t="s">
        <v>54</v>
      </c>
      <c r="K4" s="8" t="s">
        <v>54</v>
      </c>
      <c r="L4" s="8" t="s">
        <v>54</v>
      </c>
      <c r="M4" s="8" t="s">
        <v>54</v>
      </c>
      <c r="N4" s="8" t="s">
        <v>54</v>
      </c>
      <c r="O4" s="15">
        <v>2585.0</v>
      </c>
      <c r="P4" s="15">
        <v>25850.0</v>
      </c>
      <c r="Q4" s="9">
        <v>0.0</v>
      </c>
      <c r="R4" s="9">
        <v>0.0</v>
      </c>
      <c r="S4" s="15" t="s">
        <v>47</v>
      </c>
      <c r="T4" s="15">
        <v>4000.0</v>
      </c>
    </row>
    <row r="5">
      <c r="A5" s="8" t="s">
        <v>73</v>
      </c>
      <c r="B5" s="9">
        <v>5.0</v>
      </c>
      <c r="C5" s="12">
        <v>2500.0</v>
      </c>
      <c r="D5" s="17">
        <v>4740.0</v>
      </c>
      <c r="E5" s="8" t="s">
        <v>48</v>
      </c>
      <c r="F5" s="8" t="s">
        <v>48</v>
      </c>
      <c r="G5" s="8" t="s">
        <v>49</v>
      </c>
      <c r="H5" s="14">
        <v>60.0</v>
      </c>
      <c r="I5" s="8" t="s">
        <v>53</v>
      </c>
      <c r="J5" s="11" t="s">
        <v>47</v>
      </c>
      <c r="K5" s="8" t="s">
        <v>54</v>
      </c>
      <c r="L5" s="11" t="s">
        <v>47</v>
      </c>
      <c r="M5" s="8" t="s">
        <v>54</v>
      </c>
      <c r="N5" s="11" t="s">
        <v>47</v>
      </c>
      <c r="O5" s="15">
        <v>26665.0</v>
      </c>
      <c r="P5" s="15">
        <v>57580.0</v>
      </c>
      <c r="Q5" s="15">
        <v>2700.0</v>
      </c>
      <c r="R5" s="15">
        <v>16500.0</v>
      </c>
      <c r="S5" s="15" t="s">
        <v>47</v>
      </c>
      <c r="T5" s="15">
        <v>50000.0</v>
      </c>
    </row>
    <row r="6" ht="18.75" hidden="1" customHeight="1">
      <c r="A6" s="8" t="s">
        <v>56</v>
      </c>
      <c r="B6" s="9">
        <v>5.0</v>
      </c>
      <c r="C6" s="12">
        <v>600.0</v>
      </c>
      <c r="D6" s="12">
        <v>600.0</v>
      </c>
      <c r="E6" s="8" t="s">
        <v>48</v>
      </c>
      <c r="F6" s="8" t="s">
        <v>48</v>
      </c>
      <c r="G6" s="8" t="s">
        <v>49</v>
      </c>
      <c r="H6" s="14">
        <v>30.0</v>
      </c>
      <c r="I6" s="8" t="s">
        <v>53</v>
      </c>
      <c r="J6" s="8" t="s">
        <v>54</v>
      </c>
      <c r="K6" s="8" t="s">
        <v>54</v>
      </c>
      <c r="L6" s="8" t="s">
        <v>54</v>
      </c>
      <c r="M6" s="8" t="s">
        <v>54</v>
      </c>
      <c r="N6" s="8" t="s">
        <v>54</v>
      </c>
      <c r="O6" s="15">
        <v>33417.0</v>
      </c>
      <c r="P6" s="15">
        <v>200500.0</v>
      </c>
      <c r="Q6" s="9" t="s">
        <v>83</v>
      </c>
      <c r="R6" s="9"/>
      <c r="S6" s="15" t="s">
        <v>47</v>
      </c>
      <c r="T6" s="15">
        <v>40000.0</v>
      </c>
    </row>
    <row r="7">
      <c r="A7" s="8" t="s">
        <v>56</v>
      </c>
      <c r="B7" s="9">
        <v>3.0</v>
      </c>
      <c r="C7" s="17">
        <v>251930.0</v>
      </c>
      <c r="D7" s="17">
        <v>251930.0</v>
      </c>
      <c r="E7" s="8" t="s">
        <v>88</v>
      </c>
      <c r="F7" s="8" t="s">
        <v>89</v>
      </c>
      <c r="G7" s="8" t="s">
        <v>61</v>
      </c>
      <c r="H7" s="14">
        <v>0.0</v>
      </c>
      <c r="I7" s="8" t="s">
        <v>92</v>
      </c>
      <c r="J7" s="8" t="s">
        <v>54</v>
      </c>
      <c r="K7" s="11" t="s">
        <v>47</v>
      </c>
      <c r="L7" s="11" t="s">
        <v>47</v>
      </c>
      <c r="M7" s="11" t="s">
        <v>47</v>
      </c>
      <c r="N7" s="11" t="s">
        <v>47</v>
      </c>
      <c r="O7" s="9">
        <v>0.0</v>
      </c>
      <c r="P7" s="9">
        <v>0.0</v>
      </c>
      <c r="Q7" s="9">
        <f>3900+270000</f>
        <v>273900</v>
      </c>
      <c r="R7" s="15">
        <v>113625.0</v>
      </c>
      <c r="S7" s="15" t="s">
        <v>47</v>
      </c>
      <c r="T7" s="15">
        <v>200000.0</v>
      </c>
    </row>
    <row r="8">
      <c r="A8" s="8" t="s">
        <v>70</v>
      </c>
      <c r="B8" s="9">
        <v>5.0</v>
      </c>
      <c r="C8" s="15">
        <v>460.0</v>
      </c>
      <c r="D8" s="15">
        <v>2420.0</v>
      </c>
      <c r="E8" s="8" t="s">
        <v>88</v>
      </c>
      <c r="F8" s="8" t="s">
        <v>48</v>
      </c>
      <c r="G8" s="8" t="s">
        <v>61</v>
      </c>
      <c r="H8" s="14">
        <v>0.0</v>
      </c>
      <c r="I8" s="8" t="s">
        <v>53</v>
      </c>
      <c r="J8" s="8" t="s">
        <v>54</v>
      </c>
      <c r="K8" s="8" t="s">
        <v>54</v>
      </c>
      <c r="L8" s="8" t="s">
        <v>54</v>
      </c>
      <c r="M8" s="8" t="s">
        <v>54</v>
      </c>
      <c r="N8" s="8" t="s">
        <v>54</v>
      </c>
      <c r="O8" s="15">
        <v>1500.0</v>
      </c>
      <c r="P8" s="15">
        <v>1500.0</v>
      </c>
      <c r="Q8" s="15">
        <v>0.0</v>
      </c>
      <c r="R8" s="15">
        <v>0.0</v>
      </c>
      <c r="S8" s="15" t="s">
        <v>47</v>
      </c>
      <c r="T8" s="15">
        <v>2000.0</v>
      </c>
    </row>
    <row r="9">
      <c r="A9" s="8" t="s">
        <v>73</v>
      </c>
      <c r="B9" s="9">
        <v>2.0</v>
      </c>
      <c r="C9" s="15">
        <v>130795.0</v>
      </c>
      <c r="D9" s="15">
        <v>130795.0</v>
      </c>
      <c r="E9" s="8" t="s">
        <v>88</v>
      </c>
      <c r="F9" s="8" t="s">
        <v>48</v>
      </c>
      <c r="G9" s="8" t="s">
        <v>49</v>
      </c>
      <c r="H9" s="53">
        <v>150.0</v>
      </c>
      <c r="I9" s="8" t="s">
        <v>56</v>
      </c>
      <c r="J9" s="8" t="s">
        <v>54</v>
      </c>
      <c r="K9" s="8" t="s">
        <v>54</v>
      </c>
      <c r="L9" s="8" t="s">
        <v>54</v>
      </c>
      <c r="M9" s="8" t="s">
        <v>54</v>
      </c>
      <c r="N9" s="8" t="s">
        <v>54</v>
      </c>
      <c r="O9" s="9">
        <v>0.0</v>
      </c>
      <c r="P9" s="9">
        <v>0.0</v>
      </c>
      <c r="Q9" s="9">
        <f>400496+58053</f>
        <v>458549</v>
      </c>
      <c r="R9" s="15">
        <v>2052388.0</v>
      </c>
      <c r="S9" s="15" t="s">
        <v>47</v>
      </c>
      <c r="T9" s="15">
        <v>8000000.0</v>
      </c>
    </row>
    <row r="10">
      <c r="A10" s="8" t="s">
        <v>70</v>
      </c>
      <c r="B10" s="9">
        <v>3.0</v>
      </c>
      <c r="C10" s="17">
        <v>84387.0</v>
      </c>
      <c r="D10" s="17">
        <v>84387.0</v>
      </c>
      <c r="E10" s="8" t="s">
        <v>48</v>
      </c>
      <c r="F10" s="8" t="s">
        <v>48</v>
      </c>
      <c r="G10" s="8" t="s">
        <v>49</v>
      </c>
      <c r="H10" s="14">
        <v>150.0</v>
      </c>
      <c r="I10" s="8" t="s">
        <v>73</v>
      </c>
      <c r="J10" s="8" t="s">
        <v>54</v>
      </c>
      <c r="K10" s="8" t="s">
        <v>54</v>
      </c>
      <c r="L10" s="8" t="s">
        <v>54</v>
      </c>
      <c r="M10" s="8" t="s">
        <v>54</v>
      </c>
      <c r="N10" s="8" t="s">
        <v>54</v>
      </c>
      <c r="O10" s="15">
        <v>0.0</v>
      </c>
      <c r="P10" s="15">
        <v>0.0</v>
      </c>
      <c r="Q10" s="15">
        <v>90000.0</v>
      </c>
      <c r="R10" s="15">
        <v>0.0</v>
      </c>
      <c r="S10" s="15" t="s">
        <v>47</v>
      </c>
      <c r="T10" s="15">
        <v>200000.0</v>
      </c>
    </row>
    <row r="11">
      <c r="A11" s="8" t="s">
        <v>70</v>
      </c>
      <c r="B11" s="9">
        <v>5.0</v>
      </c>
      <c r="C11" s="12">
        <v>0.0</v>
      </c>
      <c r="D11" s="12">
        <v>0.0</v>
      </c>
      <c r="E11" s="8" t="s">
        <v>48</v>
      </c>
      <c r="F11" s="8" t="s">
        <v>48</v>
      </c>
      <c r="G11" s="8" t="s">
        <v>49</v>
      </c>
      <c r="H11" s="14">
        <v>120.0</v>
      </c>
      <c r="I11" s="8" t="s">
        <v>53</v>
      </c>
      <c r="J11" s="8" t="s">
        <v>54</v>
      </c>
      <c r="K11" s="8" t="s">
        <v>54</v>
      </c>
      <c r="L11" s="8" t="s">
        <v>54</v>
      </c>
      <c r="M11" s="8" t="s">
        <v>54</v>
      </c>
      <c r="N11" s="8" t="s">
        <v>54</v>
      </c>
      <c r="O11" s="15">
        <v>0.0</v>
      </c>
      <c r="P11" s="15">
        <v>40000.0</v>
      </c>
      <c r="Q11" s="15">
        <v>0.0</v>
      </c>
      <c r="R11" s="15">
        <v>0.0</v>
      </c>
      <c r="S11" s="15" t="s">
        <v>47</v>
      </c>
      <c r="T11" s="15">
        <v>20000.0</v>
      </c>
    </row>
    <row r="12">
      <c r="A12" s="8" t="s">
        <v>70</v>
      </c>
      <c r="B12" s="9">
        <v>3.0</v>
      </c>
      <c r="C12" s="17">
        <v>4249.0</v>
      </c>
      <c r="D12" s="17">
        <v>4249.0</v>
      </c>
      <c r="E12" s="8" t="s">
        <v>48</v>
      </c>
      <c r="F12" s="8" t="s">
        <v>48</v>
      </c>
      <c r="G12" s="8" t="s">
        <v>49</v>
      </c>
      <c r="H12" s="14">
        <v>150.0</v>
      </c>
      <c r="I12" s="8" t="s">
        <v>53</v>
      </c>
      <c r="J12" s="8" t="s">
        <v>54</v>
      </c>
      <c r="K12" s="8" t="s">
        <v>54</v>
      </c>
      <c r="L12" s="8" t="s">
        <v>54</v>
      </c>
      <c r="M12" s="8" t="s">
        <v>54</v>
      </c>
      <c r="N12" s="8" t="s">
        <v>54</v>
      </c>
      <c r="O12" s="15">
        <v>12149.0</v>
      </c>
      <c r="P12" s="15">
        <v>12149.0</v>
      </c>
      <c r="Q12" s="15">
        <v>39200.0</v>
      </c>
      <c r="R12" s="15">
        <f>35350+1500+3000</f>
        <v>39850</v>
      </c>
      <c r="S12" s="15" t="s">
        <v>47</v>
      </c>
      <c r="T12" s="15">
        <v>30000.0</v>
      </c>
    </row>
    <row r="13">
      <c r="A13" s="8" t="s">
        <v>73</v>
      </c>
      <c r="B13" s="9">
        <v>5.0</v>
      </c>
      <c r="C13" s="17">
        <v>1712.0</v>
      </c>
      <c r="D13" s="17">
        <v>1712.0</v>
      </c>
      <c r="E13" s="8" t="s">
        <v>88</v>
      </c>
      <c r="F13" s="8" t="s">
        <v>88</v>
      </c>
      <c r="G13" s="8" t="s">
        <v>49</v>
      </c>
      <c r="H13" s="14">
        <v>60.0</v>
      </c>
      <c r="I13" s="8" t="s">
        <v>56</v>
      </c>
      <c r="J13" s="8" t="s">
        <v>54</v>
      </c>
      <c r="K13" s="8" t="s">
        <v>54</v>
      </c>
      <c r="L13" s="8" t="s">
        <v>54</v>
      </c>
      <c r="M13" s="8" t="s">
        <v>54</v>
      </c>
      <c r="N13" s="8" t="s">
        <v>54</v>
      </c>
      <c r="O13" s="15">
        <v>51350.0</v>
      </c>
      <c r="P13" s="15">
        <v>100000.0</v>
      </c>
      <c r="Q13" s="15">
        <v>0.0</v>
      </c>
      <c r="R13" s="15">
        <f>38160+5000</f>
        <v>43160</v>
      </c>
      <c r="S13" s="15" t="s">
        <v>47</v>
      </c>
      <c r="T13" s="15">
        <v>20000.0</v>
      </c>
    </row>
    <row r="14" hidden="1">
      <c r="A14" s="8"/>
      <c r="B14" s="18"/>
      <c r="C14" s="12"/>
      <c r="D14" s="12"/>
      <c r="E14" s="8" t="s">
        <v>120</v>
      </c>
      <c r="F14" s="8" t="s">
        <v>120</v>
      </c>
      <c r="G14" s="8" t="s">
        <v>49</v>
      </c>
      <c r="H14" s="14">
        <v>0.0</v>
      </c>
      <c r="I14" s="8"/>
      <c r="J14" s="11"/>
      <c r="K14" s="8" t="s">
        <v>54</v>
      </c>
      <c r="L14" s="11" t="s">
        <v>47</v>
      </c>
      <c r="M14" s="8" t="s">
        <v>54</v>
      </c>
      <c r="N14" s="11" t="s">
        <v>47</v>
      </c>
      <c r="O14" s="18"/>
      <c r="P14" s="18"/>
      <c r="Q14" s="18"/>
      <c r="R14" s="18"/>
      <c r="S14" s="15" t="s">
        <v>47</v>
      </c>
      <c r="T14" s="15">
        <v>60000.0</v>
      </c>
    </row>
    <row r="15" hidden="1">
      <c r="A15" s="8" t="s">
        <v>124</v>
      </c>
      <c r="B15" s="9">
        <v>2.0</v>
      </c>
      <c r="C15" s="17">
        <v>316300.0</v>
      </c>
      <c r="D15" s="17"/>
      <c r="E15" s="8" t="s">
        <v>48</v>
      </c>
      <c r="F15" s="8" t="s">
        <v>48</v>
      </c>
      <c r="G15" s="8" t="s">
        <v>49</v>
      </c>
      <c r="H15" s="14">
        <v>180.0</v>
      </c>
      <c r="I15" s="8" t="s">
        <v>73</v>
      </c>
      <c r="J15" s="8"/>
      <c r="K15" s="8" t="s">
        <v>54</v>
      </c>
      <c r="L15" s="20" t="s">
        <v>74</v>
      </c>
      <c r="M15" s="8" t="s">
        <v>54</v>
      </c>
      <c r="N15" s="20" t="s">
        <v>74</v>
      </c>
      <c r="O15" s="15"/>
      <c r="P15" s="15"/>
      <c r="Q15" s="15"/>
      <c r="R15" s="15"/>
      <c r="S15" s="15" t="s">
        <v>47</v>
      </c>
      <c r="T15" s="15">
        <v>800000.0</v>
      </c>
    </row>
    <row r="16">
      <c r="A16" s="8" t="s">
        <v>133</v>
      </c>
      <c r="B16" s="9">
        <v>5.0</v>
      </c>
      <c r="C16" s="17">
        <v>1135.0</v>
      </c>
      <c r="D16" s="17">
        <v>1135.0</v>
      </c>
      <c r="E16" s="8" t="s">
        <v>48</v>
      </c>
      <c r="F16" s="8" t="s">
        <v>48</v>
      </c>
      <c r="G16" s="8" t="s">
        <v>49</v>
      </c>
      <c r="H16" s="14">
        <v>90.0</v>
      </c>
      <c r="I16" s="8" t="s">
        <v>53</v>
      </c>
      <c r="J16" s="11" t="s">
        <v>47</v>
      </c>
      <c r="K16" s="8" t="s">
        <v>54</v>
      </c>
      <c r="L16" s="8" t="s">
        <v>54</v>
      </c>
      <c r="M16" s="8" t="s">
        <v>54</v>
      </c>
      <c r="N16" s="8" t="s">
        <v>54</v>
      </c>
      <c r="O16" s="15">
        <v>12338.0</v>
      </c>
      <c r="P16" s="15">
        <v>25350.0</v>
      </c>
      <c r="Q16" s="15">
        <v>0.0</v>
      </c>
      <c r="R16" s="15">
        <v>0.0</v>
      </c>
      <c r="S16" s="15" t="s">
        <v>47</v>
      </c>
      <c r="T16" s="15">
        <v>50000.0</v>
      </c>
    </row>
    <row r="17">
      <c r="A17" s="8" t="s">
        <v>56</v>
      </c>
      <c r="B17" s="9">
        <v>5.0</v>
      </c>
      <c r="C17" s="12">
        <v>0.0</v>
      </c>
      <c r="D17" s="12">
        <v>0.0</v>
      </c>
      <c r="E17" s="8" t="s">
        <v>48</v>
      </c>
      <c r="F17" s="8" t="s">
        <v>48</v>
      </c>
      <c r="G17" s="8" t="s">
        <v>49</v>
      </c>
      <c r="H17" s="46"/>
      <c r="I17" s="8" t="s">
        <v>46</v>
      </c>
      <c r="J17" s="11" t="s">
        <v>47</v>
      </c>
      <c r="K17" s="11" t="s">
        <v>47</v>
      </c>
      <c r="L17" s="11" t="s">
        <v>47</v>
      </c>
      <c r="M17" s="11" t="s">
        <v>47</v>
      </c>
      <c r="N17" s="11" t="s">
        <v>47</v>
      </c>
      <c r="O17" s="15">
        <v>13621.0</v>
      </c>
      <c r="P17" s="15">
        <v>50805.0</v>
      </c>
      <c r="Q17" s="15">
        <v>0.0</v>
      </c>
      <c r="R17" s="15">
        <v>0.0</v>
      </c>
      <c r="S17" s="15" t="s">
        <v>47</v>
      </c>
      <c r="T17" s="15">
        <v>10000.0</v>
      </c>
    </row>
    <row r="18">
      <c r="A18" s="8" t="s">
        <v>133</v>
      </c>
      <c r="B18" s="9">
        <v>5.0</v>
      </c>
      <c r="C18" s="17">
        <v>2120.0</v>
      </c>
      <c r="D18" s="17">
        <v>4633.0</v>
      </c>
      <c r="E18" s="8" t="s">
        <v>88</v>
      </c>
      <c r="F18" s="8" t="s">
        <v>88</v>
      </c>
      <c r="G18" s="8" t="s">
        <v>61</v>
      </c>
      <c r="H18" s="46"/>
      <c r="I18" s="8" t="s">
        <v>53</v>
      </c>
      <c r="J18" s="8" t="s">
        <v>54</v>
      </c>
      <c r="K18" s="8" t="s">
        <v>54</v>
      </c>
      <c r="L18" s="8" t="s">
        <v>54</v>
      </c>
      <c r="M18" s="8" t="s">
        <v>54</v>
      </c>
      <c r="N18" s="8" t="s">
        <v>54</v>
      </c>
      <c r="O18" s="15">
        <v>4300.0</v>
      </c>
      <c r="P18" s="15">
        <v>9700.0</v>
      </c>
      <c r="Q18" s="15">
        <v>540.0</v>
      </c>
      <c r="R18" s="15">
        <v>1120.0</v>
      </c>
      <c r="S18" s="15" t="s">
        <v>47</v>
      </c>
      <c r="T18" s="15">
        <v>10000.0</v>
      </c>
    </row>
    <row r="19" hidden="1">
      <c r="A19" s="8"/>
      <c r="B19" s="18"/>
      <c r="C19" s="12"/>
      <c r="D19" s="12"/>
      <c r="E19" s="8" t="s">
        <v>48</v>
      </c>
      <c r="F19" s="8" t="s">
        <v>48</v>
      </c>
      <c r="G19" s="8" t="s">
        <v>61</v>
      </c>
      <c r="H19" s="14">
        <v>0.0</v>
      </c>
      <c r="I19" s="8"/>
      <c r="J19" s="11" t="s">
        <v>47</v>
      </c>
      <c r="K19" s="8" t="s">
        <v>54</v>
      </c>
      <c r="L19" s="8" t="s">
        <v>54</v>
      </c>
      <c r="M19" s="8" t="s">
        <v>54</v>
      </c>
      <c r="N19" s="8" t="s">
        <v>54</v>
      </c>
      <c r="O19" s="13"/>
      <c r="P19" s="13"/>
      <c r="Q19" s="13"/>
      <c r="R19" s="13"/>
      <c r="S19" s="15" t="s">
        <v>47</v>
      </c>
      <c r="T19" s="15">
        <v>20000.0</v>
      </c>
    </row>
    <row r="20" hidden="1">
      <c r="A20" s="8"/>
      <c r="B20" s="18"/>
      <c r="C20" s="12"/>
      <c r="D20" s="12"/>
      <c r="E20" s="8" t="s">
        <v>120</v>
      </c>
      <c r="F20" s="8" t="s">
        <v>48</v>
      </c>
      <c r="G20" s="8" t="s">
        <v>148</v>
      </c>
      <c r="H20" s="14">
        <v>0.0</v>
      </c>
      <c r="I20" s="8"/>
      <c r="J20" s="11" t="s">
        <v>47</v>
      </c>
      <c r="K20" s="8" t="s">
        <v>54</v>
      </c>
      <c r="L20" s="8" t="s">
        <v>54</v>
      </c>
      <c r="M20" s="8" t="s">
        <v>54</v>
      </c>
      <c r="N20" s="8" t="s">
        <v>54</v>
      </c>
      <c r="O20" s="9"/>
      <c r="P20" s="9"/>
      <c r="Q20" s="9"/>
      <c r="R20" s="9"/>
      <c r="S20" s="15" t="s">
        <v>47</v>
      </c>
      <c r="T20" s="9" t="s">
        <v>152</v>
      </c>
    </row>
    <row r="21">
      <c r="A21" s="8" t="s">
        <v>73</v>
      </c>
      <c r="B21" s="9">
        <v>5.0</v>
      </c>
      <c r="C21" s="17">
        <v>1090.0</v>
      </c>
      <c r="D21" s="17">
        <v>1090.0</v>
      </c>
      <c r="E21" s="8" t="s">
        <v>48</v>
      </c>
      <c r="F21" s="8" t="s">
        <v>48</v>
      </c>
      <c r="G21" s="8" t="s">
        <v>49</v>
      </c>
      <c r="H21" s="14">
        <v>120.0</v>
      </c>
      <c r="I21" s="8" t="s">
        <v>53</v>
      </c>
      <c r="J21" s="8" t="s">
        <v>54</v>
      </c>
      <c r="K21" s="8" t="s">
        <v>54</v>
      </c>
      <c r="L21" s="8" t="s">
        <v>54</v>
      </c>
      <c r="M21" s="8" t="s">
        <v>54</v>
      </c>
      <c r="N21" s="8" t="s">
        <v>54</v>
      </c>
      <c r="O21" s="15">
        <v>0.0</v>
      </c>
      <c r="P21" s="15">
        <v>0.0</v>
      </c>
      <c r="Q21" s="15">
        <v>0.0</v>
      </c>
      <c r="R21" s="15">
        <v>0.0</v>
      </c>
      <c r="S21" s="15" t="s">
        <v>47</v>
      </c>
      <c r="T21" s="15">
        <v>20000.0</v>
      </c>
    </row>
    <row r="22" hidden="1">
      <c r="A22" s="8"/>
      <c r="B22" s="18"/>
      <c r="C22" s="12"/>
      <c r="D22" s="12"/>
      <c r="E22" s="8" t="s">
        <v>48</v>
      </c>
      <c r="F22" s="8" t="s">
        <v>158</v>
      </c>
      <c r="G22" s="8" t="s">
        <v>61</v>
      </c>
      <c r="H22" s="14">
        <v>0.0</v>
      </c>
      <c r="I22" s="8"/>
      <c r="J22" s="11"/>
      <c r="K22" s="8" t="s">
        <v>54</v>
      </c>
      <c r="L22" s="11" t="s">
        <v>47</v>
      </c>
      <c r="M22" s="8" t="s">
        <v>54</v>
      </c>
      <c r="N22" s="11" t="s">
        <v>47</v>
      </c>
      <c r="O22" s="13"/>
      <c r="P22" s="13"/>
      <c r="Q22" s="13"/>
      <c r="R22" s="13"/>
      <c r="S22" s="15" t="s">
        <v>47</v>
      </c>
      <c r="T22" s="9">
        <v>0.0</v>
      </c>
    </row>
    <row r="23" hidden="1">
      <c r="A23" s="8"/>
      <c r="B23" s="18"/>
      <c r="C23" s="12"/>
      <c r="D23" s="12"/>
      <c r="E23" s="8" t="s">
        <v>48</v>
      </c>
      <c r="F23" s="8" t="s">
        <v>48</v>
      </c>
      <c r="G23" s="8" t="s">
        <v>61</v>
      </c>
      <c r="H23" s="14">
        <v>0.0</v>
      </c>
      <c r="I23" s="8"/>
      <c r="J23" s="11"/>
      <c r="K23" s="8" t="s">
        <v>54</v>
      </c>
      <c r="L23" s="11" t="s">
        <v>47</v>
      </c>
      <c r="M23" s="8" t="s">
        <v>54</v>
      </c>
      <c r="N23" s="11" t="s">
        <v>47</v>
      </c>
      <c r="O23" s="13"/>
      <c r="P23" s="13"/>
      <c r="Q23" s="13"/>
      <c r="R23" s="13"/>
      <c r="S23" s="15" t="s">
        <v>47</v>
      </c>
      <c r="T23" s="9">
        <v>0.0</v>
      </c>
    </row>
    <row r="24">
      <c r="A24" s="8" t="s">
        <v>70</v>
      </c>
      <c r="B24" s="9">
        <v>5.0</v>
      </c>
      <c r="C24" s="12">
        <v>747.0</v>
      </c>
      <c r="D24" s="12">
        <v>747.0</v>
      </c>
      <c r="E24" s="8" t="s">
        <v>48</v>
      </c>
      <c r="F24" s="8" t="s">
        <v>48</v>
      </c>
      <c r="G24" s="8" t="s">
        <v>49</v>
      </c>
      <c r="H24" s="14">
        <v>120.0</v>
      </c>
      <c r="I24" s="8" t="s">
        <v>73</v>
      </c>
      <c r="J24" s="8" t="s">
        <v>54</v>
      </c>
      <c r="K24" s="8" t="s">
        <v>54</v>
      </c>
      <c r="L24" s="8" t="s">
        <v>54</v>
      </c>
      <c r="M24" s="8" t="s">
        <v>54</v>
      </c>
      <c r="N24" s="8" t="s">
        <v>54</v>
      </c>
      <c r="O24" s="15" t="s">
        <v>165</v>
      </c>
      <c r="P24" s="15">
        <v>20000.0</v>
      </c>
      <c r="Q24" s="15">
        <v>0.0</v>
      </c>
      <c r="R24" s="15">
        <v>0.0</v>
      </c>
      <c r="S24" s="15" t="s">
        <v>47</v>
      </c>
      <c r="T24" s="15">
        <v>60000.0</v>
      </c>
    </row>
    <row r="25">
      <c r="A25" s="8" t="s">
        <v>56</v>
      </c>
      <c r="B25" s="9">
        <v>3.0</v>
      </c>
      <c r="C25" s="17">
        <v>70417.0</v>
      </c>
      <c r="D25" s="17">
        <v>70417.0</v>
      </c>
      <c r="E25" s="8" t="s">
        <v>48</v>
      </c>
      <c r="F25" s="8" t="s">
        <v>48</v>
      </c>
      <c r="G25" s="8" t="s">
        <v>49</v>
      </c>
      <c r="H25" s="14">
        <v>120.0</v>
      </c>
      <c r="I25" s="8" t="s">
        <v>56</v>
      </c>
      <c r="J25" s="8" t="s">
        <v>54</v>
      </c>
      <c r="K25" s="8" t="s">
        <v>54</v>
      </c>
      <c r="L25" s="8" t="s">
        <v>54</v>
      </c>
      <c r="M25" s="8" t="s">
        <v>54</v>
      </c>
      <c r="N25" s="8" t="s">
        <v>54</v>
      </c>
      <c r="O25" s="15">
        <v>13728.0</v>
      </c>
      <c r="P25" s="15">
        <v>24410.0</v>
      </c>
      <c r="Q25" s="15">
        <v>0.0</v>
      </c>
      <c r="R25" s="15">
        <v>414000.0</v>
      </c>
      <c r="S25" s="15" t="s">
        <v>47</v>
      </c>
      <c r="T25" s="15">
        <v>50000.0</v>
      </c>
    </row>
    <row r="26">
      <c r="A26" s="8" t="s">
        <v>46</v>
      </c>
      <c r="B26" s="9">
        <v>5.0</v>
      </c>
      <c r="C26" s="12">
        <v>500.0</v>
      </c>
      <c r="D26" s="12">
        <v>500.0</v>
      </c>
      <c r="E26" s="8" t="s">
        <v>88</v>
      </c>
      <c r="F26" s="8" t="s">
        <v>48</v>
      </c>
      <c r="G26" s="8" t="s">
        <v>49</v>
      </c>
      <c r="H26" s="14">
        <v>55.0</v>
      </c>
      <c r="I26" s="8" t="s">
        <v>53</v>
      </c>
      <c r="J26" s="8" t="s">
        <v>54</v>
      </c>
      <c r="K26" s="8" t="s">
        <v>54</v>
      </c>
      <c r="L26" s="8" t="s">
        <v>54</v>
      </c>
      <c r="M26" s="11" t="s">
        <v>47</v>
      </c>
      <c r="N26" s="11" t="s">
        <v>47</v>
      </c>
      <c r="O26" s="15">
        <v>200000.0</v>
      </c>
      <c r="P26" s="15">
        <v>200000.0</v>
      </c>
      <c r="Q26" s="15">
        <f>30000+6000</f>
        <v>36000</v>
      </c>
      <c r="R26" s="15">
        <v>4782.0</v>
      </c>
      <c r="S26" s="15" t="s">
        <v>47</v>
      </c>
      <c r="T26" s="15">
        <v>20000.0</v>
      </c>
    </row>
    <row r="27">
      <c r="A27" s="8" t="s">
        <v>70</v>
      </c>
      <c r="B27" s="9">
        <v>3.0</v>
      </c>
      <c r="C27" s="17">
        <v>32956.0</v>
      </c>
      <c r="D27" s="17">
        <v>32956.0</v>
      </c>
      <c r="E27" s="8" t="s">
        <v>88</v>
      </c>
      <c r="F27" s="8" t="s">
        <v>48</v>
      </c>
      <c r="G27" s="8" t="s">
        <v>49</v>
      </c>
      <c r="H27" s="14">
        <v>55.0</v>
      </c>
      <c r="I27" s="8" t="s">
        <v>73</v>
      </c>
      <c r="J27" s="8" t="s">
        <v>54</v>
      </c>
      <c r="K27" s="8" t="s">
        <v>54</v>
      </c>
      <c r="L27" s="8" t="s">
        <v>54</v>
      </c>
      <c r="M27" s="8" t="s">
        <v>54</v>
      </c>
      <c r="N27" s="8" t="s">
        <v>54</v>
      </c>
      <c r="O27" s="9">
        <v>0.0</v>
      </c>
      <c r="P27" s="9">
        <v>0.0</v>
      </c>
      <c r="Q27" s="15">
        <v>144000.0</v>
      </c>
      <c r="R27" s="15">
        <v>75750.0</v>
      </c>
      <c r="S27" s="15" t="s">
        <v>47</v>
      </c>
      <c r="T27" s="15">
        <v>70000.0</v>
      </c>
    </row>
    <row r="28">
      <c r="A28" s="8" t="s">
        <v>46</v>
      </c>
      <c r="B28" s="9">
        <v>3.0</v>
      </c>
      <c r="C28" s="17">
        <v>62197.0</v>
      </c>
      <c r="D28" s="17">
        <v>62197.0</v>
      </c>
      <c r="E28" s="8" t="s">
        <v>88</v>
      </c>
      <c r="F28" s="8" t="s">
        <v>88</v>
      </c>
      <c r="G28" s="8" t="s">
        <v>49</v>
      </c>
      <c r="H28" s="14">
        <v>90.0</v>
      </c>
      <c r="I28" s="8" t="s">
        <v>53</v>
      </c>
      <c r="J28" s="8" t="s">
        <v>54</v>
      </c>
      <c r="K28" s="8" t="s">
        <v>54</v>
      </c>
      <c r="L28" s="8" t="s">
        <v>54</v>
      </c>
      <c r="M28" s="8" t="s">
        <v>54</v>
      </c>
      <c r="N28" s="8" t="s">
        <v>54</v>
      </c>
      <c r="O28" s="17">
        <v>3840.0</v>
      </c>
      <c r="P28" s="17">
        <v>11400.0</v>
      </c>
      <c r="Q28" s="17">
        <f>170000+7120+3000</f>
        <v>180120</v>
      </c>
      <c r="R28" s="17">
        <v>0.0</v>
      </c>
      <c r="S28" s="15" t="s">
        <v>47</v>
      </c>
      <c r="T28" s="15">
        <v>350000.0</v>
      </c>
    </row>
    <row r="29">
      <c r="A29" s="8" t="s">
        <v>186</v>
      </c>
      <c r="B29" s="9">
        <v>3.0</v>
      </c>
      <c r="C29" s="17">
        <v>34490.0</v>
      </c>
      <c r="D29" s="17">
        <v>34490.0</v>
      </c>
      <c r="E29" s="8" t="s">
        <v>88</v>
      </c>
      <c r="F29" s="8" t="s">
        <v>48</v>
      </c>
      <c r="G29" s="8" t="s">
        <v>49</v>
      </c>
      <c r="H29" s="14">
        <v>60.0</v>
      </c>
      <c r="I29" s="8" t="s">
        <v>53</v>
      </c>
      <c r="J29" s="8" t="s">
        <v>54</v>
      </c>
      <c r="K29" s="8" t="s">
        <v>54</v>
      </c>
      <c r="L29" s="8" t="s">
        <v>54</v>
      </c>
      <c r="M29" s="8" t="s">
        <v>54</v>
      </c>
      <c r="N29" s="8" t="s">
        <v>54</v>
      </c>
      <c r="O29" s="17">
        <v>0.0</v>
      </c>
      <c r="P29" s="17">
        <v>0.0</v>
      </c>
      <c r="Q29" s="17">
        <v>42000.0</v>
      </c>
      <c r="R29" s="17">
        <f>204750+8300</f>
        <v>213050</v>
      </c>
      <c r="S29" s="15" t="s">
        <v>47</v>
      </c>
      <c r="T29" s="15">
        <v>100000.0</v>
      </c>
    </row>
    <row r="30" hidden="1">
      <c r="A30" s="8"/>
      <c r="B30" s="18"/>
      <c r="C30" s="12"/>
      <c r="D30" s="12"/>
      <c r="E30" s="8" t="s">
        <v>88</v>
      </c>
      <c r="F30" s="8" t="s">
        <v>88</v>
      </c>
      <c r="G30" s="8" t="s">
        <v>49</v>
      </c>
      <c r="H30" s="14">
        <v>0.0</v>
      </c>
      <c r="I30" s="8"/>
      <c r="J30" s="8" t="s">
        <v>54</v>
      </c>
      <c r="K30" s="8" t="s">
        <v>54</v>
      </c>
      <c r="L30" s="11" t="s">
        <v>47</v>
      </c>
      <c r="M30" s="8" t="s">
        <v>54</v>
      </c>
      <c r="N30" s="11" t="s">
        <v>47</v>
      </c>
      <c r="O30" s="22">
        <v>750.0</v>
      </c>
      <c r="P30" s="13"/>
      <c r="Q30" s="13"/>
      <c r="R30" s="13"/>
      <c r="S30" s="15" t="s">
        <v>47</v>
      </c>
      <c r="T30" s="9">
        <v>0.0</v>
      </c>
    </row>
    <row r="31">
      <c r="A31" s="8" t="s">
        <v>46</v>
      </c>
      <c r="B31" s="9">
        <v>4.0</v>
      </c>
      <c r="C31" s="17">
        <v>280.0</v>
      </c>
      <c r="D31" s="17">
        <v>280.0</v>
      </c>
      <c r="E31" s="8" t="s">
        <v>48</v>
      </c>
      <c r="F31" s="8" t="s">
        <v>48</v>
      </c>
      <c r="G31" s="8" t="s">
        <v>49</v>
      </c>
      <c r="H31" s="14">
        <v>15.0</v>
      </c>
      <c r="I31" s="8" t="s">
        <v>56</v>
      </c>
      <c r="J31" s="8" t="s">
        <v>54</v>
      </c>
      <c r="K31" s="8" t="s">
        <v>54</v>
      </c>
      <c r="L31" s="8" t="s">
        <v>54</v>
      </c>
      <c r="M31" s="8" t="s">
        <v>54</v>
      </c>
      <c r="N31" s="8" t="s">
        <v>54</v>
      </c>
      <c r="O31" s="17">
        <v>19540.0</v>
      </c>
      <c r="P31" s="17">
        <v>46000.0</v>
      </c>
      <c r="Q31" s="17">
        <v>8380.0</v>
      </c>
      <c r="R31" s="17">
        <v>0.0</v>
      </c>
      <c r="S31" s="15" t="s">
        <v>47</v>
      </c>
      <c r="T31" s="15">
        <v>20000.0</v>
      </c>
    </row>
    <row r="32">
      <c r="A32" s="8" t="s">
        <v>70</v>
      </c>
      <c r="B32" s="9">
        <v>3.0</v>
      </c>
      <c r="C32" s="17">
        <v>77971.0</v>
      </c>
      <c r="D32" s="17">
        <v>77971.0</v>
      </c>
      <c r="E32" s="8" t="s">
        <v>48</v>
      </c>
      <c r="F32" s="8" t="s">
        <v>48</v>
      </c>
      <c r="G32" s="8" t="s">
        <v>49</v>
      </c>
      <c r="H32" s="14">
        <v>50.0</v>
      </c>
      <c r="I32" s="8" t="s">
        <v>56</v>
      </c>
      <c r="J32" s="8" t="s">
        <v>54</v>
      </c>
      <c r="K32" s="8" t="s">
        <v>54</v>
      </c>
      <c r="L32" s="11" t="s">
        <v>47</v>
      </c>
      <c r="M32" s="8" t="s">
        <v>54</v>
      </c>
      <c r="N32" s="11" t="s">
        <v>47</v>
      </c>
      <c r="O32" s="17">
        <v>6300.0</v>
      </c>
      <c r="P32" s="17">
        <v>6300.0</v>
      </c>
      <c r="Q32" s="17">
        <f>264000+62360</f>
        <v>326360</v>
      </c>
      <c r="R32" s="17">
        <f>6300+200308+913974</f>
        <v>1120582</v>
      </c>
      <c r="S32" s="15" t="s">
        <v>47</v>
      </c>
      <c r="T32" s="15">
        <v>120000.0</v>
      </c>
    </row>
    <row r="33">
      <c r="A33" s="8" t="s">
        <v>70</v>
      </c>
      <c r="B33" s="9">
        <v>5.0</v>
      </c>
      <c r="C33" s="17">
        <v>31630.0</v>
      </c>
      <c r="D33" s="17">
        <v>31630.0</v>
      </c>
      <c r="E33" s="8" t="s">
        <v>48</v>
      </c>
      <c r="F33" s="8" t="s">
        <v>88</v>
      </c>
      <c r="G33" s="8" t="s">
        <v>49</v>
      </c>
      <c r="H33" s="14">
        <v>30.0</v>
      </c>
      <c r="I33" s="8" t="s">
        <v>73</v>
      </c>
      <c r="J33" s="8" t="s">
        <v>54</v>
      </c>
      <c r="K33" s="8" t="s">
        <v>54</v>
      </c>
      <c r="L33" s="8" t="s">
        <v>54</v>
      </c>
      <c r="M33" s="8" t="s">
        <v>54</v>
      </c>
      <c r="N33" s="8" t="s">
        <v>54</v>
      </c>
      <c r="O33" s="17">
        <v>1863.0</v>
      </c>
      <c r="P33" s="17">
        <v>4050.0</v>
      </c>
      <c r="Q33" s="17">
        <v>530.0</v>
      </c>
      <c r="R33" s="17">
        <v>0.0</v>
      </c>
      <c r="S33" s="15" t="s">
        <v>47</v>
      </c>
      <c r="T33" s="15">
        <v>36000.0</v>
      </c>
    </row>
    <row r="34">
      <c r="A34" s="8" t="s">
        <v>56</v>
      </c>
      <c r="B34" s="9">
        <v>3.0</v>
      </c>
      <c r="C34" s="17">
        <v>56995.0</v>
      </c>
      <c r="D34" s="17">
        <v>69110.0</v>
      </c>
      <c r="E34" s="8" t="s">
        <v>88</v>
      </c>
      <c r="F34" s="8" t="s">
        <v>48</v>
      </c>
      <c r="G34" s="8" t="s">
        <v>49</v>
      </c>
      <c r="H34" s="14">
        <v>55.0</v>
      </c>
      <c r="I34" s="8" t="s">
        <v>53</v>
      </c>
      <c r="J34" s="8" t="s">
        <v>54</v>
      </c>
      <c r="K34" s="8" t="s">
        <v>54</v>
      </c>
      <c r="L34" s="8" t="s">
        <v>54</v>
      </c>
      <c r="M34" s="8" t="s">
        <v>54</v>
      </c>
      <c r="N34" s="8" t="s">
        <v>54</v>
      </c>
      <c r="O34" s="17">
        <v>826.0</v>
      </c>
      <c r="P34" s="17">
        <v>8260.0</v>
      </c>
      <c r="Q34" s="17">
        <f>180000+665</f>
        <v>180665</v>
      </c>
      <c r="R34" s="17">
        <f>35000+1420</f>
        <v>36420</v>
      </c>
      <c r="S34" s="15" t="s">
        <v>47</v>
      </c>
      <c r="T34" s="15">
        <v>75000.0</v>
      </c>
    </row>
    <row r="35">
      <c r="A35" s="8" t="s">
        <v>186</v>
      </c>
      <c r="B35" s="9">
        <v>3.0</v>
      </c>
      <c r="C35" s="17">
        <v>8545.0</v>
      </c>
      <c r="D35" s="17">
        <v>8545.0</v>
      </c>
      <c r="E35" s="8" t="s">
        <v>88</v>
      </c>
      <c r="F35" s="8" t="s">
        <v>48</v>
      </c>
      <c r="G35" s="8" t="s">
        <v>49</v>
      </c>
      <c r="H35" s="14">
        <v>40.0</v>
      </c>
      <c r="I35" s="8" t="s">
        <v>53</v>
      </c>
      <c r="J35" s="8" t="s">
        <v>54</v>
      </c>
      <c r="K35" s="8" t="s">
        <v>54</v>
      </c>
      <c r="L35" s="11" t="s">
        <v>47</v>
      </c>
      <c r="M35" s="8" t="s">
        <v>54</v>
      </c>
      <c r="N35" s="11" t="s">
        <v>47</v>
      </c>
      <c r="O35" s="17">
        <v>40130.0</v>
      </c>
      <c r="P35" s="17">
        <v>40130.0</v>
      </c>
      <c r="Q35" s="17">
        <v>0.0</v>
      </c>
      <c r="R35" s="17">
        <v>0.0</v>
      </c>
      <c r="S35" s="15" t="s">
        <v>47</v>
      </c>
      <c r="T35" s="15">
        <v>45000.0</v>
      </c>
    </row>
    <row r="36">
      <c r="A36" s="8" t="s">
        <v>46</v>
      </c>
      <c r="B36" s="9">
        <v>3.0</v>
      </c>
      <c r="C36" s="17">
        <v>86481.0</v>
      </c>
      <c r="D36" s="17">
        <v>86481.0</v>
      </c>
      <c r="E36" s="8" t="s">
        <v>48</v>
      </c>
      <c r="F36" s="8" t="s">
        <v>48</v>
      </c>
      <c r="G36" s="8" t="s">
        <v>49</v>
      </c>
      <c r="H36" s="14">
        <v>90.0</v>
      </c>
      <c r="I36" s="8" t="s">
        <v>73</v>
      </c>
      <c r="J36" s="8" t="s">
        <v>54</v>
      </c>
      <c r="K36" s="8" t="s">
        <v>54</v>
      </c>
      <c r="L36" s="8" t="s">
        <v>54</v>
      </c>
      <c r="M36" s="8" t="s">
        <v>54</v>
      </c>
      <c r="N36" s="8" t="s">
        <v>54</v>
      </c>
      <c r="O36" s="17">
        <v>18090.0</v>
      </c>
      <c r="P36" s="17">
        <v>18090.0</v>
      </c>
      <c r="Q36" s="17">
        <v>4800.0</v>
      </c>
      <c r="R36" s="17">
        <v>3000.0</v>
      </c>
      <c r="S36" s="15" t="s">
        <v>47</v>
      </c>
      <c r="T36" s="15">
        <v>150000.0</v>
      </c>
    </row>
    <row r="37">
      <c r="A37" s="8" t="s">
        <v>70</v>
      </c>
      <c r="B37" s="9">
        <v>4.0</v>
      </c>
      <c r="C37" s="17">
        <v>5210.0</v>
      </c>
      <c r="D37" s="17">
        <v>5210.0</v>
      </c>
      <c r="E37" s="8" t="s">
        <v>48</v>
      </c>
      <c r="F37" s="8" t="s">
        <v>48</v>
      </c>
      <c r="G37" s="8" t="s">
        <v>49</v>
      </c>
      <c r="H37" s="14">
        <v>40.0</v>
      </c>
      <c r="I37" s="8" t="s">
        <v>73</v>
      </c>
      <c r="J37" s="8" t="s">
        <v>54</v>
      </c>
      <c r="K37" s="8" t="s">
        <v>54</v>
      </c>
      <c r="L37" s="8" t="s">
        <v>54</v>
      </c>
      <c r="M37" s="8" t="s">
        <v>54</v>
      </c>
      <c r="N37" s="8" t="s">
        <v>54</v>
      </c>
      <c r="O37" s="17">
        <v>0.0</v>
      </c>
      <c r="P37" s="17">
        <v>0.0</v>
      </c>
      <c r="Q37" s="17">
        <v>925.0</v>
      </c>
      <c r="R37" s="17">
        <v>107122.0</v>
      </c>
      <c r="S37" s="15" t="s">
        <v>47</v>
      </c>
      <c r="T37" s="15">
        <v>80000.0</v>
      </c>
    </row>
    <row r="38">
      <c r="A38" s="8" t="s">
        <v>70</v>
      </c>
      <c r="B38" s="9">
        <v>5.0</v>
      </c>
      <c r="C38" s="17">
        <v>2810.0</v>
      </c>
      <c r="D38" s="17">
        <v>2810.0</v>
      </c>
      <c r="E38" s="8" t="s">
        <v>48</v>
      </c>
      <c r="F38" s="8" t="s">
        <v>48</v>
      </c>
      <c r="G38" s="8" t="s">
        <v>49</v>
      </c>
      <c r="H38" s="14">
        <v>30.0</v>
      </c>
      <c r="I38" s="8" t="s">
        <v>56</v>
      </c>
      <c r="J38" s="8" t="s">
        <v>54</v>
      </c>
      <c r="K38" s="8" t="s">
        <v>54</v>
      </c>
      <c r="L38" s="8" t="s">
        <v>54</v>
      </c>
      <c r="M38" s="8" t="s">
        <v>54</v>
      </c>
      <c r="N38" s="8" t="s">
        <v>54</v>
      </c>
      <c r="O38" s="17">
        <v>1340.0</v>
      </c>
      <c r="P38" s="17">
        <v>13400.0</v>
      </c>
      <c r="Q38" s="17">
        <v>0.0</v>
      </c>
      <c r="R38" s="17">
        <v>12974.0</v>
      </c>
      <c r="S38" s="15" t="s">
        <v>47</v>
      </c>
      <c r="T38" s="15">
        <v>50000.0</v>
      </c>
    </row>
    <row r="39">
      <c r="A39" s="8" t="s">
        <v>186</v>
      </c>
      <c r="B39" s="9">
        <v>5.0</v>
      </c>
      <c r="C39" s="17">
        <v>1008.0</v>
      </c>
      <c r="D39" s="17">
        <v>1008.0</v>
      </c>
      <c r="E39" s="8" t="s">
        <v>88</v>
      </c>
      <c r="F39" s="8" t="s">
        <v>48</v>
      </c>
      <c r="G39" s="8" t="s">
        <v>49</v>
      </c>
      <c r="H39" s="14">
        <v>30.0</v>
      </c>
      <c r="I39" s="8" t="s">
        <v>53</v>
      </c>
      <c r="J39" s="8" t="s">
        <v>54</v>
      </c>
      <c r="K39" s="8" t="s">
        <v>54</v>
      </c>
      <c r="L39" s="8" t="s">
        <v>54</v>
      </c>
      <c r="M39" s="8" t="s">
        <v>54</v>
      </c>
      <c r="N39" s="8" t="s">
        <v>54</v>
      </c>
      <c r="O39" s="17">
        <v>185000.0</v>
      </c>
      <c r="P39" s="17">
        <v>185000.0</v>
      </c>
      <c r="Q39" s="17">
        <v>0.0</v>
      </c>
      <c r="R39" s="17">
        <v>4000.0</v>
      </c>
      <c r="S39" s="15" t="s">
        <v>47</v>
      </c>
      <c r="T39" s="9">
        <v>5000.0</v>
      </c>
    </row>
    <row r="40" ht="18.75" customHeight="1">
      <c r="A40" s="25" t="s">
        <v>124</v>
      </c>
      <c r="B40" s="9">
        <v>3.0</v>
      </c>
      <c r="C40" s="17">
        <v>9812.0</v>
      </c>
      <c r="D40" s="17">
        <v>9812.0</v>
      </c>
      <c r="E40" s="26" t="s">
        <v>48</v>
      </c>
      <c r="F40" s="26" t="s">
        <v>48</v>
      </c>
      <c r="G40" s="8" t="s">
        <v>49</v>
      </c>
      <c r="H40" s="14">
        <v>240.0</v>
      </c>
      <c r="I40" s="25" t="s">
        <v>53</v>
      </c>
      <c r="J40" s="8" t="s">
        <v>54</v>
      </c>
      <c r="K40" s="8" t="s">
        <v>54</v>
      </c>
      <c r="L40" s="8" t="s">
        <v>54</v>
      </c>
      <c r="M40" s="8" t="s">
        <v>54</v>
      </c>
      <c r="N40" s="8" t="s">
        <v>54</v>
      </c>
      <c r="O40" s="17">
        <v>4150.0</v>
      </c>
      <c r="P40" s="17">
        <v>7500.0</v>
      </c>
      <c r="Q40" s="17">
        <f>11000+780</f>
        <v>11780</v>
      </c>
      <c r="R40" s="17">
        <f>650+33480</f>
        <v>34130</v>
      </c>
      <c r="S40" s="15" t="s">
        <v>47</v>
      </c>
      <c r="T40" s="15">
        <v>80000.0</v>
      </c>
      <c r="U40" s="36"/>
    </row>
    <row r="41">
      <c r="A41" s="25" t="s">
        <v>70</v>
      </c>
      <c r="B41" s="9">
        <v>3.0</v>
      </c>
      <c r="C41" s="17">
        <v>138358.0</v>
      </c>
      <c r="D41" s="17">
        <v>138358.0</v>
      </c>
      <c r="E41" s="26" t="s">
        <v>88</v>
      </c>
      <c r="F41" s="26" t="s">
        <v>48</v>
      </c>
      <c r="G41" s="8" t="s">
        <v>49</v>
      </c>
      <c r="H41" s="14">
        <v>120.0</v>
      </c>
      <c r="I41" s="25" t="s">
        <v>73</v>
      </c>
      <c r="J41" s="8" t="s">
        <v>54</v>
      </c>
      <c r="K41" s="8" t="s">
        <v>54</v>
      </c>
      <c r="L41" s="8" t="s">
        <v>54</v>
      </c>
      <c r="M41" s="8" t="s">
        <v>54</v>
      </c>
      <c r="N41" s="8" t="s">
        <v>54</v>
      </c>
      <c r="O41" s="17">
        <v>0.0</v>
      </c>
      <c r="P41" s="17">
        <v>0.0</v>
      </c>
      <c r="Q41" s="17">
        <v>678000.0</v>
      </c>
      <c r="R41" s="17">
        <v>3491.0</v>
      </c>
      <c r="S41" s="15" t="s">
        <v>47</v>
      </c>
      <c r="T41" s="15">
        <v>150000.0</v>
      </c>
      <c r="U41" s="36"/>
    </row>
    <row r="42">
      <c r="A42" s="25" t="s">
        <v>46</v>
      </c>
      <c r="B42" s="9">
        <v>4.0</v>
      </c>
      <c r="C42" s="17">
        <v>55112.0</v>
      </c>
      <c r="D42" s="17">
        <v>55112.0</v>
      </c>
      <c r="E42" s="26" t="s">
        <v>48</v>
      </c>
      <c r="F42" s="26" t="s">
        <v>48</v>
      </c>
      <c r="G42" s="8" t="s">
        <v>61</v>
      </c>
      <c r="H42" s="14">
        <v>90.0</v>
      </c>
      <c r="I42" s="25" t="s">
        <v>73</v>
      </c>
      <c r="J42" s="8" t="s">
        <v>54</v>
      </c>
      <c r="K42" s="8" t="s">
        <v>54</v>
      </c>
      <c r="L42" s="8" t="s">
        <v>54</v>
      </c>
      <c r="M42" s="8" t="s">
        <v>54</v>
      </c>
      <c r="N42" s="8" t="s">
        <v>54</v>
      </c>
      <c r="O42" s="17">
        <v>0.0</v>
      </c>
      <c r="P42" s="17">
        <v>0.0</v>
      </c>
      <c r="Q42" s="17">
        <v>86400.0</v>
      </c>
      <c r="R42" s="17">
        <v>0.0</v>
      </c>
      <c r="S42" s="15" t="s">
        <v>47</v>
      </c>
      <c r="T42" s="15">
        <v>100000.0</v>
      </c>
      <c r="U42" s="36"/>
    </row>
    <row r="43" hidden="1">
      <c r="A43" s="8"/>
      <c r="B43" s="18"/>
      <c r="C43" s="12"/>
      <c r="D43" s="12"/>
      <c r="E43" s="8" t="s">
        <v>48</v>
      </c>
      <c r="F43" s="8" t="s">
        <v>88</v>
      </c>
      <c r="G43" s="8" t="s">
        <v>61</v>
      </c>
      <c r="H43" s="14">
        <v>0.0</v>
      </c>
      <c r="I43" s="8"/>
      <c r="J43" s="11"/>
      <c r="K43" s="11" t="s">
        <v>47</v>
      </c>
      <c r="L43" s="11" t="s">
        <v>47</v>
      </c>
      <c r="M43" s="11" t="s">
        <v>47</v>
      </c>
      <c r="N43" s="11" t="s">
        <v>47</v>
      </c>
      <c r="O43" s="15"/>
      <c r="P43" s="15"/>
      <c r="Q43" s="15"/>
      <c r="R43" s="15"/>
      <c r="S43" s="15" t="s">
        <v>47</v>
      </c>
      <c r="T43" s="9">
        <v>0.0</v>
      </c>
    </row>
    <row r="44">
      <c r="A44" s="25" t="s">
        <v>124</v>
      </c>
      <c r="B44" s="9">
        <v>4.0</v>
      </c>
      <c r="C44" s="17">
        <v>83458.0</v>
      </c>
      <c r="D44" s="17">
        <v>83458.0</v>
      </c>
      <c r="E44" s="26" t="s">
        <v>88</v>
      </c>
      <c r="F44" s="26" t="s">
        <v>48</v>
      </c>
      <c r="G44" s="8" t="s">
        <v>49</v>
      </c>
      <c r="H44" s="14">
        <v>90.0</v>
      </c>
      <c r="I44" s="25" t="s">
        <v>53</v>
      </c>
      <c r="J44" s="8" t="s">
        <v>54</v>
      </c>
      <c r="K44" s="8" t="s">
        <v>54</v>
      </c>
      <c r="L44" s="8" t="s">
        <v>54</v>
      </c>
      <c r="M44" s="8" t="s">
        <v>54</v>
      </c>
      <c r="N44" s="8" t="s">
        <v>54</v>
      </c>
      <c r="O44" s="17">
        <v>0.0</v>
      </c>
      <c r="P44" s="17">
        <v>0.0</v>
      </c>
      <c r="Q44" s="17">
        <v>198000.0</v>
      </c>
      <c r="R44" s="17">
        <v>2600.0</v>
      </c>
      <c r="S44" s="15" t="s">
        <v>47</v>
      </c>
      <c r="T44" s="15">
        <v>60000.0</v>
      </c>
      <c r="U44" s="36"/>
    </row>
    <row r="45">
      <c r="A45" s="25" t="s">
        <v>70</v>
      </c>
      <c r="B45" s="9">
        <v>5.0</v>
      </c>
      <c r="C45" s="17">
        <v>750.0</v>
      </c>
      <c r="D45" s="17">
        <v>750.0</v>
      </c>
      <c r="E45" s="26" t="s">
        <v>48</v>
      </c>
      <c r="F45" s="26" t="s">
        <v>48</v>
      </c>
      <c r="G45" s="8" t="s">
        <v>49</v>
      </c>
      <c r="H45" s="14">
        <v>185.0</v>
      </c>
      <c r="I45" s="25" t="s">
        <v>56</v>
      </c>
      <c r="J45" s="8" t="s">
        <v>54</v>
      </c>
      <c r="K45" s="8" t="s">
        <v>54</v>
      </c>
      <c r="L45" s="8" t="s">
        <v>54</v>
      </c>
      <c r="M45" s="8" t="s">
        <v>54</v>
      </c>
      <c r="N45" s="8" t="s">
        <v>54</v>
      </c>
      <c r="O45" s="17">
        <v>0.0</v>
      </c>
      <c r="P45" s="17">
        <v>0.0</v>
      </c>
      <c r="Q45" s="17">
        <v>0.0</v>
      </c>
      <c r="R45" s="17">
        <v>0.0</v>
      </c>
      <c r="S45" s="15" t="s">
        <v>47</v>
      </c>
      <c r="T45" s="15">
        <v>20750.0</v>
      </c>
      <c r="U45" s="36"/>
    </row>
    <row r="46" hidden="1">
      <c r="A46" s="8"/>
      <c r="B46" s="18"/>
      <c r="C46" s="12"/>
      <c r="D46" s="12"/>
      <c r="E46" s="8" t="s">
        <v>48</v>
      </c>
      <c r="F46" s="8" t="s">
        <v>48</v>
      </c>
      <c r="G46" s="8" t="s">
        <v>51</v>
      </c>
      <c r="H46" s="14"/>
      <c r="I46" s="8"/>
      <c r="J46" s="11"/>
      <c r="K46" s="11" t="s">
        <v>47</v>
      </c>
      <c r="L46" s="11" t="s">
        <v>47</v>
      </c>
      <c r="M46" s="11" t="s">
        <v>47</v>
      </c>
      <c r="N46" s="11" t="s">
        <v>47</v>
      </c>
      <c r="O46" s="15"/>
      <c r="P46" s="15"/>
      <c r="Q46" s="15"/>
      <c r="R46" s="15"/>
      <c r="S46" s="15" t="s">
        <v>47</v>
      </c>
      <c r="T46" s="9" t="s">
        <v>254</v>
      </c>
    </row>
    <row r="47" hidden="1">
      <c r="A47" s="8"/>
      <c r="B47" s="18"/>
      <c r="C47" s="12"/>
      <c r="D47" s="12"/>
      <c r="E47" s="8" t="s">
        <v>48</v>
      </c>
      <c r="F47" s="8" t="s">
        <v>48</v>
      </c>
      <c r="G47" s="8" t="s">
        <v>61</v>
      </c>
      <c r="H47" s="14"/>
      <c r="I47" s="8"/>
      <c r="J47" s="11"/>
      <c r="K47" s="11" t="s">
        <v>47</v>
      </c>
      <c r="L47" s="11" t="s">
        <v>47</v>
      </c>
      <c r="M47" s="11" t="s">
        <v>47</v>
      </c>
      <c r="N47" s="11" t="s">
        <v>47</v>
      </c>
      <c r="O47" s="15"/>
      <c r="P47" s="15"/>
      <c r="Q47" s="15"/>
      <c r="R47" s="15"/>
      <c r="S47" s="15" t="s">
        <v>47</v>
      </c>
      <c r="T47" s="9">
        <v>0.0</v>
      </c>
    </row>
    <row r="48">
      <c r="A48" s="25" t="s">
        <v>133</v>
      </c>
      <c r="B48" s="28">
        <v>3.0</v>
      </c>
      <c r="C48" s="17">
        <v>2353.0</v>
      </c>
      <c r="D48" s="17">
        <v>2353.0</v>
      </c>
      <c r="E48" s="26" t="s">
        <v>88</v>
      </c>
      <c r="F48" s="26" t="s">
        <v>48</v>
      </c>
      <c r="G48" s="8" t="s">
        <v>49</v>
      </c>
      <c r="H48" s="14">
        <v>59.0</v>
      </c>
      <c r="I48" s="25" t="s">
        <v>53</v>
      </c>
      <c r="J48" s="8" t="s">
        <v>54</v>
      </c>
      <c r="K48" s="8" t="s">
        <v>54</v>
      </c>
      <c r="L48" s="8" t="s">
        <v>54</v>
      </c>
      <c r="M48" s="8" t="s">
        <v>54</v>
      </c>
      <c r="N48" s="8" t="s">
        <v>54</v>
      </c>
      <c r="O48" s="17">
        <v>0.0</v>
      </c>
      <c r="P48" s="17">
        <v>0.0</v>
      </c>
      <c r="Q48" s="17">
        <v>0.0</v>
      </c>
      <c r="R48" s="17">
        <v>0.0</v>
      </c>
      <c r="S48" s="15" t="s">
        <v>47</v>
      </c>
      <c r="T48" s="15">
        <v>25000.0</v>
      </c>
      <c r="U48" s="36"/>
    </row>
    <row r="49">
      <c r="A49" s="25" t="s">
        <v>133</v>
      </c>
      <c r="B49" s="28">
        <v>3.0</v>
      </c>
      <c r="C49" s="17">
        <v>102625.0</v>
      </c>
      <c r="D49" s="17">
        <v>102625.0</v>
      </c>
      <c r="E49" s="26" t="s">
        <v>88</v>
      </c>
      <c r="F49" s="26" t="s">
        <v>48</v>
      </c>
      <c r="G49" s="8" t="s">
        <v>49</v>
      </c>
      <c r="H49" s="14">
        <v>120.0</v>
      </c>
      <c r="I49" s="25" t="s">
        <v>53</v>
      </c>
      <c r="J49" s="8" t="s">
        <v>54</v>
      </c>
      <c r="K49" s="8" t="s">
        <v>54</v>
      </c>
      <c r="L49" s="8" t="s">
        <v>54</v>
      </c>
      <c r="M49" s="8" t="s">
        <v>54</v>
      </c>
      <c r="N49" s="8" t="s">
        <v>54</v>
      </c>
      <c r="O49" s="17">
        <v>0.0</v>
      </c>
      <c r="P49" s="17">
        <v>0.0</v>
      </c>
      <c r="Q49" s="17">
        <f>207500+32570</f>
        <v>240070</v>
      </c>
      <c r="R49" s="17">
        <v>186560.0</v>
      </c>
      <c r="S49" s="15" t="s">
        <v>47</v>
      </c>
      <c r="T49" s="15">
        <v>400000.0</v>
      </c>
      <c r="U49" s="36"/>
    </row>
    <row r="50" hidden="1">
      <c r="A50" s="8"/>
      <c r="B50" s="18"/>
      <c r="C50" s="12"/>
      <c r="D50" s="12"/>
      <c r="E50" s="8" t="s">
        <v>48</v>
      </c>
      <c r="F50" s="8" t="s">
        <v>48</v>
      </c>
      <c r="G50" s="8" t="s">
        <v>61</v>
      </c>
      <c r="H50" s="14">
        <v>0.0</v>
      </c>
      <c r="I50" s="8"/>
      <c r="J50" s="8" t="s">
        <v>54</v>
      </c>
      <c r="K50" s="8" t="s">
        <v>54</v>
      </c>
      <c r="L50" s="8" t="s">
        <v>54</v>
      </c>
      <c r="M50" s="8" t="s">
        <v>54</v>
      </c>
      <c r="N50" s="8" t="s">
        <v>54</v>
      </c>
      <c r="O50" s="15"/>
      <c r="P50" s="15"/>
      <c r="Q50" s="15"/>
      <c r="R50" s="15"/>
      <c r="S50" s="15" t="s">
        <v>47</v>
      </c>
      <c r="T50" s="9">
        <v>0.0</v>
      </c>
    </row>
    <row r="51">
      <c r="A51" s="26" t="s">
        <v>46</v>
      </c>
      <c r="B51" s="30">
        <v>3.0</v>
      </c>
      <c r="C51" s="17">
        <v>7020.0</v>
      </c>
      <c r="D51" s="17">
        <v>7020.0</v>
      </c>
      <c r="E51" s="26" t="s">
        <v>48</v>
      </c>
      <c r="F51" s="26" t="s">
        <v>48</v>
      </c>
      <c r="G51" s="8" t="s">
        <v>49</v>
      </c>
      <c r="H51" s="14">
        <v>80.0</v>
      </c>
      <c r="I51" s="26" t="s">
        <v>73</v>
      </c>
      <c r="J51" s="8" t="s">
        <v>54</v>
      </c>
      <c r="K51" s="8" t="s">
        <v>54</v>
      </c>
      <c r="L51" s="8" t="s">
        <v>54</v>
      </c>
      <c r="M51" s="8" t="s">
        <v>54</v>
      </c>
      <c r="N51" s="8" t="s">
        <v>54</v>
      </c>
      <c r="O51" s="17">
        <v>3340.0</v>
      </c>
      <c r="P51" s="17">
        <v>33400.0</v>
      </c>
      <c r="Q51" s="17">
        <v>0.0</v>
      </c>
      <c r="R51" s="17">
        <v>0.0</v>
      </c>
      <c r="S51" s="15" t="s">
        <v>47</v>
      </c>
      <c r="T51" s="15">
        <v>40000.0</v>
      </c>
      <c r="U51" s="36"/>
    </row>
    <row r="52">
      <c r="A52" s="26" t="s">
        <v>70</v>
      </c>
      <c r="B52" s="30">
        <v>5.0</v>
      </c>
      <c r="C52" s="17">
        <v>3540.0</v>
      </c>
      <c r="D52" s="17">
        <v>11060.0</v>
      </c>
      <c r="E52" s="26" t="s">
        <v>48</v>
      </c>
      <c r="F52" s="26" t="s">
        <v>48</v>
      </c>
      <c r="G52" s="8" t="s">
        <v>49</v>
      </c>
      <c r="H52" s="14">
        <v>40.0</v>
      </c>
      <c r="I52" s="26" t="s">
        <v>56</v>
      </c>
      <c r="J52" s="8" t="s">
        <v>54</v>
      </c>
      <c r="K52" s="8" t="s">
        <v>54</v>
      </c>
      <c r="L52" s="8" t="s">
        <v>54</v>
      </c>
      <c r="M52" s="8" t="s">
        <v>54</v>
      </c>
      <c r="N52" s="8" t="s">
        <v>54</v>
      </c>
      <c r="O52" s="17">
        <v>14755.0</v>
      </c>
      <c r="P52" s="17">
        <v>45400.0</v>
      </c>
      <c r="Q52" s="17">
        <v>0.0</v>
      </c>
      <c r="R52" s="17">
        <v>0.0</v>
      </c>
      <c r="S52" s="15" t="s">
        <v>47</v>
      </c>
      <c r="T52" s="15">
        <v>60000.0</v>
      </c>
      <c r="U52" s="36"/>
    </row>
    <row r="53" hidden="1">
      <c r="A53" s="8"/>
      <c r="B53" s="18"/>
      <c r="C53" s="12"/>
      <c r="D53" s="12"/>
      <c r="E53" s="8" t="s">
        <v>48</v>
      </c>
      <c r="F53" s="8" t="s">
        <v>48</v>
      </c>
      <c r="G53" s="8" t="s">
        <v>280</v>
      </c>
      <c r="H53" s="14">
        <v>0.0</v>
      </c>
      <c r="I53" s="8"/>
      <c r="J53" s="8" t="s">
        <v>54</v>
      </c>
      <c r="K53" s="8" t="s">
        <v>54</v>
      </c>
      <c r="L53" s="8" t="s">
        <v>54</v>
      </c>
      <c r="M53" s="8" t="s">
        <v>54</v>
      </c>
      <c r="N53" s="8" t="s">
        <v>54</v>
      </c>
      <c r="O53" s="15"/>
      <c r="P53" s="15"/>
      <c r="Q53" s="15"/>
      <c r="R53" s="15"/>
      <c r="S53" s="15" t="s">
        <v>47</v>
      </c>
      <c r="T53" s="15">
        <v>150000.0</v>
      </c>
    </row>
    <row r="54">
      <c r="A54" s="25" t="s">
        <v>73</v>
      </c>
      <c r="B54" s="9">
        <v>2.0</v>
      </c>
      <c r="C54" s="17">
        <v>112160.0</v>
      </c>
      <c r="D54" s="17">
        <v>112160.0</v>
      </c>
      <c r="E54" s="8" t="s">
        <v>48</v>
      </c>
      <c r="F54" s="8" t="s">
        <v>48</v>
      </c>
      <c r="G54" s="8" t="s">
        <v>49</v>
      </c>
      <c r="H54" s="14">
        <v>180.0</v>
      </c>
      <c r="I54" s="8" t="s">
        <v>53</v>
      </c>
      <c r="J54" s="8" t="s">
        <v>54</v>
      </c>
      <c r="K54" s="8" t="s">
        <v>54</v>
      </c>
      <c r="L54" s="8" t="s">
        <v>54</v>
      </c>
      <c r="M54" s="8" t="s">
        <v>54</v>
      </c>
      <c r="N54" s="8" t="s">
        <v>54</v>
      </c>
      <c r="O54" s="17">
        <v>0.0</v>
      </c>
      <c r="P54" s="17">
        <v>0.0</v>
      </c>
      <c r="Q54" s="17">
        <v>134400.0</v>
      </c>
      <c r="R54" s="17">
        <v>430000.0</v>
      </c>
      <c r="S54" s="15" t="s">
        <v>47</v>
      </c>
      <c r="T54" s="15">
        <v>500000.0</v>
      </c>
    </row>
    <row r="55">
      <c r="A55" s="8" t="s">
        <v>70</v>
      </c>
      <c r="B55" s="9">
        <v>5.0</v>
      </c>
      <c r="C55" s="12">
        <v>0.0</v>
      </c>
      <c r="D55" s="12">
        <v>0.0</v>
      </c>
      <c r="E55" s="8" t="s">
        <v>48</v>
      </c>
      <c r="F55" s="8" t="s">
        <v>48</v>
      </c>
      <c r="G55" s="8" t="s">
        <v>49</v>
      </c>
      <c r="H55" s="14">
        <v>30.0</v>
      </c>
      <c r="I55" s="8" t="s">
        <v>73</v>
      </c>
      <c r="J55" s="8" t="s">
        <v>54</v>
      </c>
      <c r="K55" s="8" t="s">
        <v>54</v>
      </c>
      <c r="L55" s="8" t="s">
        <v>54</v>
      </c>
      <c r="M55" s="8" t="s">
        <v>54</v>
      </c>
      <c r="N55" s="8" t="s">
        <v>54</v>
      </c>
      <c r="O55" s="17">
        <v>0.0</v>
      </c>
      <c r="P55" s="17">
        <v>0.0</v>
      </c>
      <c r="Q55" s="17">
        <v>0.0</v>
      </c>
      <c r="R55" s="17">
        <v>53724.0</v>
      </c>
      <c r="S55" s="15" t="s">
        <v>47</v>
      </c>
      <c r="T55" s="15">
        <v>100000.0</v>
      </c>
    </row>
    <row r="56" hidden="1">
      <c r="A56" s="8"/>
      <c r="B56" s="18"/>
      <c r="C56" s="12"/>
      <c r="D56" s="12"/>
      <c r="E56" s="8" t="s">
        <v>120</v>
      </c>
      <c r="F56" s="8" t="s">
        <v>48</v>
      </c>
      <c r="G56" s="8" t="s">
        <v>293</v>
      </c>
      <c r="H56" s="14">
        <v>0.0</v>
      </c>
      <c r="I56" s="8"/>
      <c r="J56" s="8" t="s">
        <v>54</v>
      </c>
      <c r="K56" s="8" t="s">
        <v>54</v>
      </c>
      <c r="L56" s="8" t="s">
        <v>54</v>
      </c>
      <c r="M56" s="8" t="s">
        <v>54</v>
      </c>
      <c r="N56" s="8" t="s">
        <v>54</v>
      </c>
      <c r="O56" s="15"/>
      <c r="P56" s="15">
        <v>0.0</v>
      </c>
      <c r="Q56" s="15"/>
      <c r="R56" s="15"/>
      <c r="S56" s="15" t="s">
        <v>47</v>
      </c>
      <c r="T56" s="9" t="s">
        <v>295</v>
      </c>
    </row>
    <row r="57">
      <c r="A57" s="8" t="s">
        <v>46</v>
      </c>
      <c r="B57" s="9">
        <v>5.0</v>
      </c>
      <c r="C57" s="17">
        <v>4816.0</v>
      </c>
      <c r="D57" s="17">
        <v>7703.0</v>
      </c>
      <c r="E57" s="8" t="s">
        <v>48</v>
      </c>
      <c r="F57" s="8" t="s">
        <v>48</v>
      </c>
      <c r="G57" s="8" t="s">
        <v>49</v>
      </c>
      <c r="H57" s="14">
        <v>30.0</v>
      </c>
      <c r="I57" s="8" t="s">
        <v>73</v>
      </c>
      <c r="J57" s="8" t="s">
        <v>54</v>
      </c>
      <c r="K57" s="8" t="s">
        <v>54</v>
      </c>
      <c r="L57" s="8" t="s">
        <v>54</v>
      </c>
      <c r="M57" s="8" t="s">
        <v>54</v>
      </c>
      <c r="N57" s="8" t="s">
        <v>54</v>
      </c>
      <c r="O57" s="17">
        <v>923.0</v>
      </c>
      <c r="P57" s="17">
        <v>2100.0</v>
      </c>
      <c r="Q57" s="17">
        <v>0.0</v>
      </c>
      <c r="R57" s="17">
        <v>0.0</v>
      </c>
      <c r="S57" s="15" t="s">
        <v>47</v>
      </c>
      <c r="T57" s="15">
        <v>36000.0</v>
      </c>
    </row>
    <row r="58">
      <c r="A58" s="8" t="s">
        <v>124</v>
      </c>
      <c r="B58" s="9">
        <v>5.0</v>
      </c>
      <c r="C58" s="12">
        <v>710.0</v>
      </c>
      <c r="D58" s="17">
        <v>10000.0</v>
      </c>
      <c r="E58" s="8" t="s">
        <v>48</v>
      </c>
      <c r="F58" s="8" t="s">
        <v>48</v>
      </c>
      <c r="G58" s="8" t="s">
        <v>49</v>
      </c>
      <c r="H58" s="14">
        <v>50.0</v>
      </c>
      <c r="I58" s="8" t="s">
        <v>73</v>
      </c>
      <c r="J58" s="8" t="s">
        <v>54</v>
      </c>
      <c r="K58" s="8" t="s">
        <v>54</v>
      </c>
      <c r="L58" s="8" t="s">
        <v>54</v>
      </c>
      <c r="M58" s="8" t="s">
        <v>54</v>
      </c>
      <c r="N58" s="8" t="s">
        <v>54</v>
      </c>
      <c r="O58" s="17">
        <v>140667.0</v>
      </c>
      <c r="P58" s="17">
        <v>195879.0</v>
      </c>
      <c r="Q58" s="17">
        <v>0.0</v>
      </c>
      <c r="R58" s="17">
        <v>0.0</v>
      </c>
      <c r="S58" s="15" t="s">
        <v>47</v>
      </c>
      <c r="T58" s="15">
        <v>600000.0</v>
      </c>
    </row>
    <row r="59">
      <c r="A59" s="8" t="s">
        <v>124</v>
      </c>
      <c r="B59" s="9">
        <v>5.0</v>
      </c>
      <c r="C59" s="17">
        <v>7650.0</v>
      </c>
      <c r="D59" s="17">
        <v>7650.0</v>
      </c>
      <c r="E59" s="8" t="s">
        <v>48</v>
      </c>
      <c r="F59" s="8" t="s">
        <v>48</v>
      </c>
      <c r="G59" s="8" t="s">
        <v>49</v>
      </c>
      <c r="H59" s="14">
        <v>50.0</v>
      </c>
      <c r="I59" s="8" t="s">
        <v>53</v>
      </c>
      <c r="J59" s="8" t="s">
        <v>54</v>
      </c>
      <c r="K59" s="8" t="s">
        <v>54</v>
      </c>
      <c r="L59" s="8" t="s">
        <v>54</v>
      </c>
      <c r="M59" s="8" t="s">
        <v>54</v>
      </c>
      <c r="N59" s="8" t="s">
        <v>54</v>
      </c>
      <c r="O59" s="17">
        <v>71700.0</v>
      </c>
      <c r="P59" s="17">
        <v>144600.0</v>
      </c>
      <c r="Q59" s="17">
        <v>0.0</v>
      </c>
      <c r="R59" s="17">
        <f>7500+69500</f>
        <v>77000</v>
      </c>
      <c r="S59" s="15" t="s">
        <v>47</v>
      </c>
      <c r="T59" s="15">
        <v>100000.0</v>
      </c>
    </row>
    <row r="60">
      <c r="A60" s="8" t="s">
        <v>46</v>
      </c>
      <c r="B60" s="9">
        <v>4.0</v>
      </c>
      <c r="C60" s="17">
        <v>305925.0</v>
      </c>
      <c r="D60" s="17">
        <v>305925.0</v>
      </c>
      <c r="E60" s="8" t="s">
        <v>88</v>
      </c>
      <c r="F60" s="8" t="s">
        <v>88</v>
      </c>
      <c r="G60" s="8" t="s">
        <v>49</v>
      </c>
      <c r="H60" s="14">
        <v>60.0</v>
      </c>
      <c r="I60" s="8" t="s">
        <v>73</v>
      </c>
      <c r="J60" s="8" t="s">
        <v>54</v>
      </c>
      <c r="K60" s="8" t="s">
        <v>54</v>
      </c>
      <c r="L60" s="8" t="s">
        <v>54</v>
      </c>
      <c r="M60" s="8" t="s">
        <v>54</v>
      </c>
      <c r="N60" s="8" t="s">
        <v>54</v>
      </c>
      <c r="O60" s="17">
        <v>0.0</v>
      </c>
      <c r="P60" s="17">
        <v>0.0</v>
      </c>
      <c r="Q60" s="17">
        <f>5208</f>
        <v>5208</v>
      </c>
      <c r="R60" s="17">
        <v>11837.0</v>
      </c>
      <c r="S60" s="15" t="s">
        <v>47</v>
      </c>
      <c r="T60" s="15">
        <v>200000.0</v>
      </c>
    </row>
    <row r="61">
      <c r="A61" s="8" t="s">
        <v>56</v>
      </c>
      <c r="B61" s="9">
        <v>3.0</v>
      </c>
      <c r="C61" s="17">
        <v>221882.0</v>
      </c>
      <c r="D61" s="17">
        <v>221882.0</v>
      </c>
      <c r="E61" s="8" t="s">
        <v>88</v>
      </c>
      <c r="F61" s="8" t="s">
        <v>48</v>
      </c>
      <c r="G61" s="8" t="s">
        <v>49</v>
      </c>
      <c r="H61" s="14">
        <v>60.0</v>
      </c>
      <c r="I61" s="8" t="s">
        <v>56</v>
      </c>
      <c r="J61" s="8" t="s">
        <v>54</v>
      </c>
      <c r="K61" s="8" t="s">
        <v>54</v>
      </c>
      <c r="L61" s="8" t="s">
        <v>54</v>
      </c>
      <c r="M61" s="8" t="s">
        <v>54</v>
      </c>
      <c r="N61" s="8" t="s">
        <v>54</v>
      </c>
      <c r="O61" s="17">
        <v>542.0</v>
      </c>
      <c r="P61" s="17">
        <v>1700.0</v>
      </c>
      <c r="Q61" s="17">
        <v>0.0</v>
      </c>
      <c r="R61" s="17">
        <f>3000+29851</f>
        <v>32851</v>
      </c>
      <c r="S61" s="15" t="s">
        <v>47</v>
      </c>
      <c r="T61" s="15">
        <v>80000.0</v>
      </c>
    </row>
    <row r="62">
      <c r="A62" s="8" t="s">
        <v>124</v>
      </c>
      <c r="B62" s="9">
        <v>5.0</v>
      </c>
      <c r="C62" s="17">
        <v>76590.0</v>
      </c>
      <c r="D62" s="17">
        <v>76590.0</v>
      </c>
      <c r="E62" s="8" t="s">
        <v>88</v>
      </c>
      <c r="F62" s="8" t="s">
        <v>48</v>
      </c>
      <c r="G62" s="8" t="s">
        <v>49</v>
      </c>
      <c r="H62" s="14">
        <v>40.0</v>
      </c>
      <c r="I62" s="8" t="s">
        <v>56</v>
      </c>
      <c r="J62" s="8" t="s">
        <v>54</v>
      </c>
      <c r="K62" s="8" t="s">
        <v>54</v>
      </c>
      <c r="L62" s="8" t="s">
        <v>54</v>
      </c>
      <c r="M62" s="8" t="s">
        <v>54</v>
      </c>
      <c r="N62" s="8" t="s">
        <v>54</v>
      </c>
      <c r="O62" s="17">
        <v>0.0</v>
      </c>
      <c r="P62" s="17">
        <v>0.0</v>
      </c>
      <c r="Q62" s="17">
        <v>41640.0</v>
      </c>
      <c r="R62" s="17">
        <v>194850.0</v>
      </c>
      <c r="S62" s="15" t="s">
        <v>47</v>
      </c>
      <c r="T62" s="15">
        <v>60000.0</v>
      </c>
    </row>
    <row r="63" ht="16.5" hidden="1" customHeight="1">
      <c r="A63" s="8"/>
      <c r="B63" s="18"/>
      <c r="C63" s="12"/>
      <c r="D63" s="12"/>
      <c r="E63" s="8" t="s">
        <v>48</v>
      </c>
      <c r="F63" s="8" t="s">
        <v>88</v>
      </c>
      <c r="G63" s="8" t="s">
        <v>49</v>
      </c>
      <c r="H63" s="14">
        <v>0.0</v>
      </c>
      <c r="I63" s="8"/>
      <c r="J63" s="8" t="s">
        <v>54</v>
      </c>
      <c r="K63" s="8" t="s">
        <v>54</v>
      </c>
      <c r="L63" s="8" t="s">
        <v>54</v>
      </c>
      <c r="M63" s="8" t="s">
        <v>54</v>
      </c>
      <c r="N63" s="8" t="s">
        <v>54</v>
      </c>
      <c r="O63" s="13"/>
      <c r="P63" s="13"/>
      <c r="Q63" s="13"/>
      <c r="R63" s="13"/>
      <c r="S63" s="18"/>
      <c r="T63" s="15">
        <v>400000.0</v>
      </c>
    </row>
    <row r="64">
      <c r="A64" s="8" t="s">
        <v>133</v>
      </c>
      <c r="B64" s="9">
        <v>5.0</v>
      </c>
      <c r="C64" s="17">
        <v>1760.0</v>
      </c>
      <c r="D64" s="17">
        <v>1760.0</v>
      </c>
      <c r="E64" s="8" t="s">
        <v>48</v>
      </c>
      <c r="F64" s="8" t="s">
        <v>48</v>
      </c>
      <c r="G64" s="8" t="s">
        <v>61</v>
      </c>
      <c r="H64" s="46"/>
      <c r="I64" s="8" t="s">
        <v>70</v>
      </c>
      <c r="J64" s="8" t="s">
        <v>54</v>
      </c>
      <c r="K64" s="8" t="s">
        <v>54</v>
      </c>
      <c r="L64" s="11" t="s">
        <v>47</v>
      </c>
      <c r="M64" s="8" t="s">
        <v>54</v>
      </c>
      <c r="N64" s="11" t="s">
        <v>47</v>
      </c>
      <c r="O64" s="15">
        <v>11520.0</v>
      </c>
      <c r="P64" s="15">
        <v>46080.0</v>
      </c>
      <c r="Q64" s="15">
        <v>0.0</v>
      </c>
      <c r="R64" s="15">
        <f>15000+2000</f>
        <v>17000</v>
      </c>
      <c r="S64" s="15" t="s">
        <v>47</v>
      </c>
      <c r="T64" s="15">
        <v>6000.0</v>
      </c>
    </row>
    <row r="65">
      <c r="A65" s="8" t="s">
        <v>70</v>
      </c>
      <c r="B65" s="9">
        <v>3.0</v>
      </c>
      <c r="C65" s="17">
        <v>86101.0</v>
      </c>
      <c r="D65" s="17">
        <v>86101.0</v>
      </c>
      <c r="E65" s="8" t="s">
        <v>88</v>
      </c>
      <c r="F65" s="8" t="s">
        <v>48</v>
      </c>
      <c r="G65" s="8" t="s">
        <v>49</v>
      </c>
      <c r="H65" s="14">
        <v>45.0</v>
      </c>
      <c r="I65" s="8" t="s">
        <v>73</v>
      </c>
      <c r="J65" s="8" t="s">
        <v>54</v>
      </c>
      <c r="K65" s="8" t="s">
        <v>54</v>
      </c>
      <c r="L65" s="8" t="s">
        <v>54</v>
      </c>
      <c r="M65" s="8" t="s">
        <v>54</v>
      </c>
      <c r="N65" s="8" t="s">
        <v>54</v>
      </c>
      <c r="O65" s="17">
        <v>0.0</v>
      </c>
      <c r="P65" s="17">
        <v>0.0</v>
      </c>
      <c r="Q65" s="17">
        <v>36000.0</v>
      </c>
      <c r="R65" s="17">
        <v>3000.0</v>
      </c>
      <c r="S65" s="15" t="s">
        <v>47</v>
      </c>
      <c r="T65" s="9">
        <v>3600.0</v>
      </c>
    </row>
    <row r="66">
      <c r="A66" s="25" t="s">
        <v>70</v>
      </c>
      <c r="B66" s="28">
        <v>5.0</v>
      </c>
      <c r="C66" s="12">
        <v>880.0</v>
      </c>
      <c r="D66" s="12">
        <v>880.0</v>
      </c>
      <c r="E66" s="26" t="s">
        <v>48</v>
      </c>
      <c r="F66" s="26" t="s">
        <v>88</v>
      </c>
      <c r="G66" s="8" t="s">
        <v>49</v>
      </c>
      <c r="H66" s="14">
        <v>50.0</v>
      </c>
      <c r="I66" s="25" t="s">
        <v>73</v>
      </c>
      <c r="J66" s="8" t="s">
        <v>54</v>
      </c>
      <c r="K66" s="8" t="s">
        <v>54</v>
      </c>
      <c r="L66" s="8" t="s">
        <v>54</v>
      </c>
      <c r="M66" s="8" t="s">
        <v>54</v>
      </c>
      <c r="N66" s="8" t="s">
        <v>54</v>
      </c>
      <c r="O66" s="17">
        <v>0.0</v>
      </c>
      <c r="P66" s="17">
        <v>0.0</v>
      </c>
      <c r="Q66" s="17">
        <v>0.0</v>
      </c>
      <c r="R66" s="17">
        <v>14000.0</v>
      </c>
      <c r="S66" s="15" t="s">
        <v>54</v>
      </c>
      <c r="T66" s="15">
        <v>1000.0</v>
      </c>
      <c r="U66" s="36"/>
    </row>
    <row r="67">
      <c r="A67" s="25" t="s">
        <v>70</v>
      </c>
      <c r="B67" s="9">
        <v>5.0</v>
      </c>
      <c r="C67" s="12">
        <v>0.0</v>
      </c>
      <c r="D67" s="12">
        <v>0.0</v>
      </c>
      <c r="E67" s="26" t="s">
        <v>48</v>
      </c>
      <c r="F67" s="26" t="s">
        <v>48</v>
      </c>
      <c r="G67" s="8" t="s">
        <v>49</v>
      </c>
      <c r="H67" s="14">
        <v>15.0</v>
      </c>
      <c r="I67" s="25" t="s">
        <v>344</v>
      </c>
      <c r="J67" s="8" t="s">
        <v>54</v>
      </c>
      <c r="K67" s="8" t="s">
        <v>54</v>
      </c>
      <c r="L67" s="8" t="s">
        <v>54</v>
      </c>
      <c r="M67" s="8" t="s">
        <v>54</v>
      </c>
      <c r="N67" s="8" t="s">
        <v>54</v>
      </c>
      <c r="O67" s="17">
        <v>4662.0</v>
      </c>
      <c r="P67" s="17">
        <v>18160.0</v>
      </c>
      <c r="Q67" s="17">
        <v>0.0</v>
      </c>
      <c r="R67" s="17">
        <v>0.0</v>
      </c>
      <c r="S67" s="15" t="s">
        <v>54</v>
      </c>
      <c r="T67" s="15">
        <v>12000.0</v>
      </c>
      <c r="U67" s="36"/>
    </row>
    <row r="68" hidden="1">
      <c r="A68" s="8"/>
      <c r="B68" s="18"/>
      <c r="C68" s="12"/>
      <c r="D68" s="12"/>
      <c r="G68" s="8" t="s">
        <v>49</v>
      </c>
      <c r="H68" s="14">
        <v>0.0</v>
      </c>
      <c r="J68" s="8" t="s">
        <v>54</v>
      </c>
      <c r="K68" s="8" t="s">
        <v>54</v>
      </c>
      <c r="L68" s="8" t="s">
        <v>54</v>
      </c>
      <c r="M68" s="8" t="s">
        <v>54</v>
      </c>
      <c r="N68" s="8" t="s">
        <v>54</v>
      </c>
      <c r="O68" s="17"/>
      <c r="P68" s="17"/>
      <c r="Q68" s="17"/>
      <c r="R68" s="17"/>
      <c r="S68" s="15" t="s">
        <v>54</v>
      </c>
      <c r="T68" s="18"/>
    </row>
    <row r="69">
      <c r="A69" s="8" t="s">
        <v>70</v>
      </c>
      <c r="B69" s="9">
        <v>5.0</v>
      </c>
      <c r="C69" s="17">
        <v>9600.0</v>
      </c>
      <c r="D69" s="17">
        <v>9600.0</v>
      </c>
      <c r="E69" s="8" t="s">
        <v>48</v>
      </c>
      <c r="F69" s="8" t="s">
        <v>48</v>
      </c>
      <c r="G69" s="8" t="s">
        <v>49</v>
      </c>
      <c r="H69" s="14">
        <v>30.0</v>
      </c>
      <c r="I69" s="8" t="s">
        <v>56</v>
      </c>
      <c r="J69" s="8" t="s">
        <v>54</v>
      </c>
      <c r="K69" s="8" t="s">
        <v>54</v>
      </c>
      <c r="L69" s="8" t="s">
        <v>54</v>
      </c>
      <c r="M69" s="8" t="s">
        <v>54</v>
      </c>
      <c r="N69" s="8" t="s">
        <v>54</v>
      </c>
      <c r="O69" s="17">
        <v>0.0</v>
      </c>
      <c r="P69" s="17">
        <v>0.0</v>
      </c>
      <c r="Q69" s="17">
        <v>5800.0</v>
      </c>
      <c r="R69" s="17">
        <v>0.0</v>
      </c>
      <c r="S69" s="15" t="s">
        <v>54</v>
      </c>
      <c r="T69" s="9">
        <v>8000.0</v>
      </c>
    </row>
    <row r="70">
      <c r="A70" s="8" t="s">
        <v>46</v>
      </c>
      <c r="B70" s="9">
        <v>4.0</v>
      </c>
      <c r="C70" s="17">
        <v>1760.0</v>
      </c>
      <c r="D70" s="17">
        <v>1760.0</v>
      </c>
      <c r="E70" s="8" t="s">
        <v>88</v>
      </c>
      <c r="F70" s="8" t="s">
        <v>48</v>
      </c>
      <c r="G70" s="8" t="s">
        <v>61</v>
      </c>
      <c r="H70" s="46"/>
      <c r="I70" s="8" t="s">
        <v>73</v>
      </c>
      <c r="J70" s="8" t="s">
        <v>54</v>
      </c>
      <c r="K70" s="8" t="s">
        <v>54</v>
      </c>
      <c r="L70" s="11" t="s">
        <v>47</v>
      </c>
      <c r="M70" s="8" t="s">
        <v>54</v>
      </c>
      <c r="N70" s="11" t="s">
        <v>47</v>
      </c>
      <c r="O70" s="15">
        <v>5337.0</v>
      </c>
      <c r="P70" s="15">
        <v>18650.0</v>
      </c>
      <c r="Q70" s="15">
        <v>0.0</v>
      </c>
      <c r="R70" s="15">
        <v>124.0</v>
      </c>
      <c r="S70" s="15" t="s">
        <v>54</v>
      </c>
      <c r="T70" s="15">
        <v>20000.0</v>
      </c>
    </row>
    <row r="71">
      <c r="A71" s="8" t="s">
        <v>70</v>
      </c>
      <c r="B71" s="9">
        <v>5.0</v>
      </c>
      <c r="C71" s="12">
        <v>0.0</v>
      </c>
      <c r="D71" s="12">
        <v>0.0</v>
      </c>
      <c r="E71" s="8" t="s">
        <v>48</v>
      </c>
      <c r="F71" s="8" t="s">
        <v>88</v>
      </c>
      <c r="G71" s="8" t="s">
        <v>49</v>
      </c>
      <c r="H71" s="14">
        <v>40.0</v>
      </c>
      <c r="I71" s="8" t="s">
        <v>53</v>
      </c>
      <c r="J71" s="8" t="s">
        <v>54</v>
      </c>
      <c r="K71" s="8" t="s">
        <v>54</v>
      </c>
      <c r="L71" s="8" t="s">
        <v>54</v>
      </c>
      <c r="M71" s="8" t="s">
        <v>54</v>
      </c>
      <c r="N71" s="8" t="s">
        <v>54</v>
      </c>
      <c r="O71" s="15">
        <v>6088.0</v>
      </c>
      <c r="P71" s="15">
        <v>24350.0</v>
      </c>
      <c r="Q71" s="9">
        <v>0.0</v>
      </c>
      <c r="R71" s="9">
        <v>0.0</v>
      </c>
      <c r="S71" s="15" t="s">
        <v>54</v>
      </c>
      <c r="T71" s="15">
        <v>30000.0</v>
      </c>
    </row>
    <row r="72">
      <c r="A72" s="25" t="s">
        <v>46</v>
      </c>
      <c r="B72" s="28">
        <v>5.0</v>
      </c>
      <c r="C72" s="12">
        <v>0.0</v>
      </c>
      <c r="D72" s="17">
        <v>0.0</v>
      </c>
      <c r="E72" s="26" t="s">
        <v>88</v>
      </c>
      <c r="F72" s="26" t="s">
        <v>48</v>
      </c>
      <c r="G72" s="8" t="s">
        <v>49</v>
      </c>
      <c r="H72" s="14">
        <v>50.0</v>
      </c>
      <c r="I72" s="25" t="s">
        <v>46</v>
      </c>
      <c r="J72" s="8" t="s">
        <v>54</v>
      </c>
      <c r="K72" s="8" t="s">
        <v>54</v>
      </c>
      <c r="L72" s="8" t="s">
        <v>54</v>
      </c>
      <c r="M72" s="8" t="s">
        <v>54</v>
      </c>
      <c r="N72" s="8" t="s">
        <v>54</v>
      </c>
      <c r="O72" s="17">
        <v>6093.0</v>
      </c>
      <c r="P72" s="17">
        <v>24300.0</v>
      </c>
      <c r="Q72" s="17">
        <v>0.0</v>
      </c>
      <c r="R72" s="17">
        <v>2000.0</v>
      </c>
      <c r="S72" s="15" t="s">
        <v>54</v>
      </c>
      <c r="T72" s="15">
        <v>20000.0</v>
      </c>
      <c r="U72" s="36"/>
    </row>
    <row r="73" hidden="1">
      <c r="A73" s="8"/>
      <c r="B73" s="18"/>
      <c r="C73" s="17"/>
      <c r="D73" s="17"/>
      <c r="E73" s="8" t="s">
        <v>120</v>
      </c>
      <c r="F73" s="8" t="s">
        <v>48</v>
      </c>
      <c r="G73" s="8" t="s">
        <v>49</v>
      </c>
      <c r="H73" s="14">
        <v>0.0</v>
      </c>
      <c r="I73" s="8"/>
      <c r="J73" s="8" t="s">
        <v>54</v>
      </c>
      <c r="K73" s="8" t="s">
        <v>54</v>
      </c>
      <c r="L73" s="20" t="s">
        <v>74</v>
      </c>
      <c r="M73" s="8" t="s">
        <v>54</v>
      </c>
      <c r="N73" s="20" t="s">
        <v>74</v>
      </c>
      <c r="O73" s="17"/>
      <c r="P73" s="17"/>
      <c r="Q73" s="17"/>
      <c r="R73" s="17"/>
      <c r="S73" s="15" t="s">
        <v>54</v>
      </c>
      <c r="T73" s="9" t="s">
        <v>364</v>
      </c>
    </row>
    <row r="74">
      <c r="A74" s="26" t="s">
        <v>56</v>
      </c>
      <c r="B74" s="30">
        <v>5.0</v>
      </c>
      <c r="C74" s="17">
        <v>11760.0</v>
      </c>
      <c r="D74" s="17">
        <v>12900.0</v>
      </c>
      <c r="E74" s="26" t="s">
        <v>48</v>
      </c>
      <c r="F74" s="26" t="s">
        <v>88</v>
      </c>
      <c r="G74" s="8" t="s">
        <v>49</v>
      </c>
      <c r="H74" s="14">
        <v>50.0</v>
      </c>
      <c r="I74" s="26" t="s">
        <v>53</v>
      </c>
      <c r="J74" s="8" t="s">
        <v>54</v>
      </c>
      <c r="K74" s="8" t="s">
        <v>54</v>
      </c>
      <c r="L74" s="8" t="s">
        <v>54</v>
      </c>
      <c r="M74" s="8" t="s">
        <v>54</v>
      </c>
      <c r="N74" s="8" t="s">
        <v>54</v>
      </c>
      <c r="O74" s="17">
        <v>0.0</v>
      </c>
      <c r="P74" s="17">
        <v>0.0</v>
      </c>
      <c r="Q74" s="17">
        <v>0.0</v>
      </c>
      <c r="R74" s="17">
        <v>0.0</v>
      </c>
      <c r="S74" s="15" t="s">
        <v>54</v>
      </c>
      <c r="T74" s="15">
        <v>30000.0</v>
      </c>
      <c r="U74" s="36"/>
    </row>
    <row r="75">
      <c r="A75" s="8" t="s">
        <v>133</v>
      </c>
      <c r="B75" s="9">
        <v>5.0</v>
      </c>
      <c r="C75" s="17">
        <v>4330.0</v>
      </c>
      <c r="D75" s="17">
        <v>6840.0</v>
      </c>
      <c r="E75" s="8" t="s">
        <v>88</v>
      </c>
      <c r="F75" s="8" t="s">
        <v>48</v>
      </c>
      <c r="G75" s="8" t="s">
        <v>49</v>
      </c>
      <c r="H75" s="14">
        <v>60.0</v>
      </c>
      <c r="I75" s="8" t="s">
        <v>73</v>
      </c>
      <c r="J75" s="8" t="s">
        <v>54</v>
      </c>
      <c r="K75" s="8" t="s">
        <v>54</v>
      </c>
      <c r="L75" s="11" t="s">
        <v>47</v>
      </c>
      <c r="M75" s="8" t="s">
        <v>54</v>
      </c>
      <c r="N75" s="11" t="s">
        <v>47</v>
      </c>
      <c r="O75" s="15">
        <v>16750.0</v>
      </c>
      <c r="P75" s="15">
        <v>40500.0</v>
      </c>
      <c r="Q75" s="15">
        <v>0.0</v>
      </c>
      <c r="R75" s="15">
        <v>3000.0</v>
      </c>
      <c r="S75" s="15" t="s">
        <v>54</v>
      </c>
      <c r="T75" s="15">
        <v>10000.0</v>
      </c>
    </row>
    <row r="76">
      <c r="A76" s="8" t="s">
        <v>133</v>
      </c>
      <c r="B76" s="28">
        <v>4.0</v>
      </c>
      <c r="C76" s="12">
        <v>0.0</v>
      </c>
      <c r="D76" s="12">
        <v>0.0</v>
      </c>
      <c r="E76" s="8" t="s">
        <v>48</v>
      </c>
      <c r="F76" s="8" t="s">
        <v>88</v>
      </c>
      <c r="G76" s="8" t="s">
        <v>49</v>
      </c>
      <c r="H76" s="14">
        <v>30.0</v>
      </c>
      <c r="I76" s="8" t="s">
        <v>73</v>
      </c>
      <c r="J76" s="8" t="s">
        <v>54</v>
      </c>
      <c r="K76" s="8" t="s">
        <v>54</v>
      </c>
      <c r="L76" s="8" t="s">
        <v>54</v>
      </c>
      <c r="M76" s="8" t="s">
        <v>54</v>
      </c>
      <c r="N76" s="8" t="s">
        <v>54</v>
      </c>
      <c r="O76" s="17">
        <v>0.0</v>
      </c>
      <c r="P76" s="17">
        <v>0.0</v>
      </c>
      <c r="Q76" s="17">
        <v>0.0</v>
      </c>
      <c r="R76" s="17">
        <v>0.0</v>
      </c>
      <c r="S76" s="15" t="s">
        <v>54</v>
      </c>
      <c r="T76" s="15">
        <v>60000.0</v>
      </c>
    </row>
    <row r="77">
      <c r="A77" s="8" t="s">
        <v>124</v>
      </c>
      <c r="B77" s="9">
        <v>2.0</v>
      </c>
      <c r="C77" s="17">
        <v>56317.0</v>
      </c>
      <c r="D77" s="17">
        <v>76677.0</v>
      </c>
      <c r="E77" s="8" t="s">
        <v>48</v>
      </c>
      <c r="F77" s="8" t="s">
        <v>48</v>
      </c>
      <c r="G77" s="8" t="s">
        <v>49</v>
      </c>
      <c r="H77" s="14">
        <v>90.0</v>
      </c>
      <c r="I77" s="8" t="s">
        <v>383</v>
      </c>
      <c r="J77" s="8" t="s">
        <v>54</v>
      </c>
      <c r="K77" s="8" t="s">
        <v>54</v>
      </c>
      <c r="L77" s="8" t="s">
        <v>54</v>
      </c>
      <c r="M77" s="8" t="s">
        <v>54</v>
      </c>
      <c r="N77" s="8" t="s">
        <v>54</v>
      </c>
      <c r="O77" s="15">
        <v>18488.0</v>
      </c>
      <c r="P77" s="15">
        <v>73950.0</v>
      </c>
      <c r="Q77" s="9">
        <v>0.0</v>
      </c>
      <c r="R77" s="15">
        <f>111000</f>
        <v>111000</v>
      </c>
      <c r="S77" s="15" t="s">
        <v>47</v>
      </c>
      <c r="T77" s="15">
        <v>200000.0</v>
      </c>
    </row>
    <row r="78">
      <c r="A78" s="8" t="s">
        <v>70</v>
      </c>
      <c r="B78" s="9">
        <v>5.0</v>
      </c>
      <c r="C78" s="17">
        <v>2845.0</v>
      </c>
      <c r="D78" s="17">
        <v>2845.0</v>
      </c>
      <c r="E78" s="8" t="s">
        <v>88</v>
      </c>
      <c r="F78" s="8" t="s">
        <v>88</v>
      </c>
      <c r="G78" s="8" t="s">
        <v>49</v>
      </c>
      <c r="H78" s="14">
        <v>90.0</v>
      </c>
      <c r="I78" s="8" t="s">
        <v>53</v>
      </c>
      <c r="J78" s="8" t="s">
        <v>54</v>
      </c>
      <c r="K78" s="8" t="s">
        <v>54</v>
      </c>
      <c r="L78" s="8" t="s">
        <v>54</v>
      </c>
      <c r="M78" s="8" t="s">
        <v>54</v>
      </c>
      <c r="N78" s="8" t="s">
        <v>54</v>
      </c>
      <c r="O78" s="15">
        <v>7425.0</v>
      </c>
      <c r="P78" s="15">
        <v>21150.0</v>
      </c>
      <c r="Q78" s="15">
        <v>2490.0</v>
      </c>
      <c r="R78" s="15">
        <f>11000+8425</f>
        <v>19425</v>
      </c>
      <c r="S78" s="15" t="s">
        <v>54</v>
      </c>
      <c r="T78" s="15">
        <v>50000.0</v>
      </c>
    </row>
    <row r="79">
      <c r="A79" s="8" t="s">
        <v>124</v>
      </c>
      <c r="B79" s="9">
        <v>2.0</v>
      </c>
      <c r="C79" s="17">
        <v>1670.0</v>
      </c>
      <c r="D79" s="17">
        <v>1670.0</v>
      </c>
      <c r="E79" s="8" t="s">
        <v>48</v>
      </c>
      <c r="F79" s="8" t="s">
        <v>88</v>
      </c>
      <c r="G79" s="8" t="s">
        <v>49</v>
      </c>
      <c r="H79" s="14">
        <v>55.0</v>
      </c>
      <c r="I79" s="8" t="s">
        <v>73</v>
      </c>
      <c r="J79" s="8" t="s">
        <v>54</v>
      </c>
      <c r="K79" s="8" t="s">
        <v>54</v>
      </c>
      <c r="L79" s="11" t="s">
        <v>47</v>
      </c>
      <c r="M79" s="8" t="s">
        <v>54</v>
      </c>
      <c r="N79" s="11" t="s">
        <v>47</v>
      </c>
      <c r="O79" s="15">
        <v>29575.0</v>
      </c>
      <c r="P79" s="15">
        <v>50700.0</v>
      </c>
      <c r="Q79" s="15">
        <v>618.0</v>
      </c>
      <c r="R79" s="15">
        <f>34575+21816</f>
        <v>56391</v>
      </c>
      <c r="S79" s="15" t="s">
        <v>54</v>
      </c>
      <c r="T79" s="15">
        <v>50000.0</v>
      </c>
    </row>
    <row r="80">
      <c r="A80" s="8" t="s">
        <v>133</v>
      </c>
      <c r="B80" s="9">
        <v>5.0</v>
      </c>
      <c r="C80" s="17">
        <v>1110.0</v>
      </c>
      <c r="D80" s="17">
        <v>1110.0</v>
      </c>
      <c r="E80" s="8" t="s">
        <v>48</v>
      </c>
      <c r="F80" s="8" t="s">
        <v>88</v>
      </c>
      <c r="G80" s="8" t="s">
        <v>61</v>
      </c>
      <c r="H80" s="46"/>
      <c r="I80" s="8" t="s">
        <v>73</v>
      </c>
      <c r="J80" s="8" t="s">
        <v>54</v>
      </c>
      <c r="K80" s="8" t="s">
        <v>54</v>
      </c>
      <c r="L80" s="8" t="s">
        <v>54</v>
      </c>
      <c r="M80" s="8" t="s">
        <v>54</v>
      </c>
      <c r="N80" s="8" t="s">
        <v>54</v>
      </c>
      <c r="O80" s="15">
        <v>10780.0</v>
      </c>
      <c r="P80" s="15">
        <v>19600.0</v>
      </c>
      <c r="Q80" s="9">
        <v>0.0</v>
      </c>
      <c r="R80" s="15">
        <v>35000.0</v>
      </c>
      <c r="S80" s="15" t="s">
        <v>54</v>
      </c>
      <c r="T80" s="15">
        <v>20000.0</v>
      </c>
    </row>
    <row r="81" hidden="1">
      <c r="A81" s="8"/>
      <c r="B81" s="18"/>
      <c r="C81" s="12"/>
      <c r="D81" s="12"/>
      <c r="E81" s="8" t="s">
        <v>48</v>
      </c>
      <c r="F81" s="8" t="s">
        <v>48</v>
      </c>
      <c r="G81" s="8" t="s">
        <v>49</v>
      </c>
      <c r="H81" s="14">
        <v>0.0</v>
      </c>
      <c r="I81" s="8"/>
      <c r="J81" s="8" t="s">
        <v>54</v>
      </c>
      <c r="K81" s="8" t="s">
        <v>54</v>
      </c>
      <c r="L81" s="8" t="s">
        <v>54</v>
      </c>
      <c r="M81" s="8" t="s">
        <v>54</v>
      </c>
      <c r="N81" s="8" t="s">
        <v>54</v>
      </c>
      <c r="O81" s="17"/>
      <c r="P81" s="17"/>
      <c r="Q81" s="17"/>
      <c r="R81" s="17"/>
      <c r="S81" s="15" t="s">
        <v>54</v>
      </c>
      <c r="T81" s="9" t="s">
        <v>396</v>
      </c>
    </row>
    <row r="82">
      <c r="A82" s="8" t="s">
        <v>124</v>
      </c>
      <c r="B82" s="9">
        <v>2.0</v>
      </c>
      <c r="C82" s="17">
        <v>5390.0</v>
      </c>
      <c r="D82" s="17">
        <v>5390.0</v>
      </c>
      <c r="E82" s="8" t="s">
        <v>48</v>
      </c>
      <c r="F82" s="8" t="s">
        <v>48</v>
      </c>
      <c r="G82" s="8" t="s">
        <v>49</v>
      </c>
      <c r="H82" s="14">
        <v>50.0</v>
      </c>
      <c r="I82" s="8" t="s">
        <v>73</v>
      </c>
      <c r="J82" s="8" t="s">
        <v>54</v>
      </c>
      <c r="K82" s="8" t="s">
        <v>54</v>
      </c>
      <c r="L82" s="8" t="s">
        <v>54</v>
      </c>
      <c r="M82" s="8" t="s">
        <v>54</v>
      </c>
      <c r="N82" s="8" t="s">
        <v>54</v>
      </c>
      <c r="O82" s="17">
        <v>1105.0</v>
      </c>
      <c r="P82" s="17">
        <v>11050.0</v>
      </c>
      <c r="Q82" s="17">
        <v>0.0</v>
      </c>
      <c r="R82" s="17">
        <v>0.0</v>
      </c>
      <c r="S82" s="15" t="s">
        <v>54</v>
      </c>
      <c r="T82" s="15">
        <v>100000.0</v>
      </c>
    </row>
    <row r="83">
      <c r="A83" s="25" t="s">
        <v>70</v>
      </c>
      <c r="B83" s="9">
        <v>3.0</v>
      </c>
      <c r="C83" s="17">
        <v>124091.0</v>
      </c>
      <c r="D83" s="17">
        <v>124091.0</v>
      </c>
      <c r="E83" s="26" t="s">
        <v>48</v>
      </c>
      <c r="F83" s="26" t="s">
        <v>48</v>
      </c>
      <c r="G83" s="8" t="s">
        <v>49</v>
      </c>
      <c r="H83" s="14">
        <v>90.0</v>
      </c>
      <c r="I83" s="25" t="s">
        <v>53</v>
      </c>
      <c r="J83" s="8" t="s">
        <v>54</v>
      </c>
      <c r="K83" s="8" t="s">
        <v>54</v>
      </c>
      <c r="L83" s="8" t="s">
        <v>54</v>
      </c>
      <c r="M83" s="8" t="s">
        <v>54</v>
      </c>
      <c r="N83" s="8" t="s">
        <v>54</v>
      </c>
      <c r="O83" s="17">
        <v>4622.0</v>
      </c>
      <c r="P83" s="17">
        <v>18490.0</v>
      </c>
      <c r="Q83" s="17">
        <v>0.0</v>
      </c>
      <c r="R83" s="17">
        <v>92655.0</v>
      </c>
      <c r="S83" s="15" t="s">
        <v>47</v>
      </c>
      <c r="T83" s="15">
        <v>50000.0</v>
      </c>
      <c r="U83" s="36"/>
    </row>
    <row r="84">
      <c r="A84" s="8" t="s">
        <v>46</v>
      </c>
      <c r="B84" s="9">
        <v>3.0</v>
      </c>
      <c r="C84" s="17">
        <v>1460.0</v>
      </c>
      <c r="D84" s="17">
        <v>144549.0</v>
      </c>
      <c r="E84" s="8" t="s">
        <v>48</v>
      </c>
      <c r="F84" s="8" t="s">
        <v>88</v>
      </c>
      <c r="G84" s="8" t="s">
        <v>49</v>
      </c>
      <c r="H84" s="14">
        <v>50.0</v>
      </c>
      <c r="I84" s="8" t="s">
        <v>53</v>
      </c>
      <c r="J84" s="8" t="s">
        <v>54</v>
      </c>
      <c r="K84" s="8" t="s">
        <v>54</v>
      </c>
      <c r="L84" s="11" t="s">
        <v>47</v>
      </c>
      <c r="M84" s="8" t="s">
        <v>54</v>
      </c>
      <c r="N84" s="8" t="s">
        <v>54</v>
      </c>
      <c r="O84" s="17">
        <v>0.0</v>
      </c>
      <c r="P84" s="17">
        <v>0.0</v>
      </c>
      <c r="Q84" s="17">
        <v>0.0</v>
      </c>
      <c r="R84" s="17">
        <v>24000.0</v>
      </c>
      <c r="S84" s="15" t="s">
        <v>54</v>
      </c>
      <c r="T84" s="15">
        <v>100000.0</v>
      </c>
    </row>
    <row r="85">
      <c r="A85" s="8" t="s">
        <v>56</v>
      </c>
      <c r="B85" s="9">
        <v>5.0</v>
      </c>
      <c r="C85" s="12">
        <v>930.0</v>
      </c>
      <c r="D85" s="12">
        <v>930.0</v>
      </c>
      <c r="E85" s="8" t="s">
        <v>48</v>
      </c>
      <c r="F85" s="8" t="s">
        <v>48</v>
      </c>
      <c r="G85" s="8" t="s">
        <v>49</v>
      </c>
      <c r="H85" s="14">
        <v>10.0</v>
      </c>
      <c r="I85" s="8" t="s">
        <v>53</v>
      </c>
      <c r="J85" s="8" t="s">
        <v>54</v>
      </c>
      <c r="K85" s="8" t="s">
        <v>54</v>
      </c>
      <c r="L85" s="8" t="s">
        <v>54</v>
      </c>
      <c r="M85" s="8" t="s">
        <v>54</v>
      </c>
      <c r="N85" s="8" t="s">
        <v>54</v>
      </c>
      <c r="O85" s="17">
        <v>75461.0</v>
      </c>
      <c r="P85" s="17">
        <v>135570.0</v>
      </c>
      <c r="Q85" s="17">
        <v>0.0</v>
      </c>
      <c r="R85" s="17">
        <v>0.0</v>
      </c>
      <c r="S85" s="15" t="s">
        <v>54</v>
      </c>
      <c r="T85" s="15">
        <v>30000.0</v>
      </c>
    </row>
    <row r="86">
      <c r="A86" s="8" t="s">
        <v>73</v>
      </c>
      <c r="B86" s="9">
        <v>2.0</v>
      </c>
      <c r="C86" s="17">
        <v>189041.0</v>
      </c>
      <c r="D86" s="17">
        <v>189041.0</v>
      </c>
      <c r="E86" s="8" t="s">
        <v>88</v>
      </c>
      <c r="F86" s="8" t="s">
        <v>48</v>
      </c>
      <c r="G86" s="8" t="s">
        <v>49</v>
      </c>
      <c r="H86" s="14">
        <v>120.0</v>
      </c>
      <c r="I86" s="8" t="s">
        <v>53</v>
      </c>
      <c r="J86" s="8" t="s">
        <v>54</v>
      </c>
      <c r="K86" s="8" t="s">
        <v>54</v>
      </c>
      <c r="L86" s="8" t="s">
        <v>54</v>
      </c>
      <c r="M86" s="8" t="s">
        <v>54</v>
      </c>
      <c r="N86" s="8" t="s">
        <v>54</v>
      </c>
      <c r="O86" s="15">
        <v>0.0</v>
      </c>
      <c r="P86" s="9">
        <v>0.0</v>
      </c>
      <c r="Q86" s="9">
        <v>0.0</v>
      </c>
      <c r="R86" s="15">
        <v>140558.0</v>
      </c>
      <c r="S86" s="15" t="s">
        <v>47</v>
      </c>
      <c r="T86" s="15">
        <v>150000.0</v>
      </c>
    </row>
    <row r="87">
      <c r="A87" s="8" t="s">
        <v>73</v>
      </c>
      <c r="B87" s="9">
        <v>3.0</v>
      </c>
      <c r="C87" s="17">
        <v>249611.0</v>
      </c>
      <c r="D87" s="17">
        <v>249611.0</v>
      </c>
      <c r="E87" s="8" t="s">
        <v>48</v>
      </c>
      <c r="F87" s="8" t="s">
        <v>48</v>
      </c>
      <c r="G87" s="8" t="s">
        <v>49</v>
      </c>
      <c r="H87" s="14">
        <v>60.0</v>
      </c>
      <c r="I87" s="8" t="s">
        <v>344</v>
      </c>
      <c r="J87" s="8" t="s">
        <v>54</v>
      </c>
      <c r="K87" s="8" t="s">
        <v>54</v>
      </c>
      <c r="L87" s="8" t="s">
        <v>54</v>
      </c>
      <c r="M87" s="8" t="s">
        <v>54</v>
      </c>
      <c r="N87" s="8" t="s">
        <v>54</v>
      </c>
      <c r="O87" s="15">
        <v>0.0</v>
      </c>
      <c r="P87" s="15">
        <v>0.0</v>
      </c>
      <c r="Q87" s="15">
        <f>14000+36000</f>
        <v>50000</v>
      </c>
      <c r="R87" s="15">
        <v>155000.0</v>
      </c>
      <c r="S87" s="15" t="s">
        <v>47</v>
      </c>
      <c r="T87" s="15">
        <v>250000.0</v>
      </c>
    </row>
    <row r="88">
      <c r="A88" s="8"/>
      <c r="B88" s="18"/>
      <c r="C88" s="12"/>
      <c r="D88" s="12"/>
      <c r="G88" s="8" t="s">
        <v>49</v>
      </c>
      <c r="H88" s="14">
        <v>0.0</v>
      </c>
      <c r="J88" s="8" t="s">
        <v>54</v>
      </c>
      <c r="K88" s="8" t="s">
        <v>54</v>
      </c>
      <c r="L88" s="8" t="s">
        <v>54</v>
      </c>
      <c r="M88" s="8" t="s">
        <v>54</v>
      </c>
      <c r="N88" s="8" t="s">
        <v>54</v>
      </c>
      <c r="O88" s="17"/>
      <c r="P88" s="17"/>
      <c r="Q88" s="17"/>
      <c r="R88" s="17"/>
      <c r="S88" s="18"/>
      <c r="T88" s="18"/>
    </row>
    <row r="89">
      <c r="A89" s="8" t="s">
        <v>124</v>
      </c>
      <c r="B89" s="9">
        <v>3.0</v>
      </c>
      <c r="C89" s="17">
        <v>66107.0</v>
      </c>
      <c r="D89" s="17">
        <v>66107.0</v>
      </c>
      <c r="E89" s="8" t="s">
        <v>48</v>
      </c>
      <c r="F89" s="8" t="s">
        <v>48</v>
      </c>
      <c r="G89" s="8" t="s">
        <v>49</v>
      </c>
      <c r="H89" s="14">
        <v>90.0</v>
      </c>
      <c r="I89" s="8" t="s">
        <v>56</v>
      </c>
      <c r="J89" s="8" t="s">
        <v>54</v>
      </c>
      <c r="K89" s="8" t="s">
        <v>54</v>
      </c>
      <c r="L89" s="8" t="s">
        <v>54</v>
      </c>
      <c r="M89" s="8" t="s">
        <v>54</v>
      </c>
      <c r="N89" s="8" t="s">
        <v>54</v>
      </c>
      <c r="O89" s="15">
        <v>2450.0</v>
      </c>
      <c r="P89" s="15">
        <v>5300.0</v>
      </c>
      <c r="Q89" s="15">
        <f>78200+12115</f>
        <v>90315</v>
      </c>
      <c r="R89" s="15">
        <f>304374+10602</f>
        <v>314976</v>
      </c>
      <c r="S89" s="15" t="s">
        <v>47</v>
      </c>
      <c r="T89" s="15">
        <v>120000.0</v>
      </c>
    </row>
    <row r="90" hidden="1">
      <c r="A90" s="8"/>
      <c r="B90" s="9"/>
      <c r="C90" s="12"/>
      <c r="D90" s="12"/>
      <c r="E90" s="8" t="s">
        <v>88</v>
      </c>
      <c r="F90" s="8" t="s">
        <v>48</v>
      </c>
      <c r="G90" s="8" t="s">
        <v>49</v>
      </c>
      <c r="H90" s="14">
        <v>0.0</v>
      </c>
      <c r="I90" s="8"/>
      <c r="J90" s="8" t="s">
        <v>54</v>
      </c>
      <c r="K90" s="8" t="s">
        <v>54</v>
      </c>
      <c r="L90" s="20" t="s">
        <v>74</v>
      </c>
      <c r="M90" s="8" t="s">
        <v>54</v>
      </c>
      <c r="N90" s="8" t="s">
        <v>54</v>
      </c>
      <c r="O90" s="17"/>
      <c r="P90" s="17"/>
      <c r="Q90" s="17"/>
      <c r="R90" s="17"/>
      <c r="S90" s="18"/>
      <c r="T90" s="15">
        <v>20000.0</v>
      </c>
    </row>
    <row r="91">
      <c r="A91" s="8" t="s">
        <v>46</v>
      </c>
      <c r="B91" s="9">
        <v>3.0</v>
      </c>
      <c r="C91" s="17">
        <v>230762.0</v>
      </c>
      <c r="D91" s="17">
        <v>230762.0</v>
      </c>
      <c r="E91" s="8" t="s">
        <v>88</v>
      </c>
      <c r="F91" s="8" t="s">
        <v>48</v>
      </c>
      <c r="G91" s="8" t="s">
        <v>49</v>
      </c>
      <c r="H91" s="14">
        <v>60.0</v>
      </c>
      <c r="I91" s="8" t="s">
        <v>56</v>
      </c>
      <c r="J91" s="8" t="s">
        <v>54</v>
      </c>
      <c r="K91" s="8" t="s">
        <v>54</v>
      </c>
      <c r="L91" s="8" t="s">
        <v>54</v>
      </c>
      <c r="M91" s="8" t="s">
        <v>54</v>
      </c>
      <c r="N91" s="8" t="s">
        <v>54</v>
      </c>
      <c r="O91" s="17">
        <v>28397.0</v>
      </c>
      <c r="P91" s="17">
        <v>28397.0</v>
      </c>
      <c r="Q91" s="17">
        <f>96126+ 12000</f>
        <v>108126</v>
      </c>
      <c r="R91" s="17">
        <f>159567+0</f>
        <v>159567</v>
      </c>
      <c r="S91" s="15" t="s">
        <v>47</v>
      </c>
      <c r="T91" s="15">
        <v>60000.0</v>
      </c>
    </row>
    <row r="92">
      <c r="A92" s="8" t="s">
        <v>133</v>
      </c>
      <c r="B92" s="9">
        <v>3.0</v>
      </c>
      <c r="C92" s="17">
        <v>104603.0</v>
      </c>
      <c r="D92" s="17">
        <v>104603.0</v>
      </c>
      <c r="E92" s="8" t="s">
        <v>88</v>
      </c>
      <c r="F92" s="8" t="s">
        <v>88</v>
      </c>
      <c r="G92" s="8" t="s">
        <v>49</v>
      </c>
      <c r="H92" s="14">
        <v>50.0</v>
      </c>
      <c r="I92" s="8" t="s">
        <v>73</v>
      </c>
      <c r="J92" s="8" t="s">
        <v>54</v>
      </c>
      <c r="K92" s="8" t="s">
        <v>54</v>
      </c>
      <c r="L92" s="11" t="s">
        <v>47</v>
      </c>
      <c r="M92" s="8" t="s">
        <v>54</v>
      </c>
      <c r="N92" s="11" t="s">
        <v>47</v>
      </c>
      <c r="O92" s="17">
        <v>18798.0</v>
      </c>
      <c r="P92" s="17">
        <v>29250.0</v>
      </c>
      <c r="Q92" s="17">
        <f>2620+166000</f>
        <v>168620</v>
      </c>
      <c r="R92" s="17">
        <v>0.0</v>
      </c>
      <c r="S92" s="15" t="s">
        <v>47</v>
      </c>
      <c r="T92" s="15">
        <v>100000.0</v>
      </c>
    </row>
    <row r="93">
      <c r="A93" s="8" t="s">
        <v>73</v>
      </c>
      <c r="B93" s="9">
        <v>2.0</v>
      </c>
      <c r="C93" s="17">
        <v>421064.0</v>
      </c>
      <c r="D93" s="17">
        <v>421424.0</v>
      </c>
      <c r="E93" s="8" t="s">
        <v>48</v>
      </c>
      <c r="F93" s="8" t="s">
        <v>88</v>
      </c>
      <c r="G93" s="8" t="s">
        <v>49</v>
      </c>
      <c r="H93" s="14">
        <v>90.0</v>
      </c>
      <c r="I93" s="8" t="s">
        <v>73</v>
      </c>
      <c r="J93" s="8" t="s">
        <v>54</v>
      </c>
      <c r="K93" s="8" t="s">
        <v>54</v>
      </c>
      <c r="L93" s="8" t="s">
        <v>54</v>
      </c>
      <c r="M93" s="8" t="s">
        <v>54</v>
      </c>
      <c r="N93" s="8" t="s">
        <v>54</v>
      </c>
      <c r="O93" s="15">
        <v>2900.0</v>
      </c>
      <c r="P93" s="15">
        <v>11600.0</v>
      </c>
      <c r="Q93" s="15">
        <f>8000+216000</f>
        <v>224000</v>
      </c>
      <c r="R93" s="15">
        <v>0.0</v>
      </c>
      <c r="S93" s="15" t="s">
        <v>54</v>
      </c>
      <c r="T93" s="15">
        <v>300000.0</v>
      </c>
    </row>
    <row r="94">
      <c r="A94" s="8" t="s">
        <v>70</v>
      </c>
      <c r="B94" s="9">
        <v>3.0</v>
      </c>
      <c r="C94" s="17">
        <v>101960.0</v>
      </c>
      <c r="D94" s="17">
        <v>102000.0</v>
      </c>
      <c r="E94" s="8" t="s">
        <v>48</v>
      </c>
      <c r="F94" s="8" t="s">
        <v>48</v>
      </c>
      <c r="G94" s="8" t="s">
        <v>49</v>
      </c>
      <c r="H94" s="14">
        <v>20.0</v>
      </c>
      <c r="I94" s="8" t="s">
        <v>73</v>
      </c>
      <c r="J94" s="8" t="s">
        <v>54</v>
      </c>
      <c r="K94" s="8" t="s">
        <v>54</v>
      </c>
      <c r="L94" s="8" t="s">
        <v>54</v>
      </c>
      <c r="M94" s="8" t="s">
        <v>54</v>
      </c>
      <c r="N94" s="8" t="s">
        <v>54</v>
      </c>
      <c r="O94" s="17">
        <v>0.0</v>
      </c>
      <c r="P94" s="17">
        <v>0.0</v>
      </c>
      <c r="Q94" s="17">
        <v>90000.0</v>
      </c>
      <c r="R94" s="17">
        <v>195000.0</v>
      </c>
      <c r="S94" s="15" t="s">
        <v>47</v>
      </c>
      <c r="T94" s="15">
        <v>150000.0</v>
      </c>
    </row>
    <row r="95">
      <c r="A95" s="8" t="s">
        <v>70</v>
      </c>
      <c r="B95" s="9">
        <v>3.0</v>
      </c>
      <c r="C95" s="17">
        <v>79394.0</v>
      </c>
      <c r="D95" s="17">
        <v>79394.0</v>
      </c>
      <c r="E95" s="8" t="s">
        <v>48</v>
      </c>
      <c r="F95" s="8" t="s">
        <v>48</v>
      </c>
      <c r="G95" s="8" t="s">
        <v>49</v>
      </c>
      <c r="H95" s="14">
        <v>90.0</v>
      </c>
      <c r="I95" s="8" t="s">
        <v>56</v>
      </c>
      <c r="J95" s="8" t="s">
        <v>54</v>
      </c>
      <c r="K95" s="8" t="s">
        <v>54</v>
      </c>
      <c r="L95" s="8" t="s">
        <v>54</v>
      </c>
      <c r="M95" s="8" t="s">
        <v>54</v>
      </c>
      <c r="N95" s="8" t="s">
        <v>54</v>
      </c>
      <c r="O95" s="17">
        <v>0.0</v>
      </c>
      <c r="P95" s="17">
        <v>0.0</v>
      </c>
      <c r="Q95" s="17">
        <v>79200.0</v>
      </c>
      <c r="R95" s="17">
        <v>3000.0</v>
      </c>
      <c r="S95" s="15" t="s">
        <v>47</v>
      </c>
      <c r="T95" s="15">
        <v>150000.0</v>
      </c>
    </row>
    <row r="96">
      <c r="A96" s="8"/>
      <c r="B96" s="9"/>
      <c r="C96" s="12"/>
      <c r="D96" s="12"/>
      <c r="E96" s="8" t="s">
        <v>48</v>
      </c>
      <c r="F96" s="8" t="s">
        <v>48</v>
      </c>
      <c r="G96" s="8" t="s">
        <v>61</v>
      </c>
      <c r="H96" s="14">
        <v>0.0</v>
      </c>
      <c r="I96" s="8"/>
      <c r="J96" s="8" t="s">
        <v>54</v>
      </c>
      <c r="K96" s="8" t="s">
        <v>54</v>
      </c>
      <c r="L96" s="8" t="s">
        <v>54</v>
      </c>
      <c r="M96" s="8" t="s">
        <v>54</v>
      </c>
      <c r="N96" s="8" t="s">
        <v>54</v>
      </c>
      <c r="O96" s="17"/>
      <c r="P96" s="17"/>
      <c r="Q96" s="17"/>
      <c r="R96" s="17"/>
      <c r="S96" s="18"/>
      <c r="T96" s="9" t="s">
        <v>396</v>
      </c>
    </row>
    <row r="97">
      <c r="A97" s="8" t="s">
        <v>124</v>
      </c>
      <c r="B97" s="9">
        <v>3.0</v>
      </c>
      <c r="C97" s="17">
        <v>66288.0</v>
      </c>
      <c r="D97" s="17">
        <v>66288.0</v>
      </c>
      <c r="E97" s="8" t="s">
        <v>48</v>
      </c>
      <c r="F97" s="8" t="s">
        <v>48</v>
      </c>
      <c r="G97" s="8" t="s">
        <v>49</v>
      </c>
      <c r="H97" s="14">
        <v>90.0</v>
      </c>
      <c r="I97" s="8" t="s">
        <v>56</v>
      </c>
      <c r="J97" s="8" t="s">
        <v>54</v>
      </c>
      <c r="K97" s="8" t="s">
        <v>54</v>
      </c>
      <c r="L97" s="8" t="s">
        <v>54</v>
      </c>
      <c r="M97" s="8" t="s">
        <v>54</v>
      </c>
      <c r="N97" s="8" t="s">
        <v>54</v>
      </c>
      <c r="O97" s="15">
        <v>21525.0</v>
      </c>
      <c r="P97" s="15">
        <v>46500.0</v>
      </c>
      <c r="Q97" s="15">
        <v>66000.0</v>
      </c>
      <c r="R97" s="15">
        <v>242455.0</v>
      </c>
      <c r="S97" s="15" t="s">
        <v>47</v>
      </c>
      <c r="T97" s="15">
        <v>250000.0</v>
      </c>
    </row>
    <row r="98" hidden="1">
      <c r="A98" s="8"/>
      <c r="B98" s="9"/>
      <c r="C98" s="12"/>
      <c r="D98" s="12"/>
      <c r="H98" s="14">
        <v>0.0</v>
      </c>
      <c r="J98" s="8" t="s">
        <v>54</v>
      </c>
      <c r="K98" s="8" t="s">
        <v>54</v>
      </c>
      <c r="L98" s="8" t="s">
        <v>54</v>
      </c>
      <c r="M98" s="8" t="s">
        <v>54</v>
      </c>
      <c r="N98" s="8" t="s">
        <v>54</v>
      </c>
      <c r="O98" s="17"/>
      <c r="P98" s="17"/>
      <c r="Q98" s="17"/>
      <c r="R98" s="17"/>
      <c r="S98" s="18"/>
      <c r="T98" s="18"/>
    </row>
    <row r="99" hidden="1">
      <c r="A99" s="8"/>
      <c r="B99" s="9"/>
      <c r="C99" s="12"/>
      <c r="D99" s="12"/>
      <c r="E99" s="8" t="s">
        <v>48</v>
      </c>
      <c r="F99" s="8" t="s">
        <v>48</v>
      </c>
      <c r="G99" s="8" t="s">
        <v>61</v>
      </c>
      <c r="H99" s="14">
        <v>0.0</v>
      </c>
      <c r="I99" s="11"/>
      <c r="J99" s="8" t="s">
        <v>54</v>
      </c>
      <c r="K99" s="8" t="s">
        <v>54</v>
      </c>
      <c r="L99" s="8" t="s">
        <v>54</v>
      </c>
      <c r="M99" s="8" t="s">
        <v>54</v>
      </c>
      <c r="N99" s="8" t="s">
        <v>54</v>
      </c>
      <c r="O99" s="17"/>
      <c r="P99" s="17"/>
      <c r="Q99" s="17"/>
      <c r="R99" s="17"/>
      <c r="S99" s="18"/>
      <c r="T99" s="9" t="s">
        <v>396</v>
      </c>
    </row>
    <row r="100" hidden="1">
      <c r="B100" s="9"/>
      <c r="C100" s="12"/>
      <c r="D100" s="12"/>
      <c r="E100" s="8" t="s">
        <v>48</v>
      </c>
      <c r="F100" s="8" t="s">
        <v>88</v>
      </c>
      <c r="H100" s="14">
        <v>0.0</v>
      </c>
      <c r="I100" s="8"/>
      <c r="J100" s="8" t="s">
        <v>54</v>
      </c>
      <c r="K100" s="8" t="s">
        <v>54</v>
      </c>
      <c r="L100" s="8" t="s">
        <v>54</v>
      </c>
      <c r="M100" s="8" t="s">
        <v>54</v>
      </c>
      <c r="N100" s="8" t="s">
        <v>54</v>
      </c>
      <c r="O100" s="17"/>
      <c r="P100" s="17"/>
      <c r="Q100" s="17"/>
      <c r="R100" s="17"/>
      <c r="S100" s="18"/>
      <c r="T100" s="18"/>
    </row>
    <row r="101" hidden="1">
      <c r="A101" s="35"/>
      <c r="B101" s="9"/>
      <c r="C101" s="12"/>
      <c r="D101" s="12"/>
      <c r="E101" s="36"/>
      <c r="F101" s="36"/>
      <c r="G101" s="36"/>
      <c r="H101" s="14">
        <v>0.0</v>
      </c>
      <c r="I101" s="36"/>
      <c r="J101" s="8" t="s">
        <v>54</v>
      </c>
      <c r="K101" s="8" t="s">
        <v>54</v>
      </c>
      <c r="L101" s="8" t="s">
        <v>54</v>
      </c>
      <c r="M101" s="8" t="s">
        <v>54</v>
      </c>
      <c r="N101" s="8" t="s">
        <v>54</v>
      </c>
      <c r="O101" s="17"/>
      <c r="P101" s="17"/>
      <c r="Q101" s="17"/>
      <c r="R101" s="17"/>
      <c r="S101" s="32"/>
      <c r="T101" s="32"/>
      <c r="U101" s="36"/>
    </row>
    <row r="102" hidden="1">
      <c r="A102" s="35"/>
      <c r="B102" s="9"/>
      <c r="C102" s="12"/>
      <c r="D102" s="12"/>
      <c r="E102" s="36"/>
      <c r="F102" s="36"/>
      <c r="G102" s="36"/>
      <c r="H102" s="14">
        <v>0.0</v>
      </c>
      <c r="I102" s="36"/>
      <c r="J102" s="8" t="s">
        <v>54</v>
      </c>
      <c r="K102" s="8" t="s">
        <v>54</v>
      </c>
      <c r="L102" s="8" t="s">
        <v>54</v>
      </c>
      <c r="M102" s="8" t="s">
        <v>54</v>
      </c>
      <c r="N102" s="8" t="s">
        <v>54</v>
      </c>
      <c r="O102" s="17"/>
      <c r="P102" s="17"/>
      <c r="Q102" s="17"/>
      <c r="R102" s="17"/>
      <c r="S102" s="32"/>
      <c r="T102" s="32"/>
      <c r="U102" s="36"/>
    </row>
    <row r="103" hidden="1">
      <c r="A103" s="35"/>
      <c r="B103" s="9"/>
      <c r="C103" s="12"/>
      <c r="D103" s="12"/>
      <c r="E103" s="36"/>
      <c r="F103" s="36"/>
      <c r="G103" s="36"/>
      <c r="H103" s="14">
        <v>0.0</v>
      </c>
      <c r="I103" s="36"/>
      <c r="J103" s="8" t="s">
        <v>54</v>
      </c>
      <c r="K103" s="8" t="s">
        <v>54</v>
      </c>
      <c r="L103" s="8" t="s">
        <v>54</v>
      </c>
      <c r="M103" s="8" t="s">
        <v>54</v>
      </c>
      <c r="N103" s="8" t="s">
        <v>54</v>
      </c>
      <c r="O103" s="17"/>
      <c r="P103" s="17"/>
      <c r="Q103" s="17"/>
      <c r="R103" s="17"/>
      <c r="S103" s="32"/>
      <c r="T103" s="32"/>
      <c r="U103" s="36"/>
    </row>
    <row r="104" hidden="1">
      <c r="A104" s="35"/>
      <c r="B104" s="9"/>
      <c r="C104" s="12"/>
      <c r="D104" s="12"/>
      <c r="E104" s="36"/>
      <c r="F104" s="36"/>
      <c r="G104" s="36"/>
      <c r="H104" s="14">
        <v>0.0</v>
      </c>
      <c r="I104" s="36"/>
      <c r="J104" s="8" t="s">
        <v>54</v>
      </c>
      <c r="K104" s="8" t="s">
        <v>54</v>
      </c>
      <c r="L104" s="8" t="s">
        <v>54</v>
      </c>
      <c r="M104" s="8" t="s">
        <v>54</v>
      </c>
      <c r="N104" s="8" t="s">
        <v>54</v>
      </c>
      <c r="O104" s="17"/>
      <c r="P104" s="17"/>
      <c r="Q104" s="17"/>
      <c r="R104" s="17"/>
      <c r="S104" s="32"/>
      <c r="T104" s="32"/>
      <c r="U104" s="36"/>
    </row>
    <row r="105">
      <c r="A105" s="8" t="s">
        <v>133</v>
      </c>
      <c r="B105" s="9">
        <v>3.0</v>
      </c>
      <c r="C105" s="17">
        <v>189022.0</v>
      </c>
      <c r="D105" s="17">
        <v>189022.0</v>
      </c>
      <c r="E105" s="8" t="s">
        <v>88</v>
      </c>
      <c r="F105" s="8" t="s">
        <v>88</v>
      </c>
      <c r="G105" s="8" t="s">
        <v>49</v>
      </c>
      <c r="H105" s="14">
        <v>90.0</v>
      </c>
      <c r="I105" s="8" t="s">
        <v>73</v>
      </c>
      <c r="J105" s="8" t="s">
        <v>54</v>
      </c>
      <c r="K105" s="8" t="s">
        <v>54</v>
      </c>
      <c r="L105" s="8" t="s">
        <v>54</v>
      </c>
      <c r="M105" s="8" t="s">
        <v>54</v>
      </c>
      <c r="N105" s="8" t="s">
        <v>54</v>
      </c>
      <c r="O105" s="15">
        <v>32906.0</v>
      </c>
      <c r="P105" s="15">
        <v>33950.0</v>
      </c>
      <c r="Q105" s="15">
        <v>0.0</v>
      </c>
      <c r="R105" s="15">
        <v>9000.0</v>
      </c>
      <c r="S105" s="15" t="s">
        <v>47</v>
      </c>
      <c r="T105" s="15">
        <v>50000.0</v>
      </c>
    </row>
    <row r="106">
      <c r="A106" s="8" t="s">
        <v>70</v>
      </c>
      <c r="B106" s="9">
        <v>3.0</v>
      </c>
      <c r="C106" s="17">
        <v>94313.0</v>
      </c>
      <c r="D106" s="17">
        <v>95183.0</v>
      </c>
      <c r="E106" s="8" t="s">
        <v>48</v>
      </c>
      <c r="F106" s="8" t="s">
        <v>48</v>
      </c>
      <c r="G106" s="8" t="s">
        <v>49</v>
      </c>
      <c r="H106" s="14">
        <v>40.0</v>
      </c>
      <c r="I106" s="8" t="s">
        <v>73</v>
      </c>
      <c r="J106" s="8" t="s">
        <v>54</v>
      </c>
      <c r="K106" s="8" t="s">
        <v>54</v>
      </c>
      <c r="L106" s="8" t="s">
        <v>54</v>
      </c>
      <c r="M106" s="8" t="s">
        <v>54</v>
      </c>
      <c r="N106" s="8" t="s">
        <v>54</v>
      </c>
      <c r="O106" s="17">
        <v>0.0</v>
      </c>
      <c r="P106" s="17">
        <v>0.0</v>
      </c>
      <c r="Q106" s="17">
        <f>2700+165000</f>
        <v>167700</v>
      </c>
      <c r="R106" s="17">
        <v>3000.0</v>
      </c>
      <c r="S106" s="15" t="s">
        <v>47</v>
      </c>
      <c r="T106" s="15">
        <v>90000.0</v>
      </c>
    </row>
    <row r="107">
      <c r="A107" s="8" t="s">
        <v>133</v>
      </c>
      <c r="B107" s="9">
        <v>5.0</v>
      </c>
      <c r="C107" s="17">
        <v>39162.0</v>
      </c>
      <c r="D107" s="17">
        <v>66362.0</v>
      </c>
      <c r="E107" s="8" t="s">
        <v>48</v>
      </c>
      <c r="F107" s="8" t="s">
        <v>48</v>
      </c>
      <c r="G107" s="8" t="s">
        <v>49</v>
      </c>
      <c r="H107" s="14">
        <v>350.0</v>
      </c>
      <c r="I107" s="8" t="s">
        <v>73</v>
      </c>
      <c r="J107" s="11" t="s">
        <v>47</v>
      </c>
      <c r="K107" s="8" t="s">
        <v>54</v>
      </c>
      <c r="L107" s="8" t="s">
        <v>54</v>
      </c>
      <c r="M107" s="8" t="s">
        <v>54</v>
      </c>
      <c r="N107" s="8" t="s">
        <v>54</v>
      </c>
      <c r="O107" s="15">
        <v>14000.0</v>
      </c>
      <c r="P107" s="15">
        <v>14000.0</v>
      </c>
      <c r="Q107" s="15">
        <v>6920.0</v>
      </c>
      <c r="R107" s="15">
        <v>105561.0</v>
      </c>
      <c r="S107" s="15" t="s">
        <v>54</v>
      </c>
      <c r="T107" s="15">
        <v>60000.0</v>
      </c>
    </row>
    <row r="108">
      <c r="A108" s="8" t="s">
        <v>56</v>
      </c>
      <c r="B108" s="9">
        <v>3.0</v>
      </c>
      <c r="C108" s="17">
        <v>69657.0</v>
      </c>
      <c r="D108" s="17">
        <v>69657.0</v>
      </c>
      <c r="E108" s="8" t="s">
        <v>48</v>
      </c>
      <c r="F108" s="8" t="s">
        <v>48</v>
      </c>
      <c r="G108" s="8" t="s">
        <v>49</v>
      </c>
      <c r="H108" s="14">
        <v>30.0</v>
      </c>
      <c r="I108" s="8" t="s">
        <v>73</v>
      </c>
      <c r="J108" s="11" t="s">
        <v>47</v>
      </c>
      <c r="K108" s="8" t="s">
        <v>54</v>
      </c>
      <c r="L108" s="11" t="s">
        <v>47</v>
      </c>
      <c r="M108" s="8" t="s">
        <v>54</v>
      </c>
      <c r="N108" s="11" t="s">
        <v>47</v>
      </c>
      <c r="O108" s="15">
        <v>18655.0</v>
      </c>
      <c r="P108" s="15">
        <v>18655.0</v>
      </c>
      <c r="Q108" s="15">
        <f>66000+28635</f>
        <v>94635</v>
      </c>
      <c r="R108" s="15">
        <f>333658+6980</f>
        <v>340638</v>
      </c>
      <c r="S108" s="15" t="s">
        <v>47</v>
      </c>
      <c r="T108" s="15">
        <v>300000.0</v>
      </c>
    </row>
    <row r="109">
      <c r="A109" s="8" t="s">
        <v>70</v>
      </c>
      <c r="B109" s="9">
        <v>3.0</v>
      </c>
      <c r="C109" s="17">
        <v>123256.0</v>
      </c>
      <c r="D109" s="17">
        <v>123256.0</v>
      </c>
      <c r="E109" s="8" t="s">
        <v>88</v>
      </c>
      <c r="F109" s="8" t="s">
        <v>48</v>
      </c>
      <c r="G109" s="8" t="s">
        <v>61</v>
      </c>
      <c r="H109" s="46"/>
      <c r="I109" s="8" t="s">
        <v>73</v>
      </c>
      <c r="J109" s="11" t="s">
        <v>47</v>
      </c>
      <c r="K109" s="11" t="s">
        <v>47</v>
      </c>
      <c r="L109" s="11" t="s">
        <v>47</v>
      </c>
      <c r="M109" s="11" t="s">
        <v>47</v>
      </c>
      <c r="N109" s="11" t="s">
        <v>47</v>
      </c>
      <c r="O109" s="15">
        <v>10500.0</v>
      </c>
      <c r="P109" s="15">
        <v>10500.0</v>
      </c>
      <c r="Q109" s="15">
        <f>75600+19300</f>
        <v>94900</v>
      </c>
      <c r="R109" s="15">
        <v>0.0</v>
      </c>
      <c r="S109" s="15" t="s">
        <v>54</v>
      </c>
      <c r="T109" s="15">
        <v>80000.0</v>
      </c>
    </row>
    <row r="110">
      <c r="A110" s="8" t="s">
        <v>70</v>
      </c>
      <c r="B110" s="9">
        <v>3.0</v>
      </c>
      <c r="C110" s="17">
        <v>93610.0</v>
      </c>
      <c r="D110" s="17">
        <v>93610.0</v>
      </c>
      <c r="E110" s="8" t="s">
        <v>48</v>
      </c>
      <c r="F110" s="8" t="s">
        <v>88</v>
      </c>
      <c r="G110" s="8" t="s">
        <v>49</v>
      </c>
      <c r="H110" s="14">
        <v>40.0</v>
      </c>
      <c r="I110" s="8" t="s">
        <v>53</v>
      </c>
      <c r="J110" s="8" t="s">
        <v>54</v>
      </c>
      <c r="K110" s="8" t="s">
        <v>54</v>
      </c>
      <c r="L110" s="8" t="s">
        <v>54</v>
      </c>
      <c r="M110" s="8" t="s">
        <v>54</v>
      </c>
      <c r="N110" s="8" t="s">
        <v>54</v>
      </c>
      <c r="O110" s="17">
        <v>0.0</v>
      </c>
      <c r="P110" s="17">
        <v>0.0</v>
      </c>
      <c r="Q110" s="17">
        <v>324000.0</v>
      </c>
      <c r="R110" s="17">
        <v>0.0</v>
      </c>
      <c r="S110" s="15" t="s">
        <v>47</v>
      </c>
      <c r="T110" s="15">
        <v>100000.0</v>
      </c>
    </row>
    <row r="111">
      <c r="A111" s="8" t="s">
        <v>124</v>
      </c>
      <c r="B111" s="9">
        <v>2.0</v>
      </c>
      <c r="C111" s="17">
        <v>227610.0</v>
      </c>
      <c r="D111" s="17">
        <v>227610.0</v>
      </c>
      <c r="E111" s="8" t="s">
        <v>48</v>
      </c>
      <c r="F111" s="8" t="s">
        <v>48</v>
      </c>
      <c r="G111" s="8" t="s">
        <v>49</v>
      </c>
      <c r="H111" s="14">
        <v>120.0</v>
      </c>
      <c r="I111" s="8" t="s">
        <v>56</v>
      </c>
      <c r="J111" s="8" t="s">
        <v>54</v>
      </c>
      <c r="K111" s="8" t="s">
        <v>54</v>
      </c>
      <c r="L111" s="8" t="s">
        <v>54</v>
      </c>
      <c r="M111" s="8" t="s">
        <v>54</v>
      </c>
      <c r="N111" s="8" t="s">
        <v>54</v>
      </c>
      <c r="O111" s="15">
        <v>32143.0</v>
      </c>
      <c r="P111" s="15">
        <v>38266.0</v>
      </c>
      <c r="Q111" s="15">
        <f>1105+103200</f>
        <v>104305</v>
      </c>
      <c r="R111" s="15">
        <v>157073.0</v>
      </c>
      <c r="S111" s="15" t="s">
        <v>47</v>
      </c>
      <c r="T111" s="15">
        <v>10000.0</v>
      </c>
    </row>
    <row r="112" hidden="1">
      <c r="A112" s="35"/>
      <c r="B112" s="9"/>
      <c r="C112" s="12"/>
      <c r="D112" s="12"/>
      <c r="E112" s="36"/>
      <c r="F112" s="36"/>
      <c r="G112" s="36"/>
      <c r="H112" s="14">
        <v>0.0</v>
      </c>
      <c r="I112" s="23"/>
      <c r="J112" s="8" t="s">
        <v>54</v>
      </c>
      <c r="K112" s="8" t="s">
        <v>54</v>
      </c>
      <c r="L112" s="8" t="s">
        <v>54</v>
      </c>
      <c r="M112" s="8" t="s">
        <v>54</v>
      </c>
      <c r="N112" s="8" t="s">
        <v>54</v>
      </c>
      <c r="O112" s="17"/>
      <c r="P112" s="17"/>
      <c r="Q112" s="17"/>
      <c r="R112" s="17"/>
      <c r="S112" s="32"/>
      <c r="T112" s="15"/>
      <c r="U112" s="36"/>
    </row>
    <row r="113">
      <c r="A113" s="8" t="s">
        <v>133</v>
      </c>
      <c r="B113" s="9">
        <v>3.0</v>
      </c>
      <c r="C113" s="17">
        <v>362813.0</v>
      </c>
      <c r="D113" s="17">
        <v>362813.0</v>
      </c>
      <c r="E113" s="8" t="s">
        <v>48</v>
      </c>
      <c r="F113" s="8" t="s">
        <v>48</v>
      </c>
      <c r="G113" s="8" t="s">
        <v>49</v>
      </c>
      <c r="H113" s="14">
        <v>150.0</v>
      </c>
      <c r="I113" s="8" t="s">
        <v>53</v>
      </c>
      <c r="J113" s="8" t="s">
        <v>54</v>
      </c>
      <c r="K113" s="8" t="s">
        <v>54</v>
      </c>
      <c r="L113" s="8" t="s">
        <v>54</v>
      </c>
      <c r="M113" s="8" t="s">
        <v>54</v>
      </c>
      <c r="N113" s="8" t="s">
        <v>54</v>
      </c>
      <c r="O113" s="15">
        <v>0.0</v>
      </c>
      <c r="P113" s="15">
        <v>0.0</v>
      </c>
      <c r="Q113" s="15">
        <v>0.0</v>
      </c>
      <c r="R113" s="15">
        <v>0.0</v>
      </c>
      <c r="S113" s="15" t="s">
        <v>47</v>
      </c>
      <c r="T113" s="15">
        <v>200000.0</v>
      </c>
    </row>
    <row r="114">
      <c r="A114" s="8" t="s">
        <v>124</v>
      </c>
      <c r="B114" s="9">
        <v>5.0</v>
      </c>
      <c r="C114" s="17">
        <v>24320.0</v>
      </c>
      <c r="D114" s="17">
        <v>24320.0</v>
      </c>
      <c r="E114" s="8" t="s">
        <v>88</v>
      </c>
      <c r="F114" s="8" t="s">
        <v>88</v>
      </c>
      <c r="G114" s="8" t="s">
        <v>49</v>
      </c>
      <c r="H114" s="14">
        <v>40.0</v>
      </c>
      <c r="I114" s="8" t="s">
        <v>73</v>
      </c>
      <c r="J114" s="8" t="s">
        <v>54</v>
      </c>
      <c r="K114" s="8" t="s">
        <v>54</v>
      </c>
      <c r="L114" s="8" t="s">
        <v>54</v>
      </c>
      <c r="M114" s="8" t="s">
        <v>54</v>
      </c>
      <c r="N114" s="8" t="s">
        <v>54</v>
      </c>
      <c r="O114" s="17">
        <v>8940.0</v>
      </c>
      <c r="P114" s="17">
        <v>18300.0</v>
      </c>
      <c r="Q114" s="17">
        <f>60000+10752+1295</f>
        <v>72047</v>
      </c>
      <c r="R114" s="17">
        <v>0.0</v>
      </c>
      <c r="S114" s="15" t="s">
        <v>54</v>
      </c>
      <c r="T114" s="15">
        <v>200000.0</v>
      </c>
    </row>
    <row r="115">
      <c r="A115" s="38" t="s">
        <v>70</v>
      </c>
      <c r="B115" s="39">
        <v>3.0</v>
      </c>
      <c r="C115" s="17">
        <v>21994.0</v>
      </c>
      <c r="D115" s="17">
        <v>21994.0</v>
      </c>
      <c r="E115" s="26" t="s">
        <v>48</v>
      </c>
      <c r="F115" s="26" t="s">
        <v>48</v>
      </c>
      <c r="G115" s="8" t="s">
        <v>49</v>
      </c>
      <c r="H115" s="14">
        <v>60.0</v>
      </c>
      <c r="I115" s="25" t="s">
        <v>53</v>
      </c>
      <c r="J115" s="8" t="s">
        <v>54</v>
      </c>
      <c r="K115" s="8" t="s">
        <v>54</v>
      </c>
      <c r="L115" s="8" t="s">
        <v>54</v>
      </c>
      <c r="M115" s="8" t="s">
        <v>54</v>
      </c>
      <c r="N115" s="8" t="s">
        <v>54</v>
      </c>
      <c r="O115" s="17">
        <v>0.0</v>
      </c>
      <c r="P115" s="17">
        <v>0.0</v>
      </c>
      <c r="Q115" s="17">
        <f>86400+2900</f>
        <v>89300</v>
      </c>
      <c r="R115" s="17">
        <v>2400.0</v>
      </c>
      <c r="S115" s="15" t="s">
        <v>54</v>
      </c>
      <c r="T115" s="15">
        <v>300000.0</v>
      </c>
      <c r="U115" s="36"/>
    </row>
    <row r="116" hidden="1">
      <c r="A116" s="23"/>
      <c r="B116" s="9"/>
      <c r="C116" s="12"/>
      <c r="D116" s="12"/>
      <c r="E116" s="26" t="s">
        <v>48</v>
      </c>
      <c r="F116" s="26" t="s">
        <v>48</v>
      </c>
      <c r="G116" s="8" t="s">
        <v>61</v>
      </c>
      <c r="H116" s="14">
        <v>0.0</v>
      </c>
      <c r="I116" s="23"/>
      <c r="J116" s="8" t="s">
        <v>54</v>
      </c>
      <c r="K116" s="8" t="s">
        <v>54</v>
      </c>
      <c r="L116" s="8" t="s">
        <v>54</v>
      </c>
      <c r="M116" s="8" t="s">
        <v>54</v>
      </c>
      <c r="N116" s="8" t="s">
        <v>54</v>
      </c>
      <c r="O116" s="17"/>
      <c r="P116" s="17"/>
      <c r="Q116" s="17"/>
      <c r="R116" s="17"/>
      <c r="S116" s="32"/>
      <c r="T116" s="15">
        <v>500000.0</v>
      </c>
      <c r="U116" s="36"/>
    </row>
    <row r="117" hidden="1">
      <c r="A117" s="35"/>
      <c r="B117" s="9"/>
      <c r="C117" s="12"/>
      <c r="D117" s="12"/>
      <c r="E117" s="36"/>
      <c r="F117" s="36"/>
      <c r="G117" s="36"/>
      <c r="H117" s="14">
        <v>0.0</v>
      </c>
      <c r="I117" s="36"/>
      <c r="J117" s="8" t="s">
        <v>54</v>
      </c>
      <c r="K117" s="8" t="s">
        <v>54</v>
      </c>
      <c r="L117" s="8" t="s">
        <v>54</v>
      </c>
      <c r="M117" s="8" t="s">
        <v>54</v>
      </c>
      <c r="N117" s="8" t="s">
        <v>54</v>
      </c>
      <c r="O117" s="17"/>
      <c r="P117" s="17"/>
      <c r="Q117" s="17"/>
      <c r="R117" s="17"/>
      <c r="S117" s="32"/>
      <c r="T117" s="15"/>
      <c r="U117" s="36"/>
    </row>
    <row r="118">
      <c r="A118" s="8" t="s">
        <v>46</v>
      </c>
      <c r="B118" s="9">
        <v>3.0</v>
      </c>
      <c r="C118" s="17">
        <v>199729.0</v>
      </c>
      <c r="D118" s="17">
        <v>199729.0</v>
      </c>
      <c r="E118" s="8" t="s">
        <v>48</v>
      </c>
      <c r="F118" s="8" t="s">
        <v>48</v>
      </c>
      <c r="G118" s="8" t="s">
        <v>61</v>
      </c>
      <c r="H118" s="46"/>
      <c r="I118" s="8" t="s">
        <v>53</v>
      </c>
      <c r="J118" s="8" t="s">
        <v>54</v>
      </c>
      <c r="K118" s="8" t="s">
        <v>54</v>
      </c>
      <c r="L118" s="8" t="s">
        <v>54</v>
      </c>
      <c r="M118" s="8" t="s">
        <v>54</v>
      </c>
      <c r="N118" s="8" t="s">
        <v>54</v>
      </c>
      <c r="O118" s="15">
        <v>41053.0</v>
      </c>
      <c r="P118" s="15">
        <v>130000.0</v>
      </c>
      <c r="Q118" s="15">
        <v>1060.0</v>
      </c>
      <c r="R118" s="15">
        <v>2000.0</v>
      </c>
      <c r="S118" s="15" t="s">
        <v>47</v>
      </c>
      <c r="T118" s="15">
        <v>10000.0</v>
      </c>
    </row>
    <row r="119">
      <c r="A119" s="25" t="s">
        <v>124</v>
      </c>
      <c r="B119" s="9">
        <v>2.0</v>
      </c>
      <c r="C119" s="17">
        <v>105526.0</v>
      </c>
      <c r="D119" s="17">
        <v>105526.0</v>
      </c>
      <c r="E119" s="26" t="s">
        <v>88</v>
      </c>
      <c r="F119" s="26" t="s">
        <v>48</v>
      </c>
      <c r="G119" s="8" t="s">
        <v>49</v>
      </c>
      <c r="H119" s="14">
        <v>50.0</v>
      </c>
      <c r="I119" s="25" t="s">
        <v>53</v>
      </c>
      <c r="J119" s="11" t="s">
        <v>47</v>
      </c>
      <c r="K119" s="8" t="s">
        <v>54</v>
      </c>
      <c r="L119" s="8" t="s">
        <v>54</v>
      </c>
      <c r="M119" s="8" t="s">
        <v>54</v>
      </c>
      <c r="N119" s="8" t="s">
        <v>54</v>
      </c>
      <c r="O119" s="17">
        <v>0.0</v>
      </c>
      <c r="P119" s="17">
        <v>0.0</v>
      </c>
      <c r="Q119" s="17">
        <v>75000.0</v>
      </c>
      <c r="R119" s="17">
        <v>0.0</v>
      </c>
      <c r="S119" s="15" t="s">
        <v>54</v>
      </c>
      <c r="T119" s="15">
        <v>200000.0</v>
      </c>
      <c r="U119" s="36"/>
    </row>
    <row r="120">
      <c r="A120" s="8" t="s">
        <v>186</v>
      </c>
      <c r="B120" s="9">
        <v>5.0</v>
      </c>
      <c r="C120" s="17">
        <v>34772.0</v>
      </c>
      <c r="D120" s="17">
        <v>34772.0</v>
      </c>
      <c r="E120" s="8" t="s">
        <v>48</v>
      </c>
      <c r="F120" s="8" t="s">
        <v>48</v>
      </c>
      <c r="G120" s="8" t="s">
        <v>49</v>
      </c>
      <c r="H120" s="14">
        <v>60.0</v>
      </c>
      <c r="I120" s="8" t="s">
        <v>56</v>
      </c>
      <c r="J120" s="8" t="s">
        <v>54</v>
      </c>
      <c r="K120" s="8" t="s">
        <v>54</v>
      </c>
      <c r="L120" s="11" t="s">
        <v>47</v>
      </c>
      <c r="M120" s="8" t="s">
        <v>54</v>
      </c>
      <c r="N120" s="11" t="s">
        <v>47</v>
      </c>
      <c r="O120" s="15">
        <v>0.0</v>
      </c>
      <c r="P120" s="15">
        <v>0.0</v>
      </c>
      <c r="Q120" s="15">
        <f>36000+15800</f>
        <v>51800</v>
      </c>
      <c r="R120" s="15">
        <v>160000.0</v>
      </c>
      <c r="S120" s="15" t="s">
        <v>54</v>
      </c>
      <c r="T120" s="15">
        <v>150000.0</v>
      </c>
    </row>
    <row r="121">
      <c r="A121" s="8" t="s">
        <v>46</v>
      </c>
      <c r="B121" s="9">
        <v>3.0</v>
      </c>
      <c r="C121" s="17">
        <v>109810.0</v>
      </c>
      <c r="D121" s="17">
        <v>118630.0</v>
      </c>
      <c r="E121" s="8" t="s">
        <v>88</v>
      </c>
      <c r="F121" s="8" t="s">
        <v>48</v>
      </c>
      <c r="G121" s="8" t="s">
        <v>49</v>
      </c>
      <c r="H121" s="14">
        <v>150.0</v>
      </c>
      <c r="I121" s="8" t="s">
        <v>73</v>
      </c>
      <c r="J121" s="8" t="s">
        <v>54</v>
      </c>
      <c r="K121" s="8" t="s">
        <v>54</v>
      </c>
      <c r="L121" s="8" t="s">
        <v>54</v>
      </c>
      <c r="M121" s="8" t="s">
        <v>54</v>
      </c>
      <c r="N121" s="8" t="s">
        <v>54</v>
      </c>
      <c r="O121" s="15">
        <v>0.0</v>
      </c>
      <c r="P121" s="15">
        <v>0.0</v>
      </c>
      <c r="Q121" s="15">
        <f>8625+17500</f>
        <v>26125</v>
      </c>
      <c r="R121" s="15">
        <f>210700+624048</f>
        <v>834748</v>
      </c>
      <c r="S121" s="15" t="s">
        <v>47</v>
      </c>
      <c r="T121" s="15">
        <v>100000.0</v>
      </c>
    </row>
    <row r="122">
      <c r="A122" s="8" t="s">
        <v>46</v>
      </c>
      <c r="B122" s="9">
        <v>2.0</v>
      </c>
      <c r="C122" s="17">
        <v>7455.0</v>
      </c>
      <c r="D122" s="17">
        <v>7455.0</v>
      </c>
      <c r="E122" s="8" t="s">
        <v>88</v>
      </c>
      <c r="F122" s="8" t="s">
        <v>88</v>
      </c>
      <c r="G122" s="8" t="s">
        <v>49</v>
      </c>
      <c r="H122" s="14">
        <v>150.0</v>
      </c>
      <c r="I122" s="8" t="s">
        <v>53</v>
      </c>
      <c r="J122" s="11" t="s">
        <v>47</v>
      </c>
      <c r="K122" s="8" t="s">
        <v>54</v>
      </c>
      <c r="L122" s="11" t="s">
        <v>47</v>
      </c>
      <c r="M122" s="8" t="s">
        <v>54</v>
      </c>
      <c r="N122" s="11" t="s">
        <v>47</v>
      </c>
      <c r="O122" s="9">
        <v>0.0</v>
      </c>
      <c r="P122" s="9">
        <v>0.0</v>
      </c>
      <c r="Q122" s="9">
        <v>0.0</v>
      </c>
      <c r="R122" s="15">
        <v>147200.0</v>
      </c>
      <c r="S122" s="15" t="s">
        <v>54</v>
      </c>
      <c r="T122" s="15">
        <v>250000.0</v>
      </c>
    </row>
    <row r="123">
      <c r="A123" s="8" t="s">
        <v>124</v>
      </c>
      <c r="B123" s="9">
        <v>2.0</v>
      </c>
      <c r="C123" s="17">
        <v>110862.0</v>
      </c>
      <c r="D123" s="17">
        <v>110862.0</v>
      </c>
      <c r="E123" s="8" t="s">
        <v>48</v>
      </c>
      <c r="F123" s="8" t="s">
        <v>48</v>
      </c>
      <c r="G123" s="8" t="s">
        <v>49</v>
      </c>
      <c r="H123" s="14">
        <v>120.0</v>
      </c>
      <c r="I123" s="8" t="s">
        <v>73</v>
      </c>
      <c r="J123" s="8" t="s">
        <v>54</v>
      </c>
      <c r="K123" s="8" t="s">
        <v>54</v>
      </c>
      <c r="L123" s="8" t="s">
        <v>54</v>
      </c>
      <c r="M123" s="8" t="s">
        <v>54</v>
      </c>
      <c r="N123" s="8" t="s">
        <v>54</v>
      </c>
      <c r="O123" s="15">
        <v>0.0</v>
      </c>
      <c r="P123" s="15">
        <v>45000.0</v>
      </c>
      <c r="Q123" s="15">
        <v>194000.0</v>
      </c>
      <c r="R123" s="15">
        <v>104880.0</v>
      </c>
      <c r="S123" s="15" t="s">
        <v>54</v>
      </c>
      <c r="T123" s="15">
        <v>185000.0</v>
      </c>
    </row>
    <row r="124">
      <c r="A124" s="41" t="s">
        <v>70</v>
      </c>
      <c r="B124" s="42">
        <v>3.0</v>
      </c>
      <c r="C124" s="17">
        <v>116487.0</v>
      </c>
      <c r="D124" s="17">
        <v>116487.0</v>
      </c>
      <c r="E124" s="8" t="s">
        <v>48</v>
      </c>
      <c r="F124" s="8" t="s">
        <v>48</v>
      </c>
      <c r="G124" s="8" t="s">
        <v>49</v>
      </c>
      <c r="H124" s="14">
        <v>60.0</v>
      </c>
      <c r="I124" s="8" t="s">
        <v>73</v>
      </c>
      <c r="J124" s="8" t="s">
        <v>54</v>
      </c>
      <c r="K124" s="8" t="s">
        <v>54</v>
      </c>
      <c r="L124" s="8" t="s">
        <v>54</v>
      </c>
      <c r="M124" s="8" t="s">
        <v>54</v>
      </c>
      <c r="N124" s="8" t="s">
        <v>54</v>
      </c>
      <c r="O124" s="17">
        <v>19703.0</v>
      </c>
      <c r="P124" s="17">
        <v>23150.0</v>
      </c>
      <c r="Q124" s="17">
        <f>36000+245</f>
        <v>36245</v>
      </c>
      <c r="R124" s="17">
        <f>4950+19703+364000</f>
        <v>388653</v>
      </c>
      <c r="S124" s="15" t="s">
        <v>54</v>
      </c>
      <c r="T124" s="15">
        <v>300000.0</v>
      </c>
    </row>
    <row r="125" hidden="1">
      <c r="A125" s="26"/>
      <c r="B125" s="32"/>
      <c r="C125" s="12"/>
      <c r="D125" s="12"/>
      <c r="E125" s="36"/>
      <c r="F125" s="36"/>
      <c r="G125" s="36"/>
      <c r="H125" s="14">
        <v>0.0</v>
      </c>
      <c r="I125" s="36"/>
      <c r="J125" s="8" t="s">
        <v>54</v>
      </c>
      <c r="K125" s="8" t="s">
        <v>54</v>
      </c>
      <c r="L125" s="8" t="s">
        <v>54</v>
      </c>
      <c r="M125" s="8" t="s">
        <v>54</v>
      </c>
      <c r="N125" s="8" t="s">
        <v>54</v>
      </c>
      <c r="O125" s="17"/>
      <c r="P125" s="17"/>
      <c r="Q125" s="17"/>
      <c r="R125" s="17"/>
      <c r="S125" s="32"/>
      <c r="T125" s="15"/>
      <c r="U125" s="36"/>
    </row>
    <row r="126" hidden="1">
      <c r="A126" s="35"/>
      <c r="B126" s="32"/>
      <c r="C126" s="12"/>
      <c r="D126" s="12"/>
      <c r="E126" s="36"/>
      <c r="F126" s="36"/>
      <c r="G126" s="36"/>
      <c r="H126" s="14">
        <v>0.0</v>
      </c>
      <c r="I126" s="36"/>
      <c r="J126" s="8" t="s">
        <v>54</v>
      </c>
      <c r="K126" s="8" t="s">
        <v>54</v>
      </c>
      <c r="L126" s="8" t="s">
        <v>54</v>
      </c>
      <c r="M126" s="8" t="s">
        <v>54</v>
      </c>
      <c r="N126" s="8" t="s">
        <v>54</v>
      </c>
      <c r="O126" s="17"/>
      <c r="P126" s="17"/>
      <c r="Q126" s="17"/>
      <c r="R126" s="17"/>
      <c r="S126" s="32"/>
      <c r="T126" s="15"/>
      <c r="U126" s="36"/>
    </row>
    <row r="127" hidden="1">
      <c r="A127" s="35"/>
      <c r="B127" s="32"/>
      <c r="C127" s="12"/>
      <c r="D127" s="12"/>
      <c r="E127" s="36"/>
      <c r="F127" s="36"/>
      <c r="G127" s="36"/>
      <c r="H127" s="14">
        <v>0.0</v>
      </c>
      <c r="I127" s="36"/>
      <c r="J127" s="8" t="s">
        <v>54</v>
      </c>
      <c r="K127" s="8" t="s">
        <v>54</v>
      </c>
      <c r="L127" s="8" t="s">
        <v>54</v>
      </c>
      <c r="M127" s="8" t="s">
        <v>54</v>
      </c>
      <c r="N127" s="8" t="s">
        <v>54</v>
      </c>
      <c r="O127" s="17"/>
      <c r="P127" s="17"/>
      <c r="Q127" s="17"/>
      <c r="R127" s="17"/>
      <c r="S127" s="32"/>
      <c r="T127" s="15"/>
      <c r="U127" s="36"/>
    </row>
    <row r="128">
      <c r="A128" s="8" t="s">
        <v>70</v>
      </c>
      <c r="B128" s="9">
        <v>3.0</v>
      </c>
      <c r="C128" s="17">
        <v>84866.0</v>
      </c>
      <c r="D128" s="17">
        <v>84900.0</v>
      </c>
      <c r="E128" s="8" t="s">
        <v>88</v>
      </c>
      <c r="F128" s="8" t="s">
        <v>48</v>
      </c>
      <c r="G128" s="8" t="s">
        <v>49</v>
      </c>
      <c r="H128" s="14">
        <v>60.0</v>
      </c>
      <c r="I128" s="8" t="s">
        <v>558</v>
      </c>
      <c r="J128" s="8" t="s">
        <v>54</v>
      </c>
      <c r="K128" s="8" t="s">
        <v>54</v>
      </c>
      <c r="L128" s="8" t="s">
        <v>54</v>
      </c>
      <c r="M128" s="8" t="s">
        <v>54</v>
      </c>
      <c r="N128" s="8" t="s">
        <v>54</v>
      </c>
      <c r="O128" s="9">
        <v>0.0</v>
      </c>
      <c r="P128" s="9">
        <v>0.0</v>
      </c>
      <c r="Q128" s="15">
        <v>213400.0</v>
      </c>
      <c r="R128" s="15">
        <v>91200.0</v>
      </c>
      <c r="S128" s="15" t="s">
        <v>54</v>
      </c>
      <c r="T128" s="15">
        <v>200000.0</v>
      </c>
    </row>
    <row r="129" hidden="1">
      <c r="A129" s="35"/>
      <c r="B129" s="32"/>
      <c r="C129" s="12"/>
      <c r="D129" s="12"/>
      <c r="E129" s="36"/>
      <c r="F129" s="36"/>
      <c r="G129" s="36"/>
      <c r="H129" s="14">
        <v>0.0</v>
      </c>
      <c r="I129" s="36"/>
      <c r="J129" s="8" t="s">
        <v>54</v>
      </c>
      <c r="K129" s="8" t="s">
        <v>54</v>
      </c>
      <c r="L129" s="8" t="s">
        <v>54</v>
      </c>
      <c r="M129" s="8" t="s">
        <v>54</v>
      </c>
      <c r="N129" s="8" t="s">
        <v>54</v>
      </c>
      <c r="O129" s="17"/>
      <c r="P129" s="17"/>
      <c r="Q129" s="17"/>
      <c r="R129" s="17"/>
      <c r="S129" s="32"/>
      <c r="T129" s="15"/>
      <c r="U129" s="36"/>
    </row>
    <row r="130">
      <c r="A130" s="25" t="s">
        <v>70</v>
      </c>
      <c r="B130" s="9">
        <v>3.0</v>
      </c>
      <c r="C130" s="17">
        <v>94258.0</v>
      </c>
      <c r="D130" s="17">
        <v>94258.0</v>
      </c>
      <c r="E130" s="26" t="s">
        <v>48</v>
      </c>
      <c r="F130" s="26" t="s">
        <v>48</v>
      </c>
      <c r="G130" s="8" t="s">
        <v>49</v>
      </c>
      <c r="H130" s="14">
        <v>1.0</v>
      </c>
      <c r="I130" s="25" t="s">
        <v>53</v>
      </c>
      <c r="J130" s="8" t="s">
        <v>54</v>
      </c>
      <c r="K130" s="8" t="s">
        <v>54</v>
      </c>
      <c r="L130" s="8" t="s">
        <v>54</v>
      </c>
      <c r="M130" s="8" t="s">
        <v>54</v>
      </c>
      <c r="N130" s="8" t="s">
        <v>54</v>
      </c>
      <c r="O130" s="17">
        <v>1350.0</v>
      </c>
      <c r="P130" s="17">
        <v>13500.0</v>
      </c>
      <c r="Q130" s="17">
        <v>66000.0</v>
      </c>
      <c r="R130" s="17">
        <v>68800.0</v>
      </c>
      <c r="S130" s="15" t="s">
        <v>54</v>
      </c>
      <c r="T130" s="15">
        <v>100000.0</v>
      </c>
      <c r="U130" s="36"/>
    </row>
    <row r="131">
      <c r="A131" s="8" t="s">
        <v>70</v>
      </c>
      <c r="B131" s="9">
        <v>3.0</v>
      </c>
      <c r="C131" s="17">
        <v>151080.0</v>
      </c>
      <c r="D131" s="17">
        <v>151080.0</v>
      </c>
      <c r="E131" s="8" t="s">
        <v>48</v>
      </c>
      <c r="F131" s="8" t="s">
        <v>48</v>
      </c>
      <c r="G131" s="8" t="s">
        <v>49</v>
      </c>
      <c r="H131" s="14">
        <v>55.0</v>
      </c>
      <c r="I131" s="8" t="s">
        <v>53</v>
      </c>
      <c r="J131" s="8" t="s">
        <v>54</v>
      </c>
      <c r="K131" s="8" t="s">
        <v>54</v>
      </c>
      <c r="L131" s="11" t="s">
        <v>47</v>
      </c>
      <c r="M131" s="8" t="s">
        <v>54</v>
      </c>
      <c r="N131" s="11" t="s">
        <v>47</v>
      </c>
      <c r="O131" s="17">
        <v>0.0</v>
      </c>
      <c r="P131" s="17">
        <v>0.0</v>
      </c>
      <c r="Q131" s="17">
        <f>60000+36840</f>
        <v>96840</v>
      </c>
      <c r="R131" s="17">
        <v>140345.0</v>
      </c>
      <c r="S131" s="15" t="s">
        <v>54</v>
      </c>
      <c r="T131" s="15">
        <v>250000.0</v>
      </c>
    </row>
    <row r="132" hidden="1">
      <c r="A132" s="8" t="s">
        <v>47</v>
      </c>
      <c r="B132" s="9">
        <v>5.0</v>
      </c>
      <c r="C132" s="12">
        <v>0.0</v>
      </c>
      <c r="D132" s="12">
        <v>0.0</v>
      </c>
      <c r="E132" s="8" t="s">
        <v>48</v>
      </c>
      <c r="F132" s="8" t="s">
        <v>48</v>
      </c>
      <c r="G132" s="8" t="s">
        <v>61</v>
      </c>
      <c r="H132" s="14">
        <v>0.0</v>
      </c>
      <c r="I132" s="8" t="s">
        <v>344</v>
      </c>
      <c r="J132" s="8" t="s">
        <v>54</v>
      </c>
      <c r="K132" s="8" t="s">
        <v>54</v>
      </c>
      <c r="L132" s="8" t="s">
        <v>54</v>
      </c>
      <c r="M132" s="8" t="s">
        <v>54</v>
      </c>
      <c r="N132" s="8" t="s">
        <v>54</v>
      </c>
      <c r="O132" s="17"/>
      <c r="P132" s="17"/>
      <c r="Q132" s="17"/>
      <c r="R132" s="17"/>
      <c r="S132" s="18"/>
      <c r="T132" s="15">
        <v>6000.0</v>
      </c>
    </row>
    <row r="133">
      <c r="A133" s="8" t="s">
        <v>70</v>
      </c>
      <c r="B133" s="9">
        <v>5.0</v>
      </c>
      <c r="C133" s="17">
        <v>14085.0</v>
      </c>
      <c r="D133" s="17">
        <v>14085.0</v>
      </c>
      <c r="E133" s="8" t="s">
        <v>48</v>
      </c>
      <c r="F133" s="8" t="s">
        <v>88</v>
      </c>
      <c r="G133" s="8" t="s">
        <v>49</v>
      </c>
      <c r="H133" s="14">
        <v>30.0</v>
      </c>
      <c r="I133" s="8" t="s">
        <v>73</v>
      </c>
      <c r="J133" s="8" t="s">
        <v>54</v>
      </c>
      <c r="K133" s="8" t="s">
        <v>54</v>
      </c>
      <c r="L133" s="8" t="s">
        <v>54</v>
      </c>
      <c r="M133" s="8" t="s">
        <v>54</v>
      </c>
      <c r="N133" s="8" t="s">
        <v>54</v>
      </c>
      <c r="O133" s="17">
        <v>47712.0</v>
      </c>
      <c r="P133" s="17">
        <v>76330.0</v>
      </c>
      <c r="Q133" s="17">
        <v>75000.0</v>
      </c>
      <c r="R133" s="17">
        <v>240000.0</v>
      </c>
      <c r="S133" s="15"/>
      <c r="T133" s="15">
        <v>130000.0</v>
      </c>
    </row>
    <row r="134">
      <c r="A134" s="8" t="s">
        <v>70</v>
      </c>
      <c r="B134" s="9">
        <v>3.0</v>
      </c>
      <c r="C134" s="15">
        <v>235709.0</v>
      </c>
      <c r="D134" s="15">
        <v>235709.0</v>
      </c>
      <c r="E134" s="8" t="s">
        <v>48</v>
      </c>
      <c r="F134" s="8" t="s">
        <v>48</v>
      </c>
      <c r="G134" s="8" t="s">
        <v>49</v>
      </c>
      <c r="H134" s="14">
        <v>60.0</v>
      </c>
      <c r="I134" s="8" t="s">
        <v>73</v>
      </c>
      <c r="J134" s="11" t="s">
        <v>47</v>
      </c>
      <c r="K134" s="8" t="s">
        <v>54</v>
      </c>
      <c r="L134" s="8" t="s">
        <v>54</v>
      </c>
      <c r="M134" s="8" t="s">
        <v>54</v>
      </c>
      <c r="N134" s="8" t="s">
        <v>54</v>
      </c>
      <c r="O134" s="15">
        <v>2000.0</v>
      </c>
      <c r="P134" s="15">
        <v>9600.0</v>
      </c>
      <c r="Q134" s="15">
        <v>75000.0</v>
      </c>
      <c r="R134" s="15">
        <v>75750.0</v>
      </c>
      <c r="S134" s="15" t="s">
        <v>54</v>
      </c>
      <c r="T134" s="15">
        <v>50000.0</v>
      </c>
    </row>
    <row r="135">
      <c r="A135" s="8" t="s">
        <v>186</v>
      </c>
      <c r="B135" s="9">
        <v>3.0</v>
      </c>
      <c r="C135" s="15">
        <v>374349.0</v>
      </c>
      <c r="D135" s="15">
        <v>374349.0</v>
      </c>
      <c r="E135" s="8" t="s">
        <v>48</v>
      </c>
      <c r="F135" s="8" t="s">
        <v>48</v>
      </c>
      <c r="G135" s="8" t="s">
        <v>49</v>
      </c>
      <c r="H135" s="14">
        <v>90.0</v>
      </c>
      <c r="I135" s="8" t="s">
        <v>73</v>
      </c>
      <c r="J135" s="8" t="s">
        <v>54</v>
      </c>
      <c r="K135" s="8" t="s">
        <v>54</v>
      </c>
      <c r="L135" s="11" t="s">
        <v>47</v>
      </c>
      <c r="M135" s="8" t="s">
        <v>54</v>
      </c>
      <c r="N135" s="11" t="s">
        <v>47</v>
      </c>
      <c r="O135" s="15">
        <v>11375.0</v>
      </c>
      <c r="P135" s="15">
        <v>45500.0</v>
      </c>
      <c r="Q135" s="15">
        <v>1000.0</v>
      </c>
      <c r="R135" s="15">
        <v>144000.0</v>
      </c>
      <c r="S135" s="15" t="s">
        <v>54</v>
      </c>
      <c r="T135" s="15">
        <v>100000.0</v>
      </c>
    </row>
    <row r="136">
      <c r="A136" s="8" t="s">
        <v>70</v>
      </c>
      <c r="B136" s="9">
        <v>3.0</v>
      </c>
      <c r="C136" s="17">
        <v>186208.0</v>
      </c>
      <c r="D136" s="17">
        <v>186208.0</v>
      </c>
      <c r="E136" s="8" t="s">
        <v>88</v>
      </c>
      <c r="F136" s="8" t="s">
        <v>48</v>
      </c>
      <c r="G136" s="8" t="s">
        <v>49</v>
      </c>
      <c r="H136" s="14">
        <v>150.0</v>
      </c>
      <c r="I136" s="8" t="s">
        <v>53</v>
      </c>
      <c r="J136" s="8" t="s">
        <v>54</v>
      </c>
      <c r="K136" s="8" t="s">
        <v>54</v>
      </c>
      <c r="L136" s="8" t="s">
        <v>54</v>
      </c>
      <c r="M136" s="8" t="s">
        <v>54</v>
      </c>
      <c r="N136" s="8" t="s">
        <v>54</v>
      </c>
      <c r="O136" s="15">
        <v>0.0</v>
      </c>
      <c r="P136" s="15">
        <v>0.0</v>
      </c>
      <c r="Q136" s="15">
        <f>216000+6800</f>
        <v>222800</v>
      </c>
      <c r="R136" s="15">
        <v>0.0</v>
      </c>
      <c r="S136" s="15" t="s">
        <v>54</v>
      </c>
      <c r="T136" s="15">
        <v>100000.0</v>
      </c>
    </row>
    <row r="137">
      <c r="A137" s="8" t="s">
        <v>70</v>
      </c>
      <c r="B137" s="9">
        <v>3.0</v>
      </c>
      <c r="C137" s="17">
        <v>22999.0</v>
      </c>
      <c r="D137" s="17">
        <v>23388.0</v>
      </c>
      <c r="E137" s="8" t="s">
        <v>88</v>
      </c>
      <c r="F137" s="8" t="s">
        <v>48</v>
      </c>
      <c r="G137" s="8" t="s">
        <v>49</v>
      </c>
      <c r="H137" s="14">
        <v>50.0</v>
      </c>
      <c r="I137" s="8" t="s">
        <v>73</v>
      </c>
      <c r="J137" s="8" t="s">
        <v>54</v>
      </c>
      <c r="K137" s="8" t="s">
        <v>54</v>
      </c>
      <c r="L137" s="8" t="s">
        <v>54</v>
      </c>
      <c r="M137" s="8" t="s">
        <v>54</v>
      </c>
      <c r="N137" s="8" t="s">
        <v>54</v>
      </c>
      <c r="O137" s="15">
        <v>41100.0</v>
      </c>
      <c r="P137" s="15">
        <v>54800.0</v>
      </c>
      <c r="Q137" s="9">
        <v>0.0</v>
      </c>
      <c r="R137" s="15">
        <v>137400.0</v>
      </c>
      <c r="S137" s="15" t="s">
        <v>54</v>
      </c>
      <c r="T137" s="15">
        <v>300000.0</v>
      </c>
    </row>
    <row r="138" hidden="1">
      <c r="A138" s="43"/>
      <c r="B138" s="18"/>
      <c r="C138" s="12"/>
      <c r="D138" s="12"/>
      <c r="H138" s="14">
        <v>0.0</v>
      </c>
      <c r="J138" s="8" t="s">
        <v>54</v>
      </c>
      <c r="K138" s="8" t="s">
        <v>54</v>
      </c>
      <c r="L138" s="8" t="s">
        <v>54</v>
      </c>
      <c r="M138" s="8" t="s">
        <v>54</v>
      </c>
      <c r="N138" s="8" t="s">
        <v>54</v>
      </c>
      <c r="O138" s="17"/>
      <c r="P138" s="17"/>
      <c r="Q138" s="17"/>
      <c r="R138" s="17"/>
      <c r="S138" s="18"/>
      <c r="T138" s="15"/>
    </row>
    <row r="139">
      <c r="A139" s="8" t="s">
        <v>46</v>
      </c>
      <c r="B139" s="9">
        <v>2.0</v>
      </c>
      <c r="C139" s="17">
        <v>568406.0</v>
      </c>
      <c r="D139" s="17">
        <v>568406.0</v>
      </c>
      <c r="E139" s="8" t="s">
        <v>88</v>
      </c>
      <c r="F139" s="8" t="s">
        <v>48</v>
      </c>
      <c r="G139" s="8" t="s">
        <v>49</v>
      </c>
      <c r="H139" s="14">
        <v>55.0</v>
      </c>
      <c r="I139" s="8" t="s">
        <v>73</v>
      </c>
      <c r="J139" s="8" t="s">
        <v>54</v>
      </c>
      <c r="K139" s="8" t="s">
        <v>54</v>
      </c>
      <c r="L139" s="8" t="s">
        <v>54</v>
      </c>
      <c r="M139" s="8" t="s">
        <v>54</v>
      </c>
      <c r="N139" s="8" t="s">
        <v>54</v>
      </c>
      <c r="O139" s="17">
        <v>2708.0</v>
      </c>
      <c r="P139" s="17">
        <v>27080.0</v>
      </c>
      <c r="Q139" s="17">
        <v>0.0</v>
      </c>
      <c r="R139" s="17">
        <v>79114.0</v>
      </c>
      <c r="S139" s="15" t="s">
        <v>54</v>
      </c>
      <c r="T139" s="15">
        <v>180000.0</v>
      </c>
    </row>
    <row r="140">
      <c r="A140" s="25" t="s">
        <v>56</v>
      </c>
      <c r="B140" s="9">
        <v>3.0</v>
      </c>
      <c r="C140" s="17">
        <v>99227.0</v>
      </c>
      <c r="D140" s="17">
        <v>129866.0</v>
      </c>
      <c r="E140" s="26" t="s">
        <v>48</v>
      </c>
      <c r="F140" s="26" t="s">
        <v>48</v>
      </c>
      <c r="G140" s="8" t="s">
        <v>49</v>
      </c>
      <c r="H140" s="14">
        <v>90.0</v>
      </c>
      <c r="I140" s="26" t="s">
        <v>73</v>
      </c>
      <c r="J140" s="8" t="s">
        <v>54</v>
      </c>
      <c r="K140" s="8" t="s">
        <v>54</v>
      </c>
      <c r="L140" s="8" t="s">
        <v>54</v>
      </c>
      <c r="M140" s="8" t="s">
        <v>54</v>
      </c>
      <c r="N140" s="8" t="s">
        <v>54</v>
      </c>
      <c r="O140" s="17">
        <v>0.0</v>
      </c>
      <c r="P140" s="17">
        <v>0.0</v>
      </c>
      <c r="Q140" s="17">
        <f>2715+24200</f>
        <v>26915</v>
      </c>
      <c r="R140" s="17">
        <f>468000+1202983+1600</f>
        <v>1672583</v>
      </c>
      <c r="S140" s="15" t="s">
        <v>54</v>
      </c>
      <c r="T140" s="15">
        <v>100000.0</v>
      </c>
      <c r="U140" s="36"/>
    </row>
    <row r="141" hidden="1">
      <c r="A141" s="43"/>
      <c r="B141" s="18"/>
      <c r="C141" s="12"/>
      <c r="D141" s="12"/>
      <c r="H141" s="14">
        <v>0.0</v>
      </c>
      <c r="J141" s="8" t="s">
        <v>54</v>
      </c>
      <c r="K141" s="8" t="s">
        <v>54</v>
      </c>
      <c r="L141" s="8" t="s">
        <v>54</v>
      </c>
      <c r="M141" s="8" t="s">
        <v>54</v>
      </c>
      <c r="N141" s="8" t="s">
        <v>54</v>
      </c>
      <c r="O141" s="17"/>
      <c r="P141" s="17"/>
      <c r="Q141" s="17"/>
      <c r="R141" s="17"/>
      <c r="S141" s="18"/>
      <c r="T141" s="15"/>
    </row>
    <row r="142">
      <c r="A142" s="8" t="s">
        <v>46</v>
      </c>
      <c r="B142" s="9">
        <v>2.0</v>
      </c>
      <c r="C142" s="12">
        <v>0.0</v>
      </c>
      <c r="D142" s="12">
        <v>0.0</v>
      </c>
      <c r="E142" s="8" t="s">
        <v>88</v>
      </c>
      <c r="F142" s="8" t="s">
        <v>48</v>
      </c>
      <c r="G142" s="8" t="s">
        <v>49</v>
      </c>
      <c r="H142" s="14">
        <v>150.0</v>
      </c>
      <c r="I142" s="8" t="s">
        <v>56</v>
      </c>
      <c r="J142" s="8" t="s">
        <v>54</v>
      </c>
      <c r="K142" s="8" t="s">
        <v>54</v>
      </c>
      <c r="L142" s="8" t="s">
        <v>54</v>
      </c>
      <c r="M142" s="8" t="s">
        <v>54</v>
      </c>
      <c r="N142" s="8" t="s">
        <v>54</v>
      </c>
      <c r="O142" s="17">
        <v>7750.0</v>
      </c>
      <c r="P142" s="17">
        <v>7750.0</v>
      </c>
      <c r="Q142" s="17">
        <v>0.0</v>
      </c>
      <c r="R142" s="17">
        <f>33300+582260</f>
        <v>615560</v>
      </c>
      <c r="S142" s="15" t="s">
        <v>54</v>
      </c>
      <c r="T142" s="15">
        <v>600000.0</v>
      </c>
    </row>
    <row r="143" hidden="1">
      <c r="A143" s="43"/>
      <c r="B143" s="18"/>
      <c r="C143" s="12"/>
      <c r="D143" s="12"/>
      <c r="H143" s="14">
        <v>0.0</v>
      </c>
      <c r="J143" s="8" t="s">
        <v>54</v>
      </c>
      <c r="K143" s="8" t="s">
        <v>54</v>
      </c>
      <c r="L143" s="8" t="s">
        <v>54</v>
      </c>
      <c r="M143" s="8" t="s">
        <v>54</v>
      </c>
      <c r="N143" s="8" t="s">
        <v>54</v>
      </c>
      <c r="O143" s="17"/>
      <c r="P143" s="17"/>
      <c r="Q143" s="17"/>
      <c r="R143" s="17"/>
      <c r="S143" s="18"/>
      <c r="T143" s="15"/>
    </row>
    <row r="144" hidden="1">
      <c r="A144" s="43"/>
      <c r="B144" s="18"/>
      <c r="C144" s="12"/>
      <c r="D144" s="12"/>
      <c r="H144" s="14">
        <v>0.0</v>
      </c>
      <c r="J144" s="8" t="s">
        <v>54</v>
      </c>
      <c r="K144" s="8" t="s">
        <v>54</v>
      </c>
      <c r="L144" s="8" t="s">
        <v>54</v>
      </c>
      <c r="M144" s="8" t="s">
        <v>54</v>
      </c>
      <c r="N144" s="8" t="s">
        <v>54</v>
      </c>
      <c r="O144" s="17"/>
      <c r="P144" s="17"/>
      <c r="Q144" s="17"/>
      <c r="R144" s="17"/>
      <c r="S144" s="18"/>
      <c r="T144" s="15"/>
    </row>
    <row r="145" hidden="1">
      <c r="A145" s="43"/>
      <c r="B145" s="18"/>
      <c r="C145" s="12"/>
      <c r="D145" s="12"/>
      <c r="H145" s="14">
        <v>0.0</v>
      </c>
      <c r="J145" s="8" t="s">
        <v>54</v>
      </c>
      <c r="K145" s="8" t="s">
        <v>54</v>
      </c>
      <c r="L145" s="8" t="s">
        <v>54</v>
      </c>
      <c r="M145" s="8" t="s">
        <v>54</v>
      </c>
      <c r="N145" s="8" t="s">
        <v>54</v>
      </c>
      <c r="O145" s="17"/>
      <c r="P145" s="17"/>
      <c r="Q145" s="17"/>
      <c r="R145" s="17"/>
      <c r="S145" s="18"/>
      <c r="T145" s="15"/>
    </row>
    <row r="146">
      <c r="A146" s="8" t="s">
        <v>124</v>
      </c>
      <c r="B146" s="9">
        <v>2.0</v>
      </c>
      <c r="C146" s="9">
        <v>0.0</v>
      </c>
      <c r="D146" s="15">
        <v>100000.0</v>
      </c>
      <c r="E146" s="8" t="s">
        <v>88</v>
      </c>
      <c r="F146" s="8" t="s">
        <v>48</v>
      </c>
      <c r="G146" s="8" t="s">
        <v>49</v>
      </c>
      <c r="H146" s="14">
        <v>120.0</v>
      </c>
      <c r="I146" s="8" t="s">
        <v>73</v>
      </c>
      <c r="J146" s="8" t="s">
        <v>54</v>
      </c>
      <c r="K146" s="8" t="s">
        <v>54</v>
      </c>
      <c r="L146" s="8" t="s">
        <v>54</v>
      </c>
      <c r="M146" s="8" t="s">
        <v>54</v>
      </c>
      <c r="N146" s="8" t="s">
        <v>54</v>
      </c>
      <c r="O146" s="15">
        <v>78000.0</v>
      </c>
      <c r="P146" s="15">
        <v>78000.0</v>
      </c>
      <c r="Q146" s="15">
        <v>132000.0</v>
      </c>
      <c r="R146" s="15">
        <v>264000.0</v>
      </c>
      <c r="S146" s="15" t="s">
        <v>54</v>
      </c>
      <c r="T146" s="15">
        <v>800000.0</v>
      </c>
    </row>
    <row r="147">
      <c r="A147" s="25" t="s">
        <v>70</v>
      </c>
      <c r="B147" s="9">
        <v>3.0</v>
      </c>
      <c r="C147" s="17">
        <v>141409.0</v>
      </c>
      <c r="D147" s="17">
        <v>141409.0</v>
      </c>
      <c r="E147" s="26" t="s">
        <v>48</v>
      </c>
      <c r="F147" s="26" t="s">
        <v>48</v>
      </c>
      <c r="G147" s="8" t="s">
        <v>49</v>
      </c>
      <c r="H147" s="14">
        <v>20.0</v>
      </c>
      <c r="I147" s="25" t="s">
        <v>73</v>
      </c>
      <c r="J147" s="8" t="s">
        <v>54</v>
      </c>
      <c r="K147" s="8" t="s">
        <v>54</v>
      </c>
      <c r="L147" s="8" t="s">
        <v>54</v>
      </c>
      <c r="M147" s="8" t="s">
        <v>54</v>
      </c>
      <c r="N147" s="8" t="s">
        <v>54</v>
      </c>
      <c r="O147" s="17">
        <v>27600.0</v>
      </c>
      <c r="P147" s="17">
        <v>27600.0</v>
      </c>
      <c r="Q147" s="17">
        <f>564300+4092</f>
        <v>568392</v>
      </c>
      <c r="R147" s="17">
        <v>16000.0</v>
      </c>
      <c r="S147" s="15" t="s">
        <v>54</v>
      </c>
      <c r="T147" s="15">
        <v>500000.0</v>
      </c>
      <c r="U147" s="36"/>
    </row>
    <row r="148">
      <c r="A148" s="8" t="s">
        <v>56</v>
      </c>
      <c r="B148" s="9">
        <v>2.0</v>
      </c>
      <c r="C148" s="17">
        <v>604320.0</v>
      </c>
      <c r="D148" s="17">
        <v>604320.0</v>
      </c>
      <c r="E148" s="8" t="s">
        <v>48</v>
      </c>
      <c r="F148" s="8" t="s">
        <v>48</v>
      </c>
      <c r="G148" s="8" t="s">
        <v>49</v>
      </c>
      <c r="H148" s="14">
        <v>30.0</v>
      </c>
      <c r="I148" s="8" t="s">
        <v>73</v>
      </c>
      <c r="J148" s="8" t="s">
        <v>54</v>
      </c>
      <c r="K148" s="8" t="s">
        <v>54</v>
      </c>
      <c r="L148" s="11" t="s">
        <v>47</v>
      </c>
      <c r="M148" s="8" t="s">
        <v>54</v>
      </c>
      <c r="N148" s="11" t="s">
        <v>47</v>
      </c>
      <c r="O148" s="17">
        <v>500.0</v>
      </c>
      <c r="P148" s="17">
        <v>5000.0</v>
      </c>
      <c r="Q148" s="17">
        <f>1800+22000</f>
        <v>23800</v>
      </c>
      <c r="R148" s="17">
        <v>2369655.0</v>
      </c>
      <c r="S148" s="15" t="s">
        <v>54</v>
      </c>
      <c r="T148" s="15">
        <v>200000.0</v>
      </c>
    </row>
    <row r="149">
      <c r="A149" s="25" t="s">
        <v>46</v>
      </c>
      <c r="B149" s="9">
        <v>2.0</v>
      </c>
      <c r="C149" s="17">
        <v>181251.0</v>
      </c>
      <c r="D149" s="17">
        <v>18251.0</v>
      </c>
      <c r="E149" s="26" t="s">
        <v>48</v>
      </c>
      <c r="F149" s="26" t="s">
        <v>88</v>
      </c>
      <c r="G149" s="8" t="s">
        <v>49</v>
      </c>
      <c r="H149" s="14">
        <v>120.0</v>
      </c>
      <c r="I149" s="25" t="s">
        <v>53</v>
      </c>
      <c r="J149" s="8" t="s">
        <v>54</v>
      </c>
      <c r="K149" s="8" t="s">
        <v>54</v>
      </c>
      <c r="L149" s="8" t="s">
        <v>54</v>
      </c>
      <c r="M149" s="8" t="s">
        <v>54</v>
      </c>
      <c r="N149" s="8" t="s">
        <v>54</v>
      </c>
      <c r="O149" s="17">
        <v>0.0</v>
      </c>
      <c r="P149" s="17">
        <v>0.0</v>
      </c>
      <c r="Q149" s="17">
        <v>730000.0</v>
      </c>
      <c r="R149" s="17">
        <v>3383245.0</v>
      </c>
      <c r="S149" s="15" t="s">
        <v>54</v>
      </c>
      <c r="T149" s="15">
        <v>300000.0</v>
      </c>
      <c r="U149" s="36"/>
    </row>
    <row r="150">
      <c r="A150" s="8" t="s">
        <v>46</v>
      </c>
      <c r="B150" s="9">
        <v>1.0</v>
      </c>
      <c r="C150" s="17">
        <v>620885.0</v>
      </c>
      <c r="D150" s="17">
        <v>620885.0</v>
      </c>
      <c r="E150" s="8" t="s">
        <v>48</v>
      </c>
      <c r="F150" s="8" t="s">
        <v>48</v>
      </c>
      <c r="G150" s="8" t="s">
        <v>49</v>
      </c>
      <c r="H150" s="46">
        <v>300.0</v>
      </c>
      <c r="I150" s="8" t="s">
        <v>73</v>
      </c>
      <c r="J150" s="8" t="s">
        <v>54</v>
      </c>
      <c r="K150" s="8" t="s">
        <v>54</v>
      </c>
      <c r="L150" s="11" t="s">
        <v>47</v>
      </c>
      <c r="M150" s="8" t="s">
        <v>54</v>
      </c>
      <c r="N150" s="11" t="s">
        <v>47</v>
      </c>
      <c r="O150" s="17">
        <v>0.0</v>
      </c>
      <c r="P150" s="17">
        <v>0.0</v>
      </c>
      <c r="Q150" s="17">
        <f>123341+6845874+644000</f>
        <v>7613215</v>
      </c>
      <c r="R150" s="17">
        <v>1.3358093E7</v>
      </c>
      <c r="S150" s="15" t="s">
        <v>47</v>
      </c>
      <c r="T150" s="15">
        <v>1000000.0</v>
      </c>
    </row>
    <row r="151">
      <c r="B151" s="18"/>
      <c r="C151" s="18"/>
      <c r="D151" s="18"/>
      <c r="O151" s="18"/>
      <c r="P151" s="18"/>
      <c r="Q151" s="18"/>
      <c r="R151" s="18"/>
      <c r="S151" s="18"/>
      <c r="T151" s="18"/>
    </row>
    <row r="152">
      <c r="B152" s="18"/>
      <c r="C152" s="18"/>
      <c r="D152" s="18"/>
      <c r="O152" s="18"/>
      <c r="P152" s="18"/>
      <c r="Q152" s="18"/>
      <c r="R152" s="18"/>
      <c r="S152" s="18"/>
      <c r="T152" s="18"/>
    </row>
    <row r="153">
      <c r="B153" s="18"/>
      <c r="C153" s="18"/>
      <c r="D153" s="18"/>
      <c r="O153" s="18"/>
      <c r="P153" s="18"/>
      <c r="Q153" s="18"/>
      <c r="R153" s="18"/>
      <c r="S153" s="18"/>
      <c r="T153" s="18"/>
    </row>
    <row r="154">
      <c r="B154" s="18"/>
      <c r="C154" s="18"/>
      <c r="D154" s="18"/>
      <c r="O154" s="18"/>
      <c r="P154" s="18"/>
      <c r="Q154" s="18"/>
      <c r="R154" s="18"/>
      <c r="S154" s="18"/>
      <c r="T154" s="18"/>
    </row>
    <row r="155">
      <c r="B155" s="18"/>
      <c r="C155" s="18"/>
      <c r="D155" s="18"/>
      <c r="O155" s="18"/>
      <c r="P155" s="18"/>
      <c r="Q155" s="18"/>
      <c r="R155" s="18"/>
      <c r="S155" s="18"/>
      <c r="T155" s="18"/>
    </row>
    <row r="156">
      <c r="B156" s="18"/>
      <c r="C156" s="18"/>
      <c r="D156" s="18"/>
      <c r="O156" s="18"/>
      <c r="P156" s="18"/>
      <c r="Q156" s="18"/>
      <c r="R156" s="18"/>
      <c r="S156" s="18"/>
      <c r="T156" s="18"/>
    </row>
    <row r="157">
      <c r="B157" s="18"/>
      <c r="C157" s="18"/>
      <c r="D157" s="18"/>
      <c r="O157" s="18"/>
      <c r="P157" s="18"/>
      <c r="Q157" s="18"/>
      <c r="R157" s="18"/>
      <c r="S157" s="18"/>
      <c r="T157" s="18"/>
    </row>
    <row r="158">
      <c r="B158" s="18"/>
      <c r="C158" s="18"/>
      <c r="D158" s="18"/>
      <c r="O158" s="18"/>
      <c r="P158" s="18"/>
      <c r="Q158" s="18"/>
      <c r="R158" s="18"/>
      <c r="S158" s="18"/>
      <c r="T158" s="18"/>
    </row>
    <row r="159">
      <c r="B159" s="18"/>
      <c r="C159" s="18"/>
      <c r="D159" s="18"/>
      <c r="O159" s="18"/>
      <c r="P159" s="18"/>
      <c r="Q159" s="18"/>
      <c r="R159" s="18"/>
      <c r="S159" s="18"/>
      <c r="T159" s="18"/>
    </row>
    <row r="160">
      <c r="B160" s="18"/>
      <c r="C160" s="18"/>
      <c r="D160" s="18"/>
      <c r="O160" s="18"/>
      <c r="P160" s="18"/>
      <c r="Q160" s="18"/>
      <c r="R160" s="18"/>
      <c r="S160" s="18"/>
      <c r="T160" s="18"/>
    </row>
    <row r="161">
      <c r="B161" s="18"/>
      <c r="C161" s="18"/>
      <c r="D161" s="18"/>
      <c r="O161" s="18"/>
      <c r="P161" s="18"/>
      <c r="Q161" s="18"/>
      <c r="R161" s="18"/>
      <c r="S161" s="18"/>
      <c r="T161" s="18"/>
    </row>
    <row r="162">
      <c r="B162" s="18"/>
      <c r="C162" s="18"/>
      <c r="D162" s="18"/>
      <c r="O162" s="18"/>
      <c r="P162" s="18"/>
      <c r="Q162" s="18"/>
      <c r="R162" s="18"/>
      <c r="S162" s="18"/>
      <c r="T162" s="18"/>
    </row>
    <row r="163">
      <c r="B163" s="18"/>
      <c r="C163" s="18"/>
      <c r="D163" s="18"/>
      <c r="O163" s="18"/>
      <c r="P163" s="18"/>
      <c r="Q163" s="18"/>
      <c r="R163" s="18"/>
      <c r="S163" s="18"/>
      <c r="T163" s="18"/>
    </row>
    <row r="164">
      <c r="B164" s="18"/>
      <c r="C164" s="18"/>
      <c r="D164" s="18"/>
      <c r="O164" s="18"/>
      <c r="P164" s="18"/>
      <c r="Q164" s="18"/>
      <c r="R164" s="18"/>
      <c r="S164" s="18"/>
      <c r="T164" s="18"/>
    </row>
    <row r="165">
      <c r="B165" s="18"/>
      <c r="C165" s="18"/>
      <c r="D165" s="18"/>
      <c r="O165" s="18"/>
      <c r="P165" s="18"/>
      <c r="Q165" s="18"/>
      <c r="R165" s="18"/>
      <c r="S165" s="18"/>
      <c r="T165" s="18"/>
    </row>
    <row r="166">
      <c r="B166" s="18"/>
      <c r="C166" s="18"/>
      <c r="D166" s="18"/>
      <c r="O166" s="18"/>
      <c r="P166" s="18"/>
      <c r="Q166" s="18"/>
      <c r="R166" s="18"/>
      <c r="S166" s="18"/>
      <c r="T166" s="18"/>
    </row>
    <row r="167">
      <c r="B167" s="18"/>
      <c r="C167" s="18"/>
      <c r="D167" s="18"/>
      <c r="O167" s="18"/>
      <c r="P167" s="18"/>
      <c r="Q167" s="18"/>
      <c r="R167" s="18"/>
      <c r="S167" s="18"/>
      <c r="T167" s="18"/>
    </row>
    <row r="168">
      <c r="B168" s="18"/>
      <c r="C168" s="18"/>
      <c r="D168" s="18"/>
      <c r="O168" s="18"/>
      <c r="P168" s="18"/>
      <c r="Q168" s="18"/>
      <c r="R168" s="18"/>
      <c r="S168" s="18"/>
      <c r="T168" s="18"/>
    </row>
    <row r="169">
      <c r="B169" s="18"/>
      <c r="C169" s="18"/>
      <c r="D169" s="18"/>
      <c r="O169" s="18"/>
      <c r="P169" s="18"/>
      <c r="Q169" s="18"/>
      <c r="R169" s="18"/>
      <c r="S169" s="18"/>
      <c r="T169" s="18"/>
    </row>
    <row r="170">
      <c r="B170" s="18"/>
      <c r="C170" s="18"/>
      <c r="D170" s="18"/>
      <c r="O170" s="18"/>
      <c r="P170" s="18"/>
      <c r="Q170" s="18"/>
      <c r="R170" s="18"/>
      <c r="S170" s="18"/>
      <c r="T170" s="18"/>
    </row>
    <row r="171">
      <c r="B171" s="18"/>
      <c r="C171" s="18"/>
      <c r="D171" s="18"/>
      <c r="O171" s="18"/>
      <c r="P171" s="18"/>
      <c r="Q171" s="18"/>
      <c r="R171" s="18"/>
      <c r="S171" s="18"/>
      <c r="T171" s="18"/>
    </row>
    <row r="172">
      <c r="B172" s="18"/>
      <c r="C172" s="18"/>
      <c r="D172" s="18"/>
      <c r="O172" s="18"/>
      <c r="P172" s="18"/>
      <c r="Q172" s="18"/>
      <c r="R172" s="18"/>
      <c r="S172" s="18"/>
      <c r="T172" s="18"/>
    </row>
    <row r="173">
      <c r="B173" s="18"/>
      <c r="C173" s="18"/>
      <c r="D173" s="18"/>
      <c r="O173" s="18"/>
      <c r="P173" s="18"/>
      <c r="Q173" s="18"/>
      <c r="R173" s="18"/>
      <c r="S173" s="18"/>
      <c r="T173" s="18"/>
    </row>
    <row r="174">
      <c r="B174" s="18"/>
      <c r="C174" s="18"/>
      <c r="D174" s="18"/>
      <c r="O174" s="18"/>
      <c r="P174" s="18"/>
      <c r="Q174" s="18"/>
      <c r="R174" s="18"/>
      <c r="S174" s="18"/>
      <c r="T174" s="18"/>
    </row>
    <row r="175">
      <c r="B175" s="18"/>
      <c r="C175" s="18"/>
      <c r="D175" s="18"/>
      <c r="O175" s="18"/>
      <c r="P175" s="18"/>
      <c r="Q175" s="18"/>
      <c r="R175" s="18"/>
      <c r="S175" s="18"/>
      <c r="T175" s="18"/>
    </row>
    <row r="176">
      <c r="B176" s="18"/>
      <c r="C176" s="18"/>
      <c r="D176" s="18"/>
      <c r="O176" s="18"/>
      <c r="P176" s="18"/>
      <c r="Q176" s="18"/>
      <c r="R176" s="18"/>
      <c r="S176" s="18"/>
      <c r="T176" s="18"/>
    </row>
    <row r="177">
      <c r="B177" s="18"/>
      <c r="C177" s="18"/>
      <c r="D177" s="18"/>
      <c r="O177" s="18"/>
      <c r="P177" s="18"/>
      <c r="Q177" s="18"/>
      <c r="R177" s="18"/>
      <c r="S177" s="18"/>
      <c r="T177" s="18"/>
    </row>
    <row r="178">
      <c r="B178" s="18"/>
      <c r="C178" s="18"/>
      <c r="D178" s="18"/>
      <c r="O178" s="18"/>
      <c r="P178" s="18"/>
      <c r="Q178" s="18"/>
      <c r="R178" s="18"/>
      <c r="S178" s="18"/>
      <c r="T178" s="18"/>
    </row>
    <row r="179">
      <c r="B179" s="18"/>
      <c r="C179" s="18"/>
      <c r="D179" s="18"/>
      <c r="O179" s="18"/>
      <c r="P179" s="18"/>
      <c r="Q179" s="18"/>
      <c r="R179" s="18"/>
      <c r="S179" s="18"/>
      <c r="T179" s="18"/>
    </row>
    <row r="180">
      <c r="B180" s="18"/>
      <c r="C180" s="18"/>
      <c r="D180" s="18"/>
      <c r="O180" s="18"/>
      <c r="P180" s="18"/>
      <c r="Q180" s="18"/>
      <c r="R180" s="18"/>
      <c r="S180" s="18"/>
      <c r="T180" s="18"/>
    </row>
    <row r="181">
      <c r="B181" s="18"/>
      <c r="C181" s="18"/>
      <c r="D181" s="18"/>
      <c r="O181" s="18"/>
      <c r="P181" s="18"/>
      <c r="Q181" s="18"/>
      <c r="R181" s="18"/>
      <c r="S181" s="18"/>
      <c r="T181" s="18"/>
    </row>
    <row r="182">
      <c r="B182" s="18"/>
      <c r="C182" s="18"/>
      <c r="D182" s="18"/>
      <c r="O182" s="18"/>
      <c r="P182" s="18"/>
      <c r="Q182" s="18"/>
      <c r="R182" s="18"/>
      <c r="S182" s="18"/>
      <c r="T182" s="18"/>
    </row>
    <row r="183">
      <c r="B183" s="18"/>
      <c r="C183" s="18"/>
      <c r="D183" s="18"/>
      <c r="O183" s="18"/>
      <c r="P183" s="18"/>
      <c r="Q183" s="18"/>
      <c r="R183" s="18"/>
      <c r="S183" s="18"/>
      <c r="T183" s="18"/>
    </row>
    <row r="184">
      <c r="B184" s="18"/>
      <c r="C184" s="18"/>
      <c r="D184" s="18"/>
      <c r="O184" s="18"/>
      <c r="P184" s="18"/>
      <c r="Q184" s="18"/>
      <c r="R184" s="18"/>
      <c r="S184" s="18"/>
      <c r="T184" s="18"/>
    </row>
    <row r="185">
      <c r="B185" s="18"/>
      <c r="C185" s="18"/>
      <c r="D185" s="18"/>
      <c r="O185" s="18"/>
      <c r="P185" s="18"/>
      <c r="Q185" s="18"/>
      <c r="R185" s="18"/>
      <c r="S185" s="18"/>
      <c r="T185" s="18"/>
    </row>
    <row r="186">
      <c r="B186" s="18"/>
      <c r="C186" s="18"/>
      <c r="D186" s="18"/>
      <c r="O186" s="18"/>
      <c r="P186" s="18"/>
      <c r="Q186" s="18"/>
      <c r="R186" s="18"/>
      <c r="S186" s="18"/>
      <c r="T186" s="18"/>
    </row>
    <row r="187">
      <c r="B187" s="18"/>
      <c r="C187" s="18"/>
      <c r="D187" s="18"/>
      <c r="O187" s="18"/>
      <c r="P187" s="18"/>
      <c r="Q187" s="18"/>
      <c r="R187" s="18"/>
      <c r="S187" s="18"/>
      <c r="T187" s="18"/>
    </row>
    <row r="188">
      <c r="B188" s="18"/>
      <c r="C188" s="18"/>
      <c r="D188" s="18"/>
      <c r="O188" s="18"/>
      <c r="P188" s="18"/>
      <c r="Q188" s="18"/>
      <c r="R188" s="18"/>
      <c r="S188" s="18"/>
      <c r="T188" s="18"/>
    </row>
    <row r="189">
      <c r="B189" s="18"/>
      <c r="C189" s="18"/>
      <c r="D189" s="18"/>
      <c r="O189" s="18"/>
      <c r="P189" s="18"/>
      <c r="Q189" s="18"/>
      <c r="R189" s="18"/>
      <c r="S189" s="18"/>
      <c r="T189" s="18"/>
    </row>
    <row r="190">
      <c r="B190" s="18"/>
      <c r="C190" s="18"/>
      <c r="D190" s="18"/>
      <c r="O190" s="18"/>
      <c r="P190" s="18"/>
      <c r="Q190" s="18"/>
      <c r="R190" s="18"/>
      <c r="S190" s="18"/>
      <c r="T190" s="18"/>
    </row>
    <row r="191">
      <c r="B191" s="18"/>
      <c r="C191" s="18"/>
      <c r="D191" s="18"/>
      <c r="O191" s="18"/>
      <c r="P191" s="18"/>
      <c r="Q191" s="18"/>
      <c r="R191" s="18"/>
      <c r="S191" s="18"/>
      <c r="T191" s="18"/>
    </row>
    <row r="192">
      <c r="B192" s="18"/>
      <c r="C192" s="18"/>
      <c r="D192" s="18"/>
      <c r="O192" s="18"/>
      <c r="P192" s="18"/>
      <c r="Q192" s="18"/>
      <c r="R192" s="18"/>
      <c r="S192" s="18"/>
      <c r="T192" s="18"/>
    </row>
    <row r="193">
      <c r="B193" s="18"/>
      <c r="C193" s="18"/>
      <c r="D193" s="18"/>
      <c r="O193" s="18"/>
      <c r="P193" s="18"/>
      <c r="Q193" s="18"/>
      <c r="R193" s="18"/>
      <c r="S193" s="18"/>
      <c r="T193" s="18"/>
    </row>
    <row r="194">
      <c r="B194" s="18"/>
      <c r="C194" s="18"/>
      <c r="D194" s="18"/>
      <c r="O194" s="18"/>
      <c r="P194" s="18"/>
      <c r="Q194" s="18"/>
      <c r="R194" s="18"/>
      <c r="S194" s="18"/>
      <c r="T194" s="18"/>
    </row>
    <row r="195">
      <c r="B195" s="18"/>
      <c r="C195" s="18"/>
      <c r="D195" s="18"/>
      <c r="O195" s="18"/>
      <c r="P195" s="18"/>
      <c r="Q195" s="18"/>
      <c r="R195" s="18"/>
      <c r="S195" s="18"/>
      <c r="T195" s="18"/>
    </row>
    <row r="196">
      <c r="B196" s="18"/>
      <c r="C196" s="18"/>
      <c r="D196" s="18"/>
      <c r="O196" s="18"/>
      <c r="P196" s="18"/>
      <c r="Q196" s="18"/>
      <c r="R196" s="18"/>
      <c r="S196" s="18"/>
      <c r="T196" s="18"/>
    </row>
    <row r="197">
      <c r="B197" s="18"/>
      <c r="C197" s="18"/>
      <c r="D197" s="18"/>
      <c r="O197" s="18"/>
      <c r="P197" s="18"/>
      <c r="Q197" s="18"/>
      <c r="R197" s="18"/>
      <c r="S197" s="18"/>
      <c r="T197" s="18"/>
    </row>
    <row r="198">
      <c r="B198" s="18"/>
      <c r="C198" s="18"/>
      <c r="D198" s="18"/>
      <c r="O198" s="18"/>
      <c r="P198" s="18"/>
      <c r="Q198" s="18"/>
      <c r="R198" s="18"/>
      <c r="S198" s="18"/>
      <c r="T198" s="18"/>
    </row>
    <row r="199">
      <c r="B199" s="18"/>
      <c r="C199" s="18"/>
      <c r="D199" s="18"/>
      <c r="O199" s="18"/>
      <c r="P199" s="18"/>
      <c r="Q199" s="18"/>
      <c r="R199" s="18"/>
      <c r="S199" s="18"/>
      <c r="T199" s="18"/>
    </row>
    <row r="200">
      <c r="B200" s="18"/>
      <c r="C200" s="18"/>
      <c r="D200" s="18"/>
      <c r="O200" s="18"/>
      <c r="P200" s="18"/>
      <c r="Q200" s="18"/>
      <c r="R200" s="18"/>
      <c r="S200" s="18"/>
      <c r="T200" s="18"/>
    </row>
    <row r="201">
      <c r="B201" s="18"/>
      <c r="C201" s="18"/>
      <c r="D201" s="18"/>
      <c r="O201" s="18"/>
      <c r="P201" s="18"/>
      <c r="Q201" s="18"/>
      <c r="R201" s="18"/>
      <c r="S201" s="18"/>
      <c r="T201" s="18"/>
    </row>
    <row r="202">
      <c r="B202" s="18"/>
      <c r="C202" s="18"/>
      <c r="D202" s="18"/>
      <c r="O202" s="18"/>
      <c r="P202" s="18"/>
      <c r="Q202" s="18"/>
      <c r="R202" s="18"/>
      <c r="S202" s="18"/>
      <c r="T202" s="18"/>
    </row>
    <row r="203">
      <c r="B203" s="18"/>
      <c r="C203" s="18"/>
      <c r="D203" s="18"/>
      <c r="O203" s="18"/>
      <c r="P203" s="18"/>
      <c r="Q203" s="18"/>
      <c r="R203" s="18"/>
      <c r="S203" s="18"/>
      <c r="T203" s="18"/>
    </row>
    <row r="204">
      <c r="B204" s="18"/>
      <c r="C204" s="18"/>
      <c r="D204" s="18"/>
      <c r="O204" s="18"/>
      <c r="P204" s="18"/>
      <c r="Q204" s="18"/>
      <c r="R204" s="18"/>
      <c r="S204" s="18"/>
      <c r="T204" s="18"/>
    </row>
    <row r="205">
      <c r="B205" s="18"/>
      <c r="C205" s="18"/>
      <c r="D205" s="18"/>
      <c r="O205" s="18"/>
      <c r="P205" s="18"/>
      <c r="Q205" s="18"/>
      <c r="R205" s="18"/>
      <c r="S205" s="18"/>
      <c r="T205" s="18"/>
    </row>
    <row r="206">
      <c r="B206" s="18"/>
      <c r="C206" s="18"/>
      <c r="D206" s="18"/>
      <c r="O206" s="18"/>
      <c r="P206" s="18"/>
      <c r="Q206" s="18"/>
      <c r="R206" s="18"/>
      <c r="S206" s="18"/>
      <c r="T206" s="18"/>
    </row>
    <row r="207">
      <c r="B207" s="18"/>
      <c r="C207" s="18"/>
      <c r="D207" s="18"/>
      <c r="O207" s="18"/>
      <c r="P207" s="18"/>
      <c r="Q207" s="18"/>
      <c r="R207" s="18"/>
      <c r="S207" s="18"/>
      <c r="T207" s="18"/>
    </row>
    <row r="208">
      <c r="B208" s="18"/>
      <c r="C208" s="18"/>
      <c r="D208" s="18"/>
      <c r="O208" s="18"/>
      <c r="P208" s="18"/>
      <c r="Q208" s="18"/>
      <c r="R208" s="18"/>
      <c r="S208" s="18"/>
      <c r="T208" s="18"/>
    </row>
    <row r="209">
      <c r="B209" s="18"/>
      <c r="C209" s="18"/>
      <c r="D209" s="18"/>
      <c r="O209" s="18"/>
      <c r="P209" s="18"/>
      <c r="Q209" s="18"/>
      <c r="R209" s="18"/>
      <c r="S209" s="18"/>
      <c r="T209" s="18"/>
    </row>
    <row r="210">
      <c r="B210" s="18"/>
      <c r="C210" s="18"/>
      <c r="D210" s="18"/>
      <c r="O210" s="18"/>
      <c r="P210" s="18"/>
      <c r="Q210" s="18"/>
      <c r="R210" s="18"/>
      <c r="S210" s="18"/>
      <c r="T210" s="18"/>
    </row>
    <row r="211">
      <c r="B211" s="18"/>
      <c r="C211" s="18"/>
      <c r="D211" s="18"/>
      <c r="O211" s="18"/>
      <c r="P211" s="18"/>
      <c r="Q211" s="18"/>
      <c r="R211" s="18"/>
      <c r="S211" s="18"/>
      <c r="T211" s="18"/>
    </row>
    <row r="212">
      <c r="B212" s="18"/>
      <c r="C212" s="18"/>
      <c r="D212" s="18"/>
      <c r="O212" s="18"/>
      <c r="P212" s="18"/>
      <c r="Q212" s="18"/>
      <c r="R212" s="18"/>
      <c r="S212" s="18"/>
      <c r="T212" s="18"/>
    </row>
    <row r="213">
      <c r="B213" s="18"/>
      <c r="C213" s="18"/>
      <c r="D213" s="18"/>
      <c r="O213" s="18"/>
      <c r="P213" s="18"/>
      <c r="Q213" s="18"/>
      <c r="R213" s="18"/>
      <c r="S213" s="18"/>
      <c r="T213" s="18"/>
    </row>
    <row r="214">
      <c r="B214" s="18"/>
      <c r="C214" s="18"/>
      <c r="D214" s="18"/>
      <c r="O214" s="18"/>
      <c r="P214" s="18"/>
      <c r="Q214" s="18"/>
      <c r="R214" s="18"/>
      <c r="S214" s="18"/>
      <c r="T214" s="18"/>
    </row>
    <row r="215">
      <c r="B215" s="18"/>
      <c r="C215" s="18"/>
      <c r="D215" s="18"/>
      <c r="O215" s="18"/>
      <c r="P215" s="18"/>
      <c r="Q215" s="18"/>
      <c r="R215" s="18"/>
      <c r="S215" s="18"/>
      <c r="T215" s="18"/>
    </row>
    <row r="216">
      <c r="B216" s="18"/>
      <c r="C216" s="18"/>
      <c r="D216" s="18"/>
      <c r="O216" s="18"/>
      <c r="P216" s="18"/>
      <c r="Q216" s="18"/>
      <c r="R216" s="18"/>
      <c r="S216" s="18"/>
      <c r="T216" s="18"/>
    </row>
    <row r="217">
      <c r="B217" s="18"/>
      <c r="C217" s="18"/>
      <c r="D217" s="18"/>
      <c r="O217" s="18"/>
      <c r="P217" s="18"/>
      <c r="Q217" s="18"/>
      <c r="R217" s="18"/>
      <c r="S217" s="18"/>
      <c r="T217" s="18"/>
    </row>
    <row r="218">
      <c r="B218" s="18"/>
      <c r="C218" s="18"/>
      <c r="D218" s="18"/>
      <c r="O218" s="18"/>
      <c r="P218" s="18"/>
      <c r="Q218" s="18"/>
      <c r="R218" s="18"/>
      <c r="S218" s="18"/>
      <c r="T218" s="18"/>
    </row>
    <row r="219">
      <c r="B219" s="18"/>
      <c r="C219" s="18"/>
      <c r="D219" s="18"/>
      <c r="O219" s="18"/>
      <c r="P219" s="18"/>
      <c r="Q219" s="18"/>
      <c r="R219" s="18"/>
      <c r="S219" s="18"/>
      <c r="T219" s="18"/>
    </row>
    <row r="220">
      <c r="B220" s="18"/>
      <c r="C220" s="18"/>
      <c r="D220" s="18"/>
      <c r="O220" s="18"/>
      <c r="P220" s="18"/>
      <c r="Q220" s="18"/>
      <c r="R220" s="18"/>
      <c r="S220" s="18"/>
      <c r="T220" s="18"/>
    </row>
    <row r="221">
      <c r="B221" s="18"/>
      <c r="C221" s="18"/>
      <c r="D221" s="18"/>
      <c r="O221" s="18"/>
      <c r="P221" s="18"/>
      <c r="Q221" s="18"/>
      <c r="R221" s="18"/>
      <c r="S221" s="18"/>
      <c r="T221" s="18"/>
    </row>
    <row r="222">
      <c r="B222" s="18"/>
      <c r="C222" s="18"/>
      <c r="D222" s="18"/>
      <c r="O222" s="18"/>
      <c r="P222" s="18"/>
      <c r="Q222" s="18"/>
      <c r="R222" s="18"/>
      <c r="S222" s="18"/>
      <c r="T222" s="18"/>
    </row>
    <row r="223">
      <c r="B223" s="18"/>
      <c r="C223" s="18"/>
      <c r="D223" s="18"/>
      <c r="O223" s="18"/>
      <c r="P223" s="18"/>
      <c r="Q223" s="18"/>
      <c r="R223" s="18"/>
      <c r="S223" s="18"/>
      <c r="T223" s="18"/>
    </row>
    <row r="224">
      <c r="B224" s="18"/>
      <c r="C224" s="18"/>
      <c r="D224" s="18"/>
      <c r="O224" s="18"/>
      <c r="P224" s="18"/>
      <c r="Q224" s="18"/>
      <c r="R224" s="18"/>
      <c r="S224" s="18"/>
      <c r="T224" s="18"/>
    </row>
    <row r="225">
      <c r="B225" s="18"/>
      <c r="C225" s="18"/>
      <c r="D225" s="18"/>
      <c r="O225" s="18"/>
      <c r="P225" s="18"/>
      <c r="Q225" s="18"/>
      <c r="R225" s="18"/>
      <c r="S225" s="18"/>
      <c r="T225" s="18"/>
    </row>
    <row r="226">
      <c r="B226" s="18"/>
      <c r="C226" s="18"/>
      <c r="D226" s="18"/>
      <c r="O226" s="18"/>
      <c r="P226" s="18"/>
      <c r="Q226" s="18"/>
      <c r="R226" s="18"/>
      <c r="S226" s="18"/>
      <c r="T226" s="18"/>
    </row>
    <row r="227">
      <c r="B227" s="18"/>
      <c r="C227" s="18"/>
      <c r="D227" s="18"/>
      <c r="O227" s="18"/>
      <c r="P227" s="18"/>
      <c r="Q227" s="18"/>
      <c r="R227" s="18"/>
      <c r="S227" s="18"/>
      <c r="T227" s="18"/>
    </row>
    <row r="228">
      <c r="B228" s="18"/>
      <c r="C228" s="18"/>
      <c r="D228" s="18"/>
      <c r="O228" s="18"/>
      <c r="P228" s="18"/>
      <c r="Q228" s="18"/>
      <c r="R228" s="18"/>
      <c r="S228" s="18"/>
      <c r="T228" s="18"/>
    </row>
    <row r="229">
      <c r="B229" s="18"/>
      <c r="C229" s="18"/>
      <c r="D229" s="18"/>
      <c r="O229" s="18"/>
      <c r="P229" s="18"/>
      <c r="Q229" s="18"/>
      <c r="R229" s="18"/>
      <c r="S229" s="18"/>
      <c r="T229" s="18"/>
    </row>
    <row r="230">
      <c r="B230" s="18"/>
      <c r="C230" s="18"/>
      <c r="D230" s="18"/>
      <c r="O230" s="18"/>
      <c r="P230" s="18"/>
      <c r="Q230" s="18"/>
      <c r="R230" s="18"/>
      <c r="S230" s="18"/>
      <c r="T230" s="18"/>
    </row>
    <row r="231">
      <c r="B231" s="18"/>
      <c r="C231" s="18"/>
      <c r="D231" s="18"/>
      <c r="O231" s="18"/>
      <c r="P231" s="18"/>
      <c r="Q231" s="18"/>
      <c r="R231" s="18"/>
      <c r="S231" s="18"/>
      <c r="T231" s="18"/>
    </row>
    <row r="232">
      <c r="B232" s="18"/>
      <c r="C232" s="18"/>
      <c r="D232" s="18"/>
      <c r="O232" s="18"/>
      <c r="P232" s="18"/>
      <c r="Q232" s="18"/>
      <c r="R232" s="18"/>
      <c r="S232" s="18"/>
      <c r="T232" s="18"/>
    </row>
    <row r="233">
      <c r="B233" s="18"/>
      <c r="C233" s="18"/>
      <c r="D233" s="18"/>
      <c r="O233" s="18"/>
      <c r="P233" s="18"/>
      <c r="Q233" s="18"/>
      <c r="R233" s="18"/>
      <c r="S233" s="18"/>
      <c r="T233" s="18"/>
    </row>
    <row r="234">
      <c r="B234" s="18"/>
      <c r="C234" s="18"/>
      <c r="D234" s="18"/>
      <c r="O234" s="18"/>
      <c r="P234" s="18"/>
      <c r="Q234" s="18"/>
      <c r="R234" s="18"/>
      <c r="S234" s="18"/>
      <c r="T234" s="18"/>
    </row>
    <row r="235">
      <c r="B235" s="18"/>
      <c r="C235" s="18"/>
      <c r="D235" s="18"/>
      <c r="O235" s="18"/>
      <c r="P235" s="18"/>
      <c r="Q235" s="18"/>
      <c r="R235" s="18"/>
      <c r="S235" s="18"/>
      <c r="T235" s="18"/>
    </row>
    <row r="236">
      <c r="B236" s="18"/>
      <c r="C236" s="18"/>
      <c r="D236" s="18"/>
      <c r="O236" s="18"/>
      <c r="P236" s="18"/>
      <c r="Q236" s="18"/>
      <c r="R236" s="18"/>
      <c r="S236" s="18"/>
      <c r="T236" s="18"/>
    </row>
    <row r="237">
      <c r="B237" s="18"/>
      <c r="C237" s="18"/>
      <c r="D237" s="18"/>
      <c r="O237" s="18"/>
      <c r="P237" s="18"/>
      <c r="Q237" s="18"/>
      <c r="R237" s="18"/>
      <c r="S237" s="18"/>
      <c r="T237" s="18"/>
    </row>
    <row r="238">
      <c r="B238" s="18"/>
      <c r="C238" s="18"/>
      <c r="D238" s="18"/>
      <c r="O238" s="18"/>
      <c r="P238" s="18"/>
      <c r="Q238" s="18"/>
      <c r="R238" s="18"/>
      <c r="S238" s="18"/>
      <c r="T238" s="18"/>
    </row>
    <row r="239">
      <c r="B239" s="18"/>
      <c r="C239" s="18"/>
      <c r="D239" s="18"/>
      <c r="O239" s="18"/>
      <c r="P239" s="18"/>
      <c r="Q239" s="18"/>
      <c r="R239" s="18"/>
      <c r="S239" s="18"/>
      <c r="T239" s="18"/>
    </row>
    <row r="240">
      <c r="B240" s="18"/>
      <c r="C240" s="18"/>
      <c r="D240" s="18"/>
      <c r="O240" s="18"/>
      <c r="P240" s="18"/>
      <c r="Q240" s="18"/>
      <c r="R240" s="18"/>
      <c r="S240" s="18"/>
      <c r="T240" s="18"/>
    </row>
    <row r="241">
      <c r="B241" s="18"/>
      <c r="C241" s="18"/>
      <c r="D241" s="18"/>
      <c r="O241" s="18"/>
      <c r="P241" s="18"/>
      <c r="Q241" s="18"/>
      <c r="R241" s="18"/>
      <c r="S241" s="18"/>
      <c r="T241" s="18"/>
    </row>
    <row r="242">
      <c r="B242" s="18"/>
      <c r="C242" s="18"/>
      <c r="D242" s="18"/>
      <c r="O242" s="18"/>
      <c r="P242" s="18"/>
      <c r="Q242" s="18"/>
      <c r="R242" s="18"/>
      <c r="S242" s="18"/>
      <c r="T242" s="18"/>
    </row>
    <row r="243">
      <c r="B243" s="18"/>
      <c r="C243" s="18"/>
      <c r="D243" s="18"/>
      <c r="O243" s="18"/>
      <c r="P243" s="18"/>
      <c r="Q243" s="18"/>
      <c r="R243" s="18"/>
      <c r="S243" s="18"/>
      <c r="T243" s="18"/>
    </row>
    <row r="244">
      <c r="B244" s="18"/>
      <c r="C244" s="18"/>
      <c r="D244" s="18"/>
      <c r="O244" s="18"/>
      <c r="P244" s="18"/>
      <c r="Q244" s="18"/>
      <c r="R244" s="18"/>
      <c r="S244" s="18"/>
      <c r="T244" s="18"/>
    </row>
    <row r="245">
      <c r="B245" s="18"/>
      <c r="C245" s="18"/>
      <c r="D245" s="18"/>
      <c r="O245" s="18"/>
      <c r="P245" s="18"/>
      <c r="Q245" s="18"/>
      <c r="R245" s="18"/>
      <c r="S245" s="18"/>
      <c r="T245" s="18"/>
    </row>
    <row r="246">
      <c r="B246" s="18"/>
      <c r="C246" s="18"/>
      <c r="D246" s="18"/>
      <c r="O246" s="18"/>
      <c r="P246" s="18"/>
      <c r="Q246" s="18"/>
      <c r="R246" s="18"/>
      <c r="S246" s="18"/>
      <c r="T246" s="18"/>
    </row>
    <row r="247">
      <c r="B247" s="18"/>
      <c r="C247" s="18"/>
      <c r="D247" s="18"/>
      <c r="O247" s="18"/>
      <c r="P247" s="18"/>
      <c r="Q247" s="18"/>
      <c r="R247" s="18"/>
      <c r="S247" s="18"/>
      <c r="T247" s="18"/>
    </row>
    <row r="248">
      <c r="B248" s="18"/>
      <c r="C248" s="18"/>
      <c r="D248" s="18"/>
      <c r="O248" s="18"/>
      <c r="P248" s="18"/>
      <c r="Q248" s="18"/>
      <c r="R248" s="18"/>
      <c r="S248" s="18"/>
      <c r="T248" s="18"/>
    </row>
    <row r="249">
      <c r="B249" s="18"/>
      <c r="C249" s="18"/>
      <c r="D249" s="18"/>
      <c r="O249" s="18"/>
      <c r="P249" s="18"/>
      <c r="Q249" s="18"/>
      <c r="R249" s="18"/>
      <c r="S249" s="18"/>
      <c r="T249" s="18"/>
    </row>
    <row r="250">
      <c r="B250" s="18"/>
      <c r="C250" s="18"/>
      <c r="D250" s="18"/>
      <c r="O250" s="18"/>
      <c r="P250" s="18"/>
      <c r="Q250" s="18"/>
      <c r="R250" s="18"/>
      <c r="S250" s="18"/>
      <c r="T250" s="18"/>
    </row>
    <row r="251">
      <c r="B251" s="18"/>
      <c r="C251" s="18"/>
      <c r="D251" s="18"/>
      <c r="O251" s="18"/>
      <c r="P251" s="18"/>
      <c r="Q251" s="18"/>
      <c r="R251" s="18"/>
      <c r="S251" s="18"/>
      <c r="T251" s="18"/>
    </row>
    <row r="252">
      <c r="B252" s="18"/>
      <c r="C252" s="18"/>
      <c r="D252" s="18"/>
      <c r="O252" s="18"/>
      <c r="P252" s="18"/>
      <c r="Q252" s="18"/>
      <c r="R252" s="18"/>
      <c r="S252" s="18"/>
      <c r="T252" s="18"/>
    </row>
    <row r="253">
      <c r="B253" s="18"/>
      <c r="C253" s="18"/>
      <c r="D253" s="18"/>
      <c r="O253" s="18"/>
      <c r="P253" s="18"/>
      <c r="Q253" s="18"/>
      <c r="R253" s="18"/>
      <c r="S253" s="18"/>
      <c r="T253" s="18"/>
    </row>
    <row r="254">
      <c r="B254" s="18"/>
      <c r="C254" s="18"/>
      <c r="D254" s="18"/>
      <c r="O254" s="18"/>
      <c r="P254" s="18"/>
      <c r="Q254" s="18"/>
      <c r="R254" s="18"/>
      <c r="S254" s="18"/>
      <c r="T254" s="18"/>
    </row>
    <row r="255">
      <c r="B255" s="18"/>
      <c r="C255" s="18"/>
      <c r="D255" s="18"/>
      <c r="O255" s="18"/>
      <c r="P255" s="18"/>
      <c r="Q255" s="18"/>
      <c r="R255" s="18"/>
      <c r="S255" s="18"/>
      <c r="T255" s="18"/>
    </row>
    <row r="256">
      <c r="B256" s="18"/>
      <c r="C256" s="18"/>
      <c r="D256" s="18"/>
      <c r="O256" s="18"/>
      <c r="P256" s="18"/>
      <c r="Q256" s="18"/>
      <c r="R256" s="18"/>
      <c r="S256" s="18"/>
      <c r="T256" s="18"/>
    </row>
    <row r="257">
      <c r="B257" s="18"/>
      <c r="C257" s="18"/>
      <c r="D257" s="18"/>
      <c r="O257" s="18"/>
      <c r="P257" s="18"/>
      <c r="Q257" s="18"/>
      <c r="R257" s="18"/>
      <c r="S257" s="18"/>
      <c r="T257" s="18"/>
    </row>
    <row r="258">
      <c r="B258" s="18"/>
      <c r="C258" s="18"/>
      <c r="D258" s="18"/>
      <c r="O258" s="18"/>
      <c r="P258" s="18"/>
      <c r="Q258" s="18"/>
      <c r="R258" s="18"/>
      <c r="S258" s="18"/>
      <c r="T258" s="18"/>
    </row>
    <row r="259">
      <c r="B259" s="18"/>
      <c r="C259" s="18"/>
      <c r="D259" s="18"/>
      <c r="O259" s="18"/>
      <c r="P259" s="18"/>
      <c r="Q259" s="18"/>
      <c r="R259" s="18"/>
      <c r="S259" s="18"/>
      <c r="T259" s="18"/>
    </row>
    <row r="260">
      <c r="B260" s="18"/>
      <c r="C260" s="18"/>
      <c r="D260" s="18"/>
      <c r="O260" s="18"/>
      <c r="P260" s="18"/>
      <c r="Q260" s="18"/>
      <c r="R260" s="18"/>
      <c r="S260" s="18"/>
      <c r="T260" s="18"/>
    </row>
    <row r="261">
      <c r="B261" s="18"/>
      <c r="C261" s="18"/>
      <c r="D261" s="18"/>
      <c r="O261" s="18"/>
      <c r="P261" s="18"/>
      <c r="Q261" s="18"/>
      <c r="R261" s="18"/>
      <c r="S261" s="18"/>
      <c r="T261" s="18"/>
    </row>
    <row r="262">
      <c r="B262" s="18"/>
      <c r="C262" s="18"/>
      <c r="D262" s="18"/>
      <c r="O262" s="18"/>
      <c r="P262" s="18"/>
      <c r="Q262" s="18"/>
      <c r="R262" s="18"/>
      <c r="S262" s="18"/>
      <c r="T262" s="18"/>
    </row>
    <row r="263">
      <c r="B263" s="18"/>
      <c r="C263" s="18"/>
      <c r="D263" s="18"/>
      <c r="O263" s="18"/>
      <c r="P263" s="18"/>
      <c r="Q263" s="18"/>
      <c r="R263" s="18"/>
      <c r="S263" s="18"/>
      <c r="T263" s="18"/>
    </row>
    <row r="264">
      <c r="B264" s="18"/>
      <c r="C264" s="18"/>
      <c r="D264" s="18"/>
      <c r="O264" s="18"/>
      <c r="P264" s="18"/>
      <c r="Q264" s="18"/>
      <c r="R264" s="18"/>
      <c r="S264" s="18"/>
      <c r="T264" s="18"/>
    </row>
    <row r="265">
      <c r="B265" s="18"/>
      <c r="C265" s="18"/>
      <c r="D265" s="18"/>
      <c r="O265" s="18"/>
      <c r="P265" s="18"/>
      <c r="Q265" s="18"/>
      <c r="R265" s="18"/>
      <c r="S265" s="18"/>
      <c r="T265" s="18"/>
    </row>
    <row r="266">
      <c r="B266" s="18"/>
      <c r="C266" s="18"/>
      <c r="D266" s="18"/>
      <c r="O266" s="18"/>
      <c r="P266" s="18"/>
      <c r="Q266" s="18"/>
      <c r="R266" s="18"/>
      <c r="S266" s="18"/>
      <c r="T266" s="18"/>
    </row>
    <row r="267">
      <c r="B267" s="18"/>
      <c r="C267" s="18"/>
      <c r="D267" s="18"/>
      <c r="O267" s="18"/>
      <c r="P267" s="18"/>
      <c r="Q267" s="18"/>
      <c r="R267" s="18"/>
      <c r="S267" s="18"/>
      <c r="T267" s="18"/>
    </row>
    <row r="268">
      <c r="B268" s="18"/>
      <c r="C268" s="18"/>
      <c r="D268" s="18"/>
      <c r="O268" s="18"/>
      <c r="P268" s="18"/>
      <c r="Q268" s="18"/>
      <c r="R268" s="18"/>
      <c r="S268" s="18"/>
      <c r="T268" s="18"/>
    </row>
    <row r="269">
      <c r="B269" s="18"/>
      <c r="C269" s="18"/>
      <c r="D269" s="18"/>
      <c r="O269" s="18"/>
      <c r="P269" s="18"/>
      <c r="Q269" s="18"/>
      <c r="R269" s="18"/>
      <c r="S269" s="18"/>
      <c r="T269" s="18"/>
    </row>
    <row r="270">
      <c r="B270" s="18"/>
      <c r="C270" s="18"/>
      <c r="D270" s="18"/>
      <c r="O270" s="18"/>
      <c r="P270" s="18"/>
      <c r="Q270" s="18"/>
      <c r="R270" s="18"/>
      <c r="S270" s="18"/>
      <c r="T270" s="18"/>
    </row>
    <row r="271">
      <c r="B271" s="18"/>
      <c r="C271" s="18"/>
      <c r="D271" s="18"/>
      <c r="O271" s="18"/>
      <c r="P271" s="18"/>
      <c r="Q271" s="18"/>
      <c r="R271" s="18"/>
      <c r="S271" s="18"/>
      <c r="T271" s="18"/>
    </row>
    <row r="272">
      <c r="B272" s="18"/>
      <c r="C272" s="18"/>
      <c r="D272" s="18"/>
      <c r="O272" s="18"/>
      <c r="P272" s="18"/>
      <c r="Q272" s="18"/>
      <c r="R272" s="18"/>
      <c r="S272" s="18"/>
      <c r="T272" s="18"/>
    </row>
    <row r="273">
      <c r="B273" s="18"/>
      <c r="C273" s="18"/>
      <c r="D273" s="18"/>
      <c r="O273" s="18"/>
      <c r="P273" s="18"/>
      <c r="Q273" s="18"/>
      <c r="R273" s="18"/>
      <c r="S273" s="18"/>
      <c r="T273" s="18"/>
    </row>
    <row r="274">
      <c r="B274" s="18"/>
      <c r="C274" s="18"/>
      <c r="D274" s="18"/>
      <c r="O274" s="18"/>
      <c r="P274" s="18"/>
      <c r="Q274" s="18"/>
      <c r="R274" s="18"/>
      <c r="S274" s="18"/>
      <c r="T274" s="18"/>
    </row>
    <row r="275">
      <c r="B275" s="18"/>
      <c r="C275" s="18"/>
      <c r="D275" s="18"/>
      <c r="O275" s="18"/>
      <c r="P275" s="18"/>
      <c r="Q275" s="18"/>
      <c r="R275" s="18"/>
      <c r="S275" s="18"/>
      <c r="T275" s="18"/>
    </row>
    <row r="276">
      <c r="B276" s="18"/>
      <c r="C276" s="18"/>
      <c r="D276" s="18"/>
      <c r="O276" s="18"/>
      <c r="P276" s="18"/>
      <c r="Q276" s="18"/>
      <c r="R276" s="18"/>
      <c r="S276" s="18"/>
      <c r="T276" s="18"/>
    </row>
    <row r="277">
      <c r="B277" s="18"/>
      <c r="C277" s="18"/>
      <c r="D277" s="18"/>
      <c r="O277" s="18"/>
      <c r="P277" s="18"/>
      <c r="Q277" s="18"/>
      <c r="R277" s="18"/>
      <c r="S277" s="18"/>
      <c r="T277" s="18"/>
    </row>
    <row r="278">
      <c r="B278" s="18"/>
      <c r="C278" s="18"/>
      <c r="D278" s="18"/>
      <c r="O278" s="18"/>
      <c r="P278" s="18"/>
      <c r="Q278" s="18"/>
      <c r="R278" s="18"/>
      <c r="S278" s="18"/>
      <c r="T278" s="18"/>
    </row>
    <row r="279">
      <c r="B279" s="18"/>
      <c r="C279" s="18"/>
      <c r="D279" s="18"/>
      <c r="O279" s="18"/>
      <c r="P279" s="18"/>
      <c r="Q279" s="18"/>
      <c r="R279" s="18"/>
      <c r="S279" s="18"/>
      <c r="T279" s="18"/>
    </row>
    <row r="280">
      <c r="B280" s="18"/>
      <c r="C280" s="18"/>
      <c r="D280" s="18"/>
      <c r="O280" s="18"/>
      <c r="P280" s="18"/>
      <c r="Q280" s="18"/>
      <c r="R280" s="18"/>
      <c r="S280" s="18"/>
      <c r="T280" s="18"/>
    </row>
    <row r="281">
      <c r="B281" s="18"/>
      <c r="C281" s="18"/>
      <c r="D281" s="18"/>
      <c r="O281" s="18"/>
      <c r="P281" s="18"/>
      <c r="Q281" s="18"/>
      <c r="R281" s="18"/>
      <c r="S281" s="18"/>
      <c r="T281" s="18"/>
    </row>
    <row r="282">
      <c r="B282" s="18"/>
      <c r="C282" s="18"/>
      <c r="D282" s="18"/>
      <c r="O282" s="18"/>
      <c r="P282" s="18"/>
      <c r="Q282" s="18"/>
      <c r="R282" s="18"/>
      <c r="S282" s="18"/>
      <c r="T282" s="18"/>
    </row>
    <row r="283">
      <c r="B283" s="18"/>
      <c r="C283" s="18"/>
      <c r="D283" s="18"/>
      <c r="O283" s="18"/>
      <c r="P283" s="18"/>
      <c r="Q283" s="18"/>
      <c r="R283" s="18"/>
      <c r="S283" s="18"/>
      <c r="T283" s="18"/>
    </row>
    <row r="284">
      <c r="B284" s="18"/>
      <c r="C284" s="18"/>
      <c r="D284" s="18"/>
      <c r="O284" s="18"/>
      <c r="P284" s="18"/>
      <c r="Q284" s="18"/>
      <c r="R284" s="18"/>
      <c r="S284" s="18"/>
      <c r="T284" s="18"/>
    </row>
    <row r="285">
      <c r="B285" s="18"/>
      <c r="C285" s="18"/>
      <c r="D285" s="18"/>
      <c r="O285" s="18"/>
      <c r="P285" s="18"/>
      <c r="Q285" s="18"/>
      <c r="R285" s="18"/>
      <c r="S285" s="18"/>
      <c r="T285" s="18"/>
    </row>
    <row r="286">
      <c r="B286" s="18"/>
      <c r="C286" s="18"/>
      <c r="D286" s="18"/>
      <c r="O286" s="18"/>
      <c r="P286" s="18"/>
      <c r="Q286" s="18"/>
      <c r="R286" s="18"/>
      <c r="S286" s="18"/>
      <c r="T286" s="18"/>
    </row>
    <row r="287">
      <c r="B287" s="18"/>
      <c r="C287" s="18"/>
      <c r="D287" s="18"/>
      <c r="O287" s="18"/>
      <c r="P287" s="18"/>
      <c r="Q287" s="18"/>
      <c r="R287" s="18"/>
      <c r="S287" s="18"/>
      <c r="T287" s="18"/>
    </row>
    <row r="288">
      <c r="B288" s="18"/>
      <c r="C288" s="18"/>
      <c r="D288" s="18"/>
      <c r="O288" s="18"/>
      <c r="P288" s="18"/>
      <c r="Q288" s="18"/>
      <c r="R288" s="18"/>
      <c r="S288" s="18"/>
      <c r="T288" s="18"/>
    </row>
    <row r="289">
      <c r="B289" s="18"/>
      <c r="C289" s="18"/>
      <c r="D289" s="18"/>
      <c r="O289" s="18"/>
      <c r="P289" s="18"/>
      <c r="Q289" s="18"/>
      <c r="R289" s="18"/>
      <c r="S289" s="18"/>
      <c r="T289" s="18"/>
    </row>
    <row r="290">
      <c r="B290" s="18"/>
      <c r="C290" s="18"/>
      <c r="D290" s="18"/>
      <c r="O290" s="18"/>
      <c r="P290" s="18"/>
      <c r="Q290" s="18"/>
      <c r="R290" s="18"/>
      <c r="S290" s="18"/>
      <c r="T290" s="18"/>
    </row>
    <row r="291">
      <c r="B291" s="18"/>
      <c r="C291" s="18"/>
      <c r="D291" s="18"/>
      <c r="O291" s="18"/>
      <c r="P291" s="18"/>
      <c r="Q291" s="18"/>
      <c r="R291" s="18"/>
      <c r="S291" s="18"/>
      <c r="T291" s="18"/>
    </row>
    <row r="292">
      <c r="B292" s="18"/>
      <c r="C292" s="18"/>
      <c r="D292" s="18"/>
      <c r="O292" s="18"/>
      <c r="P292" s="18"/>
      <c r="Q292" s="18"/>
      <c r="R292" s="18"/>
      <c r="S292" s="18"/>
      <c r="T292" s="18"/>
    </row>
    <row r="293">
      <c r="B293" s="18"/>
      <c r="C293" s="18"/>
      <c r="D293" s="18"/>
      <c r="O293" s="18"/>
      <c r="P293" s="18"/>
      <c r="Q293" s="18"/>
      <c r="R293" s="18"/>
      <c r="S293" s="18"/>
      <c r="T293" s="18"/>
    </row>
    <row r="294">
      <c r="B294" s="18"/>
      <c r="C294" s="18"/>
      <c r="D294" s="18"/>
      <c r="O294" s="18"/>
      <c r="P294" s="18"/>
      <c r="Q294" s="18"/>
      <c r="R294" s="18"/>
      <c r="S294" s="18"/>
      <c r="T294" s="18"/>
    </row>
    <row r="295">
      <c r="B295" s="18"/>
      <c r="C295" s="18"/>
      <c r="D295" s="18"/>
      <c r="O295" s="18"/>
      <c r="P295" s="18"/>
      <c r="Q295" s="18"/>
      <c r="R295" s="18"/>
      <c r="S295" s="18"/>
      <c r="T295" s="18"/>
    </row>
    <row r="296">
      <c r="B296" s="18"/>
      <c r="C296" s="18"/>
      <c r="D296" s="18"/>
      <c r="O296" s="18"/>
      <c r="P296" s="18"/>
      <c r="Q296" s="18"/>
      <c r="R296" s="18"/>
      <c r="S296" s="18"/>
      <c r="T296" s="18"/>
    </row>
    <row r="297">
      <c r="B297" s="18"/>
      <c r="C297" s="18"/>
      <c r="D297" s="18"/>
      <c r="O297" s="18"/>
      <c r="P297" s="18"/>
      <c r="Q297" s="18"/>
      <c r="R297" s="18"/>
      <c r="S297" s="18"/>
      <c r="T297" s="18"/>
    </row>
    <row r="298">
      <c r="B298" s="18"/>
      <c r="C298" s="18"/>
      <c r="D298" s="18"/>
      <c r="O298" s="18"/>
      <c r="P298" s="18"/>
      <c r="Q298" s="18"/>
      <c r="R298" s="18"/>
      <c r="S298" s="18"/>
      <c r="T298" s="18"/>
    </row>
    <row r="299">
      <c r="B299" s="18"/>
      <c r="C299" s="18"/>
      <c r="D299" s="18"/>
      <c r="O299" s="18"/>
      <c r="P299" s="18"/>
      <c r="Q299" s="18"/>
      <c r="R299" s="18"/>
      <c r="S299" s="18"/>
      <c r="T299" s="18"/>
    </row>
    <row r="300">
      <c r="B300" s="18"/>
      <c r="C300" s="18"/>
      <c r="D300" s="18"/>
      <c r="O300" s="18"/>
      <c r="P300" s="18"/>
      <c r="Q300" s="18"/>
      <c r="R300" s="18"/>
      <c r="S300" s="18"/>
      <c r="T300" s="18"/>
    </row>
    <row r="301">
      <c r="B301" s="18"/>
      <c r="C301" s="18"/>
      <c r="D301" s="18"/>
      <c r="O301" s="18"/>
      <c r="P301" s="18"/>
      <c r="Q301" s="18"/>
      <c r="R301" s="18"/>
      <c r="S301" s="18"/>
      <c r="T301" s="18"/>
    </row>
    <row r="302">
      <c r="B302" s="18"/>
      <c r="C302" s="18"/>
      <c r="D302" s="18"/>
      <c r="O302" s="18"/>
      <c r="P302" s="18"/>
      <c r="Q302" s="18"/>
      <c r="R302" s="18"/>
      <c r="S302" s="18"/>
      <c r="T302" s="18"/>
    </row>
    <row r="303">
      <c r="B303" s="18"/>
      <c r="C303" s="18"/>
      <c r="D303" s="18"/>
      <c r="O303" s="18"/>
      <c r="P303" s="18"/>
      <c r="Q303" s="18"/>
      <c r="R303" s="18"/>
      <c r="S303" s="18"/>
      <c r="T303" s="18"/>
    </row>
    <row r="304">
      <c r="B304" s="18"/>
      <c r="C304" s="18"/>
      <c r="D304" s="18"/>
      <c r="O304" s="18"/>
      <c r="P304" s="18"/>
      <c r="Q304" s="18"/>
      <c r="R304" s="18"/>
      <c r="S304" s="18"/>
      <c r="T304" s="18"/>
    </row>
    <row r="305">
      <c r="B305" s="18"/>
      <c r="C305" s="18"/>
      <c r="D305" s="18"/>
      <c r="O305" s="18"/>
      <c r="P305" s="18"/>
      <c r="Q305" s="18"/>
      <c r="R305" s="18"/>
      <c r="S305" s="18"/>
      <c r="T305" s="18"/>
    </row>
    <row r="306">
      <c r="B306" s="18"/>
      <c r="C306" s="18"/>
      <c r="D306" s="18"/>
      <c r="O306" s="18"/>
      <c r="P306" s="18"/>
      <c r="Q306" s="18"/>
      <c r="R306" s="18"/>
      <c r="S306" s="18"/>
      <c r="T306" s="18"/>
    </row>
    <row r="307">
      <c r="B307" s="18"/>
      <c r="C307" s="18"/>
      <c r="D307" s="18"/>
      <c r="O307" s="18"/>
      <c r="P307" s="18"/>
      <c r="Q307" s="18"/>
      <c r="R307" s="18"/>
      <c r="S307" s="18"/>
      <c r="T307" s="18"/>
    </row>
    <row r="308">
      <c r="B308" s="18"/>
      <c r="C308" s="18"/>
      <c r="D308" s="18"/>
      <c r="O308" s="18"/>
      <c r="P308" s="18"/>
      <c r="Q308" s="18"/>
      <c r="R308" s="18"/>
      <c r="S308" s="18"/>
      <c r="T308" s="18"/>
    </row>
    <row r="309">
      <c r="B309" s="18"/>
      <c r="C309" s="18"/>
      <c r="D309" s="18"/>
      <c r="O309" s="18"/>
      <c r="P309" s="18"/>
      <c r="Q309" s="18"/>
      <c r="R309" s="18"/>
      <c r="S309" s="18"/>
      <c r="T309" s="18"/>
    </row>
    <row r="310">
      <c r="B310" s="18"/>
      <c r="C310" s="18"/>
      <c r="D310" s="18"/>
      <c r="O310" s="18"/>
      <c r="P310" s="18"/>
      <c r="Q310" s="18"/>
      <c r="R310" s="18"/>
      <c r="S310" s="18"/>
      <c r="T310" s="18"/>
    </row>
    <row r="311">
      <c r="B311" s="18"/>
      <c r="C311" s="18"/>
      <c r="D311" s="18"/>
      <c r="O311" s="18"/>
      <c r="P311" s="18"/>
      <c r="Q311" s="18"/>
      <c r="R311" s="18"/>
      <c r="S311" s="18"/>
      <c r="T311" s="18"/>
    </row>
    <row r="312">
      <c r="B312" s="18"/>
      <c r="C312" s="18"/>
      <c r="D312" s="18"/>
      <c r="O312" s="18"/>
      <c r="P312" s="18"/>
      <c r="Q312" s="18"/>
      <c r="R312" s="18"/>
      <c r="S312" s="18"/>
      <c r="T312" s="18"/>
    </row>
    <row r="313">
      <c r="B313" s="18"/>
      <c r="C313" s="18"/>
      <c r="D313" s="18"/>
      <c r="O313" s="18"/>
      <c r="P313" s="18"/>
      <c r="Q313" s="18"/>
      <c r="R313" s="18"/>
      <c r="S313" s="18"/>
      <c r="T313" s="18"/>
    </row>
    <row r="314">
      <c r="B314" s="18"/>
      <c r="C314" s="18"/>
      <c r="D314" s="18"/>
      <c r="O314" s="18"/>
      <c r="P314" s="18"/>
      <c r="Q314" s="18"/>
      <c r="R314" s="18"/>
      <c r="S314" s="18"/>
      <c r="T314" s="18"/>
    </row>
    <row r="315">
      <c r="B315" s="18"/>
      <c r="C315" s="18"/>
      <c r="D315" s="18"/>
      <c r="O315" s="18"/>
      <c r="P315" s="18"/>
      <c r="Q315" s="18"/>
      <c r="R315" s="18"/>
      <c r="S315" s="18"/>
      <c r="T315" s="18"/>
    </row>
    <row r="316">
      <c r="B316" s="18"/>
      <c r="C316" s="18"/>
      <c r="D316" s="18"/>
      <c r="O316" s="18"/>
      <c r="P316" s="18"/>
      <c r="Q316" s="18"/>
      <c r="R316" s="18"/>
      <c r="S316" s="18"/>
      <c r="T316" s="18"/>
    </row>
    <row r="317">
      <c r="B317" s="18"/>
      <c r="C317" s="18"/>
      <c r="D317" s="18"/>
      <c r="O317" s="18"/>
      <c r="P317" s="18"/>
      <c r="Q317" s="18"/>
      <c r="R317" s="18"/>
      <c r="S317" s="18"/>
      <c r="T317" s="18"/>
    </row>
    <row r="318">
      <c r="B318" s="18"/>
      <c r="C318" s="18"/>
      <c r="D318" s="18"/>
      <c r="O318" s="18"/>
      <c r="P318" s="18"/>
      <c r="Q318" s="18"/>
      <c r="R318" s="18"/>
      <c r="S318" s="18"/>
      <c r="T318" s="18"/>
    </row>
    <row r="319">
      <c r="B319" s="18"/>
      <c r="C319" s="18"/>
      <c r="D319" s="18"/>
      <c r="O319" s="18"/>
      <c r="P319" s="18"/>
      <c r="Q319" s="18"/>
      <c r="R319" s="18"/>
      <c r="S319" s="18"/>
      <c r="T319" s="18"/>
    </row>
    <row r="320">
      <c r="B320" s="18"/>
      <c r="C320" s="18"/>
      <c r="D320" s="18"/>
      <c r="O320" s="18"/>
      <c r="P320" s="18"/>
      <c r="Q320" s="18"/>
      <c r="R320" s="18"/>
      <c r="S320" s="18"/>
      <c r="T320" s="18"/>
    </row>
    <row r="321">
      <c r="B321" s="18"/>
      <c r="C321" s="18"/>
      <c r="D321" s="18"/>
      <c r="O321" s="18"/>
      <c r="P321" s="18"/>
      <c r="Q321" s="18"/>
      <c r="R321" s="18"/>
      <c r="S321" s="18"/>
      <c r="T321" s="18"/>
    </row>
    <row r="322">
      <c r="B322" s="18"/>
      <c r="C322" s="18"/>
      <c r="D322" s="18"/>
      <c r="O322" s="18"/>
      <c r="P322" s="18"/>
      <c r="Q322" s="18"/>
      <c r="R322" s="18"/>
      <c r="S322" s="18"/>
      <c r="T322" s="18"/>
    </row>
    <row r="323">
      <c r="B323" s="18"/>
      <c r="C323" s="18"/>
      <c r="D323" s="18"/>
      <c r="O323" s="18"/>
      <c r="P323" s="18"/>
      <c r="Q323" s="18"/>
      <c r="R323" s="18"/>
      <c r="S323" s="18"/>
      <c r="T323" s="18"/>
    </row>
    <row r="324">
      <c r="B324" s="18"/>
      <c r="C324" s="18"/>
      <c r="D324" s="18"/>
      <c r="O324" s="18"/>
      <c r="P324" s="18"/>
      <c r="Q324" s="18"/>
      <c r="R324" s="18"/>
      <c r="S324" s="18"/>
      <c r="T324" s="18"/>
    </row>
    <row r="325">
      <c r="B325" s="18"/>
      <c r="C325" s="18"/>
      <c r="D325" s="18"/>
      <c r="O325" s="18"/>
      <c r="P325" s="18"/>
      <c r="Q325" s="18"/>
      <c r="R325" s="18"/>
      <c r="S325" s="18"/>
      <c r="T325" s="18"/>
    </row>
    <row r="326">
      <c r="B326" s="18"/>
      <c r="C326" s="18"/>
      <c r="D326" s="18"/>
      <c r="O326" s="18"/>
      <c r="P326" s="18"/>
      <c r="Q326" s="18"/>
      <c r="R326" s="18"/>
      <c r="S326" s="18"/>
      <c r="T326" s="18"/>
    </row>
    <row r="327">
      <c r="B327" s="18"/>
      <c r="C327" s="18"/>
      <c r="D327" s="18"/>
      <c r="O327" s="18"/>
      <c r="P327" s="18"/>
      <c r="Q327" s="18"/>
      <c r="R327" s="18"/>
      <c r="S327" s="18"/>
      <c r="T327" s="18"/>
    </row>
    <row r="328">
      <c r="B328" s="18"/>
      <c r="C328" s="18"/>
      <c r="D328" s="18"/>
      <c r="O328" s="18"/>
      <c r="P328" s="18"/>
      <c r="Q328" s="18"/>
      <c r="R328" s="18"/>
      <c r="S328" s="18"/>
      <c r="T328" s="18"/>
    </row>
    <row r="329">
      <c r="B329" s="18"/>
      <c r="C329" s="18"/>
      <c r="D329" s="18"/>
      <c r="O329" s="18"/>
      <c r="P329" s="18"/>
      <c r="Q329" s="18"/>
      <c r="R329" s="18"/>
      <c r="S329" s="18"/>
      <c r="T329" s="18"/>
    </row>
    <row r="330">
      <c r="B330" s="18"/>
      <c r="C330" s="18"/>
      <c r="D330" s="18"/>
      <c r="O330" s="18"/>
      <c r="P330" s="18"/>
      <c r="Q330" s="18"/>
      <c r="R330" s="18"/>
      <c r="S330" s="18"/>
      <c r="T330" s="18"/>
    </row>
    <row r="331">
      <c r="B331" s="18"/>
      <c r="C331" s="18"/>
      <c r="D331" s="18"/>
      <c r="O331" s="18"/>
      <c r="P331" s="18"/>
      <c r="Q331" s="18"/>
      <c r="R331" s="18"/>
      <c r="S331" s="18"/>
      <c r="T331" s="18"/>
    </row>
    <row r="332">
      <c r="B332" s="18"/>
      <c r="C332" s="18"/>
      <c r="D332" s="18"/>
      <c r="O332" s="18"/>
      <c r="P332" s="18"/>
      <c r="Q332" s="18"/>
      <c r="R332" s="18"/>
      <c r="S332" s="18"/>
      <c r="T332" s="18"/>
    </row>
    <row r="333">
      <c r="B333" s="18"/>
      <c r="C333" s="18"/>
      <c r="D333" s="18"/>
      <c r="O333" s="18"/>
      <c r="P333" s="18"/>
      <c r="Q333" s="18"/>
      <c r="R333" s="18"/>
      <c r="S333" s="18"/>
      <c r="T333" s="18"/>
    </row>
    <row r="334">
      <c r="B334" s="18"/>
      <c r="C334" s="18"/>
      <c r="D334" s="18"/>
      <c r="O334" s="18"/>
      <c r="P334" s="18"/>
      <c r="Q334" s="18"/>
      <c r="R334" s="18"/>
      <c r="S334" s="18"/>
      <c r="T334" s="18"/>
    </row>
    <row r="335">
      <c r="B335" s="18"/>
      <c r="C335" s="18"/>
      <c r="D335" s="18"/>
      <c r="O335" s="18"/>
      <c r="P335" s="18"/>
      <c r="Q335" s="18"/>
      <c r="R335" s="18"/>
      <c r="S335" s="18"/>
      <c r="T335" s="18"/>
    </row>
    <row r="336">
      <c r="B336" s="18"/>
      <c r="C336" s="18"/>
      <c r="D336" s="18"/>
      <c r="O336" s="18"/>
      <c r="P336" s="18"/>
      <c r="Q336" s="18"/>
      <c r="R336" s="18"/>
      <c r="S336" s="18"/>
      <c r="T336" s="18"/>
    </row>
    <row r="337">
      <c r="B337" s="18"/>
      <c r="C337" s="18"/>
      <c r="D337" s="18"/>
      <c r="O337" s="18"/>
      <c r="P337" s="18"/>
      <c r="Q337" s="18"/>
      <c r="R337" s="18"/>
      <c r="S337" s="18"/>
      <c r="T337" s="18"/>
    </row>
    <row r="338">
      <c r="B338" s="18"/>
      <c r="C338" s="18"/>
      <c r="D338" s="18"/>
      <c r="O338" s="18"/>
      <c r="P338" s="18"/>
      <c r="Q338" s="18"/>
      <c r="R338" s="18"/>
      <c r="S338" s="18"/>
      <c r="T338" s="18"/>
    </row>
    <row r="339">
      <c r="B339" s="18"/>
      <c r="C339" s="18"/>
      <c r="D339" s="18"/>
      <c r="O339" s="18"/>
      <c r="P339" s="18"/>
      <c r="Q339" s="18"/>
      <c r="R339" s="18"/>
      <c r="S339" s="18"/>
      <c r="T339" s="18"/>
    </row>
    <row r="340">
      <c r="B340" s="18"/>
      <c r="C340" s="18"/>
      <c r="D340" s="18"/>
      <c r="O340" s="18"/>
      <c r="P340" s="18"/>
      <c r="Q340" s="18"/>
      <c r="R340" s="18"/>
      <c r="S340" s="18"/>
      <c r="T340" s="18"/>
    </row>
    <row r="341">
      <c r="B341" s="18"/>
      <c r="C341" s="18"/>
      <c r="D341" s="18"/>
      <c r="O341" s="18"/>
      <c r="P341" s="18"/>
      <c r="Q341" s="18"/>
      <c r="R341" s="18"/>
      <c r="S341" s="18"/>
      <c r="T341" s="18"/>
    </row>
    <row r="342">
      <c r="B342" s="18"/>
      <c r="C342" s="18"/>
      <c r="D342" s="18"/>
      <c r="O342" s="18"/>
      <c r="P342" s="18"/>
      <c r="Q342" s="18"/>
      <c r="R342" s="18"/>
      <c r="S342" s="18"/>
      <c r="T342" s="18"/>
    </row>
    <row r="343">
      <c r="B343" s="18"/>
      <c r="C343" s="18"/>
      <c r="D343" s="18"/>
      <c r="O343" s="18"/>
      <c r="P343" s="18"/>
      <c r="Q343" s="18"/>
      <c r="R343" s="18"/>
      <c r="S343" s="18"/>
      <c r="T343" s="18"/>
    </row>
    <row r="344">
      <c r="B344" s="18"/>
      <c r="C344" s="18"/>
      <c r="D344" s="18"/>
      <c r="O344" s="18"/>
      <c r="P344" s="18"/>
      <c r="Q344" s="18"/>
      <c r="R344" s="18"/>
      <c r="S344" s="18"/>
      <c r="T344" s="18"/>
    </row>
    <row r="345">
      <c r="B345" s="18"/>
      <c r="C345" s="18"/>
      <c r="D345" s="18"/>
      <c r="O345" s="18"/>
      <c r="P345" s="18"/>
      <c r="Q345" s="18"/>
      <c r="R345" s="18"/>
      <c r="S345" s="18"/>
      <c r="T345" s="18"/>
    </row>
    <row r="346">
      <c r="B346" s="18"/>
      <c r="C346" s="18"/>
      <c r="D346" s="18"/>
      <c r="O346" s="18"/>
      <c r="P346" s="18"/>
      <c r="Q346" s="18"/>
      <c r="R346" s="18"/>
      <c r="S346" s="18"/>
      <c r="T346" s="18"/>
    </row>
    <row r="347">
      <c r="B347" s="18"/>
      <c r="C347" s="18"/>
      <c r="D347" s="18"/>
      <c r="O347" s="18"/>
      <c r="P347" s="18"/>
      <c r="Q347" s="18"/>
      <c r="R347" s="18"/>
      <c r="S347" s="18"/>
      <c r="T347" s="18"/>
    </row>
    <row r="348">
      <c r="B348" s="18"/>
      <c r="C348" s="18"/>
      <c r="D348" s="18"/>
      <c r="O348" s="18"/>
      <c r="P348" s="18"/>
      <c r="Q348" s="18"/>
      <c r="R348" s="18"/>
      <c r="S348" s="18"/>
      <c r="T348" s="18"/>
    </row>
    <row r="349">
      <c r="B349" s="18"/>
      <c r="C349" s="18"/>
      <c r="D349" s="18"/>
      <c r="O349" s="18"/>
      <c r="P349" s="18"/>
      <c r="Q349" s="18"/>
      <c r="R349" s="18"/>
      <c r="S349" s="18"/>
      <c r="T349" s="18"/>
    </row>
    <row r="350">
      <c r="B350" s="18"/>
      <c r="C350" s="18"/>
      <c r="D350" s="18"/>
      <c r="O350" s="18"/>
      <c r="P350" s="18"/>
      <c r="Q350" s="18"/>
      <c r="R350" s="18"/>
      <c r="S350" s="18"/>
      <c r="T350" s="18"/>
    </row>
    <row r="351">
      <c r="B351" s="18"/>
      <c r="C351" s="18"/>
      <c r="D351" s="18"/>
      <c r="O351" s="18"/>
      <c r="P351" s="18"/>
      <c r="Q351" s="18"/>
      <c r="R351" s="18"/>
      <c r="S351" s="18"/>
      <c r="T351" s="18"/>
    </row>
    <row r="352">
      <c r="B352" s="18"/>
      <c r="C352" s="18"/>
      <c r="D352" s="18"/>
      <c r="O352" s="18"/>
      <c r="P352" s="18"/>
      <c r="Q352" s="18"/>
      <c r="R352" s="18"/>
      <c r="S352" s="18"/>
      <c r="T352" s="18"/>
    </row>
    <row r="353">
      <c r="B353" s="18"/>
      <c r="C353" s="18"/>
      <c r="D353" s="18"/>
      <c r="O353" s="18"/>
      <c r="P353" s="18"/>
      <c r="Q353" s="18"/>
      <c r="R353" s="18"/>
      <c r="S353" s="18"/>
      <c r="T353" s="18"/>
    </row>
    <row r="354">
      <c r="B354" s="18"/>
      <c r="C354" s="18"/>
      <c r="D354" s="18"/>
      <c r="O354" s="18"/>
      <c r="P354" s="18"/>
      <c r="Q354" s="18"/>
      <c r="R354" s="18"/>
      <c r="S354" s="18"/>
      <c r="T354" s="18"/>
    </row>
    <row r="355">
      <c r="B355" s="18"/>
      <c r="C355" s="18"/>
      <c r="D355" s="18"/>
      <c r="O355" s="18"/>
      <c r="P355" s="18"/>
      <c r="Q355" s="18"/>
      <c r="R355" s="18"/>
      <c r="S355" s="18"/>
      <c r="T355" s="18"/>
    </row>
    <row r="356">
      <c r="B356" s="18"/>
      <c r="C356" s="18"/>
      <c r="D356" s="18"/>
      <c r="O356" s="18"/>
      <c r="P356" s="18"/>
      <c r="Q356" s="18"/>
      <c r="R356" s="18"/>
      <c r="S356" s="18"/>
      <c r="T356" s="18"/>
    </row>
    <row r="357">
      <c r="B357" s="18"/>
      <c r="C357" s="18"/>
      <c r="D357" s="18"/>
      <c r="O357" s="18"/>
      <c r="P357" s="18"/>
      <c r="Q357" s="18"/>
      <c r="R357" s="18"/>
      <c r="S357" s="18"/>
      <c r="T357" s="18"/>
    </row>
    <row r="358">
      <c r="B358" s="18"/>
      <c r="C358" s="18"/>
      <c r="D358" s="18"/>
      <c r="O358" s="18"/>
      <c r="P358" s="18"/>
      <c r="Q358" s="18"/>
      <c r="R358" s="18"/>
      <c r="S358" s="18"/>
      <c r="T358" s="18"/>
    </row>
    <row r="359">
      <c r="B359" s="18"/>
      <c r="C359" s="18"/>
      <c r="D359" s="18"/>
      <c r="O359" s="18"/>
      <c r="P359" s="18"/>
      <c r="Q359" s="18"/>
      <c r="R359" s="18"/>
      <c r="S359" s="18"/>
      <c r="T359" s="18"/>
    </row>
    <row r="360">
      <c r="B360" s="18"/>
      <c r="C360" s="18"/>
      <c r="D360" s="18"/>
      <c r="O360" s="18"/>
      <c r="P360" s="18"/>
      <c r="Q360" s="18"/>
      <c r="R360" s="18"/>
      <c r="S360" s="18"/>
      <c r="T360" s="18"/>
    </row>
    <row r="361">
      <c r="B361" s="18"/>
      <c r="C361" s="18"/>
      <c r="D361" s="18"/>
      <c r="O361" s="18"/>
      <c r="P361" s="18"/>
      <c r="Q361" s="18"/>
      <c r="R361" s="18"/>
      <c r="S361" s="18"/>
      <c r="T361" s="18"/>
    </row>
    <row r="362">
      <c r="B362" s="18"/>
      <c r="C362" s="18"/>
      <c r="D362" s="18"/>
      <c r="O362" s="18"/>
      <c r="P362" s="18"/>
      <c r="Q362" s="18"/>
      <c r="R362" s="18"/>
      <c r="S362" s="18"/>
      <c r="T362" s="18"/>
    </row>
    <row r="363">
      <c r="B363" s="18"/>
      <c r="C363" s="18"/>
      <c r="D363" s="18"/>
      <c r="O363" s="18"/>
      <c r="P363" s="18"/>
      <c r="Q363" s="18"/>
      <c r="R363" s="18"/>
      <c r="S363" s="18"/>
      <c r="T363" s="18"/>
    </row>
    <row r="364">
      <c r="B364" s="18"/>
      <c r="C364" s="18"/>
      <c r="D364" s="18"/>
      <c r="O364" s="18"/>
      <c r="P364" s="18"/>
      <c r="Q364" s="18"/>
      <c r="R364" s="18"/>
      <c r="S364" s="18"/>
      <c r="T364" s="18"/>
    </row>
    <row r="365">
      <c r="B365" s="18"/>
      <c r="C365" s="18"/>
      <c r="D365" s="18"/>
      <c r="O365" s="18"/>
      <c r="P365" s="18"/>
      <c r="Q365" s="18"/>
      <c r="R365" s="18"/>
      <c r="S365" s="18"/>
      <c r="T365" s="18"/>
    </row>
    <row r="366">
      <c r="B366" s="18"/>
      <c r="C366" s="18"/>
      <c r="D366" s="18"/>
      <c r="O366" s="18"/>
      <c r="P366" s="18"/>
      <c r="Q366" s="18"/>
      <c r="R366" s="18"/>
      <c r="S366" s="18"/>
      <c r="T366" s="18"/>
    </row>
    <row r="367">
      <c r="B367" s="18"/>
      <c r="C367" s="18"/>
      <c r="D367" s="18"/>
      <c r="O367" s="18"/>
      <c r="P367" s="18"/>
      <c r="Q367" s="18"/>
      <c r="R367" s="18"/>
      <c r="S367" s="18"/>
      <c r="T367" s="18"/>
    </row>
    <row r="368">
      <c r="B368" s="18"/>
      <c r="C368" s="18"/>
      <c r="D368" s="18"/>
      <c r="O368" s="18"/>
      <c r="P368" s="18"/>
      <c r="Q368" s="18"/>
      <c r="R368" s="18"/>
      <c r="S368" s="18"/>
      <c r="T368" s="18"/>
    </row>
    <row r="369">
      <c r="B369" s="18"/>
      <c r="C369" s="18"/>
      <c r="D369" s="18"/>
      <c r="O369" s="18"/>
      <c r="P369" s="18"/>
      <c r="Q369" s="18"/>
      <c r="R369" s="18"/>
      <c r="S369" s="18"/>
      <c r="T369" s="18"/>
    </row>
    <row r="370">
      <c r="B370" s="18"/>
      <c r="C370" s="18"/>
      <c r="D370" s="18"/>
      <c r="O370" s="18"/>
      <c r="P370" s="18"/>
      <c r="Q370" s="18"/>
      <c r="R370" s="18"/>
      <c r="S370" s="18"/>
      <c r="T370" s="18"/>
    </row>
    <row r="371">
      <c r="B371" s="18"/>
      <c r="C371" s="18"/>
      <c r="D371" s="18"/>
      <c r="O371" s="18"/>
      <c r="P371" s="18"/>
      <c r="Q371" s="18"/>
      <c r="R371" s="18"/>
      <c r="S371" s="18"/>
      <c r="T371" s="18"/>
    </row>
    <row r="372">
      <c r="B372" s="18"/>
      <c r="C372" s="18"/>
      <c r="D372" s="18"/>
      <c r="O372" s="18"/>
      <c r="P372" s="18"/>
      <c r="Q372" s="18"/>
      <c r="R372" s="18"/>
      <c r="S372" s="18"/>
      <c r="T372" s="18"/>
    </row>
    <row r="373">
      <c r="B373" s="18"/>
      <c r="C373" s="18"/>
      <c r="D373" s="18"/>
      <c r="O373" s="18"/>
      <c r="P373" s="18"/>
      <c r="Q373" s="18"/>
      <c r="R373" s="18"/>
      <c r="S373" s="18"/>
      <c r="T373" s="18"/>
    </row>
    <row r="374">
      <c r="B374" s="18"/>
      <c r="C374" s="18"/>
      <c r="D374" s="18"/>
      <c r="O374" s="18"/>
      <c r="P374" s="18"/>
      <c r="Q374" s="18"/>
      <c r="R374" s="18"/>
      <c r="S374" s="18"/>
      <c r="T374" s="18"/>
    </row>
    <row r="375">
      <c r="B375" s="18"/>
      <c r="C375" s="18"/>
      <c r="D375" s="18"/>
      <c r="O375" s="18"/>
      <c r="P375" s="18"/>
      <c r="Q375" s="18"/>
      <c r="R375" s="18"/>
      <c r="S375" s="18"/>
      <c r="T375" s="18"/>
    </row>
    <row r="376">
      <c r="B376" s="18"/>
      <c r="C376" s="18"/>
      <c r="D376" s="18"/>
      <c r="O376" s="18"/>
      <c r="P376" s="18"/>
      <c r="Q376" s="18"/>
      <c r="R376" s="18"/>
      <c r="S376" s="18"/>
      <c r="T376" s="18"/>
    </row>
    <row r="377">
      <c r="B377" s="18"/>
      <c r="C377" s="18"/>
      <c r="D377" s="18"/>
      <c r="O377" s="18"/>
      <c r="P377" s="18"/>
      <c r="Q377" s="18"/>
      <c r="R377" s="18"/>
      <c r="S377" s="18"/>
      <c r="T377" s="18"/>
    </row>
    <row r="378">
      <c r="B378" s="18"/>
      <c r="C378" s="18"/>
      <c r="D378" s="18"/>
      <c r="O378" s="18"/>
      <c r="P378" s="18"/>
      <c r="Q378" s="18"/>
      <c r="R378" s="18"/>
      <c r="S378" s="18"/>
      <c r="T378" s="18"/>
    </row>
    <row r="379">
      <c r="B379" s="18"/>
      <c r="C379" s="18"/>
      <c r="D379" s="18"/>
      <c r="O379" s="18"/>
      <c r="P379" s="18"/>
      <c r="Q379" s="18"/>
      <c r="R379" s="18"/>
      <c r="S379" s="18"/>
      <c r="T379" s="18"/>
    </row>
    <row r="380">
      <c r="B380" s="18"/>
      <c r="C380" s="18"/>
      <c r="D380" s="18"/>
      <c r="O380" s="18"/>
      <c r="P380" s="18"/>
      <c r="Q380" s="18"/>
      <c r="R380" s="18"/>
      <c r="S380" s="18"/>
      <c r="T380" s="18"/>
    </row>
    <row r="381">
      <c r="B381" s="18"/>
      <c r="C381" s="18"/>
      <c r="D381" s="18"/>
      <c r="O381" s="18"/>
      <c r="P381" s="18"/>
      <c r="Q381" s="18"/>
      <c r="R381" s="18"/>
      <c r="S381" s="18"/>
      <c r="T381" s="18"/>
    </row>
    <row r="382">
      <c r="B382" s="18"/>
      <c r="C382" s="18"/>
      <c r="D382" s="18"/>
      <c r="O382" s="18"/>
      <c r="P382" s="18"/>
      <c r="Q382" s="18"/>
      <c r="R382" s="18"/>
      <c r="S382" s="18"/>
      <c r="T382" s="18"/>
    </row>
    <row r="383">
      <c r="B383" s="18"/>
      <c r="C383" s="18"/>
      <c r="D383" s="18"/>
      <c r="O383" s="18"/>
      <c r="P383" s="18"/>
      <c r="Q383" s="18"/>
      <c r="R383" s="18"/>
      <c r="S383" s="18"/>
      <c r="T383" s="18"/>
    </row>
    <row r="384">
      <c r="B384" s="18"/>
      <c r="C384" s="18"/>
      <c r="D384" s="18"/>
      <c r="O384" s="18"/>
      <c r="P384" s="18"/>
      <c r="Q384" s="18"/>
      <c r="R384" s="18"/>
      <c r="S384" s="18"/>
      <c r="T384" s="18"/>
    </row>
    <row r="385">
      <c r="B385" s="18"/>
      <c r="C385" s="18"/>
      <c r="D385" s="18"/>
      <c r="O385" s="18"/>
      <c r="P385" s="18"/>
      <c r="Q385" s="18"/>
      <c r="R385" s="18"/>
      <c r="S385" s="18"/>
      <c r="T385" s="18"/>
    </row>
    <row r="386">
      <c r="B386" s="18"/>
      <c r="C386" s="18"/>
      <c r="D386" s="18"/>
      <c r="O386" s="18"/>
      <c r="P386" s="18"/>
      <c r="Q386" s="18"/>
      <c r="R386" s="18"/>
      <c r="S386" s="18"/>
      <c r="T386" s="18"/>
    </row>
    <row r="387">
      <c r="B387" s="18"/>
      <c r="C387" s="18"/>
      <c r="D387" s="18"/>
      <c r="O387" s="18"/>
      <c r="P387" s="18"/>
      <c r="Q387" s="18"/>
      <c r="R387" s="18"/>
      <c r="S387" s="18"/>
      <c r="T387" s="18"/>
    </row>
    <row r="388">
      <c r="B388" s="18"/>
      <c r="C388" s="18"/>
      <c r="D388" s="18"/>
      <c r="O388" s="18"/>
      <c r="P388" s="18"/>
      <c r="Q388" s="18"/>
      <c r="R388" s="18"/>
      <c r="S388" s="18"/>
      <c r="T388" s="18"/>
    </row>
    <row r="389">
      <c r="B389" s="18"/>
      <c r="C389" s="18"/>
      <c r="D389" s="18"/>
      <c r="O389" s="18"/>
      <c r="P389" s="18"/>
      <c r="Q389" s="18"/>
      <c r="R389" s="18"/>
      <c r="S389" s="18"/>
      <c r="T389" s="18"/>
    </row>
    <row r="390">
      <c r="B390" s="18"/>
      <c r="C390" s="18"/>
      <c r="D390" s="18"/>
      <c r="O390" s="18"/>
      <c r="P390" s="18"/>
      <c r="Q390" s="18"/>
      <c r="R390" s="18"/>
      <c r="S390" s="18"/>
      <c r="T390" s="18"/>
    </row>
    <row r="391">
      <c r="B391" s="18"/>
      <c r="C391" s="18"/>
      <c r="D391" s="18"/>
      <c r="O391" s="18"/>
      <c r="P391" s="18"/>
      <c r="Q391" s="18"/>
      <c r="R391" s="18"/>
      <c r="S391" s="18"/>
      <c r="T391" s="18"/>
    </row>
    <row r="392">
      <c r="B392" s="18"/>
      <c r="C392" s="18"/>
      <c r="D392" s="18"/>
      <c r="O392" s="18"/>
      <c r="P392" s="18"/>
      <c r="Q392" s="18"/>
      <c r="R392" s="18"/>
      <c r="S392" s="18"/>
      <c r="T392" s="18"/>
    </row>
    <row r="393">
      <c r="B393" s="18"/>
      <c r="C393" s="18"/>
      <c r="D393" s="18"/>
      <c r="O393" s="18"/>
      <c r="P393" s="18"/>
      <c r="Q393" s="18"/>
      <c r="R393" s="18"/>
      <c r="S393" s="18"/>
      <c r="T393" s="18"/>
    </row>
    <row r="394">
      <c r="B394" s="18"/>
      <c r="C394" s="18"/>
      <c r="D394" s="18"/>
      <c r="O394" s="18"/>
      <c r="P394" s="18"/>
      <c r="Q394" s="18"/>
      <c r="R394" s="18"/>
      <c r="S394" s="18"/>
      <c r="T394" s="18"/>
    </row>
    <row r="395">
      <c r="B395" s="18"/>
      <c r="C395" s="18"/>
      <c r="D395" s="18"/>
      <c r="O395" s="18"/>
      <c r="P395" s="18"/>
      <c r="Q395" s="18"/>
      <c r="R395" s="18"/>
      <c r="S395" s="18"/>
      <c r="T395" s="18"/>
    </row>
    <row r="396">
      <c r="B396" s="18"/>
      <c r="C396" s="18"/>
      <c r="D396" s="18"/>
      <c r="O396" s="18"/>
      <c r="P396" s="18"/>
      <c r="Q396" s="18"/>
      <c r="R396" s="18"/>
      <c r="S396" s="18"/>
      <c r="T396" s="18"/>
    </row>
    <row r="397">
      <c r="B397" s="18"/>
      <c r="C397" s="18"/>
      <c r="D397" s="18"/>
      <c r="O397" s="18"/>
      <c r="P397" s="18"/>
      <c r="Q397" s="18"/>
      <c r="R397" s="18"/>
      <c r="S397" s="18"/>
      <c r="T397" s="18"/>
    </row>
    <row r="398">
      <c r="B398" s="18"/>
      <c r="C398" s="18"/>
      <c r="D398" s="18"/>
      <c r="O398" s="18"/>
      <c r="P398" s="18"/>
      <c r="Q398" s="18"/>
      <c r="R398" s="18"/>
      <c r="S398" s="18"/>
      <c r="T398" s="18"/>
    </row>
    <row r="399">
      <c r="B399" s="18"/>
      <c r="C399" s="18"/>
      <c r="D399" s="18"/>
      <c r="O399" s="18"/>
      <c r="P399" s="18"/>
      <c r="Q399" s="18"/>
      <c r="R399" s="18"/>
      <c r="S399" s="18"/>
      <c r="T399" s="18"/>
    </row>
    <row r="400">
      <c r="B400" s="18"/>
      <c r="C400" s="18"/>
      <c r="D400" s="18"/>
      <c r="O400" s="18"/>
      <c r="P400" s="18"/>
      <c r="Q400" s="18"/>
      <c r="R400" s="18"/>
      <c r="S400" s="18"/>
      <c r="T400" s="18"/>
    </row>
    <row r="401">
      <c r="B401" s="18"/>
      <c r="C401" s="18"/>
      <c r="D401" s="18"/>
      <c r="O401" s="18"/>
      <c r="P401" s="18"/>
      <c r="Q401" s="18"/>
      <c r="R401" s="18"/>
      <c r="S401" s="18"/>
      <c r="T401" s="18"/>
    </row>
    <row r="402">
      <c r="B402" s="18"/>
      <c r="C402" s="18"/>
      <c r="D402" s="18"/>
      <c r="O402" s="18"/>
      <c r="P402" s="18"/>
      <c r="Q402" s="18"/>
      <c r="R402" s="18"/>
      <c r="S402" s="18"/>
      <c r="T402" s="18"/>
    </row>
    <row r="403">
      <c r="B403" s="18"/>
      <c r="C403" s="18"/>
      <c r="D403" s="18"/>
      <c r="O403" s="18"/>
      <c r="P403" s="18"/>
      <c r="Q403" s="18"/>
      <c r="R403" s="18"/>
      <c r="S403" s="18"/>
      <c r="T403" s="18"/>
    </row>
    <row r="404">
      <c r="B404" s="18"/>
      <c r="C404" s="18"/>
      <c r="D404" s="18"/>
      <c r="O404" s="18"/>
      <c r="P404" s="18"/>
      <c r="Q404" s="18"/>
      <c r="R404" s="18"/>
      <c r="S404" s="18"/>
      <c r="T404" s="18"/>
    </row>
    <row r="405">
      <c r="B405" s="18"/>
      <c r="C405" s="18"/>
      <c r="D405" s="18"/>
      <c r="O405" s="18"/>
      <c r="P405" s="18"/>
      <c r="Q405" s="18"/>
      <c r="R405" s="18"/>
      <c r="S405" s="18"/>
      <c r="T405" s="18"/>
    </row>
    <row r="406">
      <c r="B406" s="18"/>
      <c r="C406" s="18"/>
      <c r="D406" s="18"/>
      <c r="O406" s="18"/>
      <c r="P406" s="18"/>
      <c r="Q406" s="18"/>
      <c r="R406" s="18"/>
      <c r="S406" s="18"/>
      <c r="T406" s="18"/>
    </row>
    <row r="407">
      <c r="B407" s="18"/>
      <c r="C407" s="18"/>
      <c r="D407" s="18"/>
      <c r="O407" s="18"/>
      <c r="P407" s="18"/>
      <c r="Q407" s="18"/>
      <c r="R407" s="18"/>
      <c r="S407" s="18"/>
      <c r="T407" s="18"/>
    </row>
    <row r="408">
      <c r="B408" s="18"/>
      <c r="C408" s="18"/>
      <c r="D408" s="18"/>
      <c r="O408" s="18"/>
      <c r="P408" s="18"/>
      <c r="Q408" s="18"/>
      <c r="R408" s="18"/>
      <c r="S408" s="18"/>
      <c r="T408" s="18"/>
    </row>
    <row r="409">
      <c r="B409" s="18"/>
      <c r="C409" s="18"/>
      <c r="D409" s="18"/>
      <c r="O409" s="18"/>
      <c r="P409" s="18"/>
      <c r="Q409" s="18"/>
      <c r="R409" s="18"/>
      <c r="S409" s="18"/>
      <c r="T409" s="18"/>
    </row>
    <row r="410">
      <c r="B410" s="18"/>
      <c r="C410" s="18"/>
      <c r="D410" s="18"/>
      <c r="O410" s="18"/>
      <c r="P410" s="18"/>
      <c r="Q410" s="18"/>
      <c r="R410" s="18"/>
      <c r="S410" s="18"/>
      <c r="T410" s="18"/>
    </row>
    <row r="411">
      <c r="B411" s="18"/>
      <c r="C411" s="18"/>
      <c r="D411" s="18"/>
      <c r="O411" s="18"/>
      <c r="P411" s="18"/>
      <c r="Q411" s="18"/>
      <c r="R411" s="18"/>
      <c r="S411" s="18"/>
      <c r="T411" s="18"/>
    </row>
    <row r="412">
      <c r="B412" s="18"/>
      <c r="C412" s="18"/>
      <c r="D412" s="18"/>
      <c r="O412" s="18"/>
      <c r="P412" s="18"/>
      <c r="Q412" s="18"/>
      <c r="R412" s="18"/>
      <c r="S412" s="18"/>
      <c r="T412" s="18"/>
    </row>
    <row r="413">
      <c r="B413" s="18"/>
      <c r="C413" s="18"/>
      <c r="D413" s="18"/>
      <c r="O413" s="18"/>
      <c r="P413" s="18"/>
      <c r="Q413" s="18"/>
      <c r="R413" s="18"/>
      <c r="S413" s="18"/>
      <c r="T413" s="18"/>
    </row>
    <row r="414">
      <c r="B414" s="18"/>
      <c r="C414" s="18"/>
      <c r="D414" s="18"/>
      <c r="O414" s="18"/>
      <c r="P414" s="18"/>
      <c r="Q414" s="18"/>
      <c r="R414" s="18"/>
      <c r="S414" s="18"/>
      <c r="T414" s="18"/>
    </row>
    <row r="415">
      <c r="B415" s="18"/>
      <c r="C415" s="18"/>
      <c r="D415" s="18"/>
      <c r="O415" s="18"/>
      <c r="P415" s="18"/>
      <c r="Q415" s="18"/>
      <c r="R415" s="18"/>
      <c r="S415" s="18"/>
      <c r="T415" s="18"/>
    </row>
    <row r="416">
      <c r="B416" s="18"/>
      <c r="C416" s="18"/>
      <c r="D416" s="18"/>
      <c r="O416" s="18"/>
      <c r="P416" s="18"/>
      <c r="Q416" s="18"/>
      <c r="R416" s="18"/>
      <c r="S416" s="18"/>
      <c r="T416" s="18"/>
    </row>
    <row r="417">
      <c r="B417" s="18"/>
      <c r="C417" s="18"/>
      <c r="D417" s="18"/>
      <c r="O417" s="18"/>
      <c r="P417" s="18"/>
      <c r="Q417" s="18"/>
      <c r="R417" s="18"/>
      <c r="S417" s="18"/>
      <c r="T417" s="18"/>
    </row>
    <row r="418">
      <c r="B418" s="18"/>
      <c r="C418" s="18"/>
      <c r="D418" s="18"/>
      <c r="O418" s="18"/>
      <c r="P418" s="18"/>
      <c r="Q418" s="18"/>
      <c r="R418" s="18"/>
      <c r="S418" s="18"/>
      <c r="T418" s="18"/>
    </row>
    <row r="419">
      <c r="B419" s="18"/>
      <c r="C419" s="18"/>
      <c r="D419" s="18"/>
      <c r="O419" s="18"/>
      <c r="P419" s="18"/>
      <c r="Q419" s="18"/>
      <c r="R419" s="18"/>
      <c r="S419" s="18"/>
      <c r="T419" s="18"/>
    </row>
    <row r="420">
      <c r="B420" s="18"/>
      <c r="C420" s="18"/>
      <c r="D420" s="18"/>
      <c r="O420" s="18"/>
      <c r="P420" s="18"/>
      <c r="Q420" s="18"/>
      <c r="R420" s="18"/>
      <c r="S420" s="18"/>
      <c r="T420" s="18"/>
    </row>
    <row r="421">
      <c r="B421" s="18"/>
      <c r="C421" s="18"/>
      <c r="D421" s="18"/>
      <c r="O421" s="18"/>
      <c r="P421" s="18"/>
      <c r="Q421" s="18"/>
      <c r="R421" s="18"/>
      <c r="S421" s="18"/>
      <c r="T421" s="18"/>
    </row>
    <row r="422">
      <c r="B422" s="18"/>
      <c r="C422" s="18"/>
      <c r="D422" s="18"/>
      <c r="O422" s="18"/>
      <c r="P422" s="18"/>
      <c r="Q422" s="18"/>
      <c r="R422" s="18"/>
      <c r="S422" s="18"/>
      <c r="T422" s="18"/>
    </row>
    <row r="423">
      <c r="B423" s="18"/>
      <c r="C423" s="18"/>
      <c r="D423" s="18"/>
      <c r="O423" s="18"/>
      <c r="P423" s="18"/>
      <c r="Q423" s="18"/>
      <c r="R423" s="18"/>
      <c r="S423" s="18"/>
      <c r="T423" s="18"/>
    </row>
    <row r="424">
      <c r="B424" s="18"/>
      <c r="C424" s="18"/>
      <c r="D424" s="18"/>
      <c r="O424" s="18"/>
      <c r="P424" s="18"/>
      <c r="Q424" s="18"/>
      <c r="R424" s="18"/>
      <c r="S424" s="18"/>
      <c r="T424" s="18"/>
    </row>
    <row r="425">
      <c r="B425" s="18"/>
      <c r="C425" s="18"/>
      <c r="D425" s="18"/>
      <c r="O425" s="18"/>
      <c r="P425" s="18"/>
      <c r="Q425" s="18"/>
      <c r="R425" s="18"/>
      <c r="S425" s="18"/>
      <c r="T425" s="18"/>
    </row>
    <row r="426">
      <c r="B426" s="18"/>
      <c r="C426" s="18"/>
      <c r="D426" s="18"/>
      <c r="O426" s="18"/>
      <c r="P426" s="18"/>
      <c r="Q426" s="18"/>
      <c r="R426" s="18"/>
      <c r="S426" s="18"/>
      <c r="T426" s="18"/>
    </row>
    <row r="427">
      <c r="B427" s="18"/>
      <c r="C427" s="18"/>
      <c r="D427" s="18"/>
      <c r="O427" s="18"/>
      <c r="P427" s="18"/>
      <c r="Q427" s="18"/>
      <c r="R427" s="18"/>
      <c r="S427" s="18"/>
      <c r="T427" s="18"/>
    </row>
    <row r="428">
      <c r="B428" s="18"/>
      <c r="C428" s="18"/>
      <c r="D428" s="18"/>
      <c r="O428" s="18"/>
      <c r="P428" s="18"/>
      <c r="Q428" s="18"/>
      <c r="R428" s="18"/>
      <c r="S428" s="18"/>
      <c r="T428" s="18"/>
    </row>
    <row r="429">
      <c r="B429" s="18"/>
      <c r="C429" s="18"/>
      <c r="D429" s="18"/>
      <c r="O429" s="18"/>
      <c r="P429" s="18"/>
      <c r="Q429" s="18"/>
      <c r="R429" s="18"/>
      <c r="S429" s="18"/>
      <c r="T429" s="18"/>
    </row>
    <row r="430">
      <c r="B430" s="18"/>
      <c r="C430" s="18"/>
      <c r="D430" s="18"/>
      <c r="O430" s="18"/>
      <c r="P430" s="18"/>
      <c r="Q430" s="18"/>
      <c r="R430" s="18"/>
      <c r="S430" s="18"/>
      <c r="T430" s="18"/>
    </row>
    <row r="431">
      <c r="B431" s="18"/>
      <c r="C431" s="18"/>
      <c r="D431" s="18"/>
      <c r="O431" s="18"/>
      <c r="P431" s="18"/>
      <c r="Q431" s="18"/>
      <c r="R431" s="18"/>
      <c r="S431" s="18"/>
      <c r="T431" s="18"/>
    </row>
    <row r="432">
      <c r="B432" s="18"/>
      <c r="C432" s="18"/>
      <c r="D432" s="18"/>
      <c r="O432" s="18"/>
      <c r="P432" s="18"/>
      <c r="Q432" s="18"/>
      <c r="R432" s="18"/>
      <c r="S432" s="18"/>
      <c r="T432" s="18"/>
    </row>
    <row r="433">
      <c r="B433" s="18"/>
      <c r="C433" s="18"/>
      <c r="D433" s="18"/>
      <c r="O433" s="18"/>
      <c r="P433" s="18"/>
      <c r="Q433" s="18"/>
      <c r="R433" s="18"/>
      <c r="S433" s="18"/>
      <c r="T433" s="18"/>
    </row>
    <row r="434">
      <c r="B434" s="18"/>
      <c r="C434" s="18"/>
      <c r="D434" s="18"/>
      <c r="O434" s="18"/>
      <c r="P434" s="18"/>
      <c r="Q434" s="18"/>
      <c r="R434" s="18"/>
      <c r="S434" s="18"/>
      <c r="T434" s="18"/>
    </row>
    <row r="435">
      <c r="B435" s="18"/>
      <c r="C435" s="18"/>
      <c r="D435" s="18"/>
      <c r="O435" s="18"/>
      <c r="P435" s="18"/>
      <c r="Q435" s="18"/>
      <c r="R435" s="18"/>
      <c r="S435" s="18"/>
      <c r="T435" s="18"/>
    </row>
    <row r="436">
      <c r="B436" s="18"/>
      <c r="C436" s="18"/>
      <c r="D436" s="18"/>
      <c r="O436" s="18"/>
      <c r="P436" s="18"/>
      <c r="Q436" s="18"/>
      <c r="R436" s="18"/>
      <c r="S436" s="18"/>
      <c r="T436" s="18"/>
    </row>
    <row r="437">
      <c r="B437" s="18"/>
      <c r="C437" s="18"/>
      <c r="D437" s="18"/>
      <c r="O437" s="18"/>
      <c r="P437" s="18"/>
      <c r="Q437" s="18"/>
      <c r="R437" s="18"/>
      <c r="S437" s="18"/>
      <c r="T437" s="18"/>
    </row>
    <row r="438">
      <c r="B438" s="18"/>
      <c r="C438" s="18"/>
      <c r="D438" s="18"/>
      <c r="O438" s="18"/>
      <c r="P438" s="18"/>
      <c r="Q438" s="18"/>
      <c r="R438" s="18"/>
      <c r="S438" s="18"/>
      <c r="T438" s="18"/>
    </row>
    <row r="439">
      <c r="B439" s="18"/>
      <c r="C439" s="18"/>
      <c r="D439" s="18"/>
      <c r="O439" s="18"/>
      <c r="P439" s="18"/>
      <c r="Q439" s="18"/>
      <c r="R439" s="18"/>
      <c r="S439" s="18"/>
      <c r="T439" s="18"/>
    </row>
    <row r="440">
      <c r="B440" s="18"/>
      <c r="C440" s="18"/>
      <c r="D440" s="18"/>
      <c r="O440" s="18"/>
      <c r="P440" s="18"/>
      <c r="Q440" s="18"/>
      <c r="R440" s="18"/>
      <c r="S440" s="18"/>
      <c r="T440" s="18"/>
    </row>
    <row r="441">
      <c r="B441" s="18"/>
      <c r="C441" s="18"/>
      <c r="D441" s="18"/>
      <c r="O441" s="18"/>
      <c r="P441" s="18"/>
      <c r="Q441" s="18"/>
      <c r="R441" s="18"/>
      <c r="S441" s="18"/>
      <c r="T441" s="18"/>
    </row>
    <row r="442">
      <c r="B442" s="18"/>
      <c r="C442" s="18"/>
      <c r="D442" s="18"/>
      <c r="O442" s="18"/>
      <c r="P442" s="18"/>
      <c r="Q442" s="18"/>
      <c r="R442" s="18"/>
      <c r="S442" s="18"/>
      <c r="T442" s="18"/>
    </row>
    <row r="443">
      <c r="B443" s="18"/>
      <c r="C443" s="18"/>
      <c r="D443" s="18"/>
      <c r="O443" s="18"/>
      <c r="P443" s="18"/>
      <c r="Q443" s="18"/>
      <c r="R443" s="18"/>
      <c r="S443" s="18"/>
      <c r="T443" s="18"/>
    </row>
    <row r="444">
      <c r="B444" s="18"/>
      <c r="C444" s="18"/>
      <c r="D444" s="18"/>
      <c r="O444" s="18"/>
      <c r="P444" s="18"/>
      <c r="Q444" s="18"/>
      <c r="R444" s="18"/>
      <c r="S444" s="18"/>
      <c r="T444" s="18"/>
    </row>
    <row r="445">
      <c r="B445" s="18"/>
      <c r="C445" s="18"/>
      <c r="D445" s="18"/>
      <c r="O445" s="18"/>
      <c r="P445" s="18"/>
      <c r="Q445" s="18"/>
      <c r="R445" s="18"/>
      <c r="S445" s="18"/>
      <c r="T445" s="18"/>
    </row>
    <row r="446">
      <c r="B446" s="18"/>
      <c r="C446" s="18"/>
      <c r="D446" s="18"/>
      <c r="O446" s="18"/>
      <c r="P446" s="18"/>
      <c r="Q446" s="18"/>
      <c r="R446" s="18"/>
      <c r="S446" s="18"/>
      <c r="T446" s="18"/>
    </row>
    <row r="447">
      <c r="B447" s="18"/>
      <c r="C447" s="18"/>
      <c r="D447" s="18"/>
      <c r="O447" s="18"/>
      <c r="P447" s="18"/>
      <c r="Q447" s="18"/>
      <c r="R447" s="18"/>
      <c r="S447" s="18"/>
      <c r="T447" s="18"/>
    </row>
    <row r="448">
      <c r="B448" s="18"/>
      <c r="C448" s="18"/>
      <c r="D448" s="18"/>
      <c r="O448" s="18"/>
      <c r="P448" s="18"/>
      <c r="Q448" s="18"/>
      <c r="R448" s="18"/>
      <c r="S448" s="18"/>
      <c r="T448" s="18"/>
    </row>
    <row r="449">
      <c r="B449" s="18"/>
      <c r="C449" s="18"/>
      <c r="D449" s="18"/>
      <c r="O449" s="18"/>
      <c r="P449" s="18"/>
      <c r="Q449" s="18"/>
      <c r="R449" s="18"/>
      <c r="S449" s="18"/>
      <c r="T449" s="18"/>
    </row>
    <row r="450">
      <c r="B450" s="18"/>
      <c r="C450" s="18"/>
      <c r="D450" s="18"/>
      <c r="O450" s="18"/>
      <c r="P450" s="18"/>
      <c r="Q450" s="18"/>
      <c r="R450" s="18"/>
      <c r="S450" s="18"/>
      <c r="T450" s="18"/>
    </row>
    <row r="451">
      <c r="B451" s="18"/>
      <c r="C451" s="18"/>
      <c r="D451" s="18"/>
      <c r="O451" s="18"/>
      <c r="P451" s="18"/>
      <c r="Q451" s="18"/>
      <c r="R451" s="18"/>
      <c r="S451" s="18"/>
      <c r="T451" s="18"/>
    </row>
    <row r="452">
      <c r="B452" s="18"/>
      <c r="C452" s="18"/>
      <c r="D452" s="18"/>
      <c r="O452" s="18"/>
      <c r="P452" s="18"/>
      <c r="Q452" s="18"/>
      <c r="R452" s="18"/>
      <c r="S452" s="18"/>
      <c r="T452" s="18"/>
    </row>
    <row r="453">
      <c r="B453" s="18"/>
      <c r="C453" s="18"/>
      <c r="D453" s="18"/>
      <c r="O453" s="18"/>
      <c r="P453" s="18"/>
      <c r="Q453" s="18"/>
      <c r="R453" s="18"/>
      <c r="S453" s="18"/>
      <c r="T453" s="18"/>
    </row>
    <row r="454">
      <c r="B454" s="18"/>
      <c r="C454" s="18"/>
      <c r="D454" s="18"/>
      <c r="O454" s="18"/>
      <c r="P454" s="18"/>
      <c r="Q454" s="18"/>
      <c r="R454" s="18"/>
      <c r="S454" s="18"/>
      <c r="T454" s="18"/>
    </row>
    <row r="455">
      <c r="B455" s="18"/>
      <c r="C455" s="18"/>
      <c r="D455" s="18"/>
      <c r="O455" s="18"/>
      <c r="P455" s="18"/>
      <c r="Q455" s="18"/>
      <c r="R455" s="18"/>
      <c r="S455" s="18"/>
      <c r="T455" s="18"/>
    </row>
    <row r="456">
      <c r="B456" s="18"/>
      <c r="C456" s="18"/>
      <c r="D456" s="18"/>
      <c r="O456" s="18"/>
      <c r="P456" s="18"/>
      <c r="Q456" s="18"/>
      <c r="R456" s="18"/>
      <c r="S456" s="18"/>
      <c r="T456" s="18"/>
    </row>
    <row r="457">
      <c r="B457" s="18"/>
      <c r="C457" s="18"/>
      <c r="D457" s="18"/>
      <c r="O457" s="18"/>
      <c r="P457" s="18"/>
      <c r="Q457" s="18"/>
      <c r="R457" s="18"/>
      <c r="S457" s="18"/>
      <c r="T457" s="18"/>
    </row>
    <row r="458">
      <c r="B458" s="18"/>
      <c r="C458" s="18"/>
      <c r="D458" s="18"/>
      <c r="O458" s="18"/>
      <c r="P458" s="18"/>
      <c r="Q458" s="18"/>
      <c r="R458" s="18"/>
      <c r="S458" s="18"/>
      <c r="T458" s="18"/>
    </row>
    <row r="459">
      <c r="B459" s="18"/>
      <c r="C459" s="18"/>
      <c r="D459" s="18"/>
      <c r="O459" s="18"/>
      <c r="P459" s="18"/>
      <c r="Q459" s="18"/>
      <c r="R459" s="18"/>
      <c r="S459" s="18"/>
      <c r="T459" s="18"/>
    </row>
    <row r="460">
      <c r="B460" s="18"/>
      <c r="C460" s="18"/>
      <c r="D460" s="18"/>
      <c r="O460" s="18"/>
      <c r="P460" s="18"/>
      <c r="Q460" s="18"/>
      <c r="R460" s="18"/>
      <c r="S460" s="18"/>
      <c r="T460" s="18"/>
    </row>
    <row r="461">
      <c r="B461" s="18"/>
      <c r="C461" s="18"/>
      <c r="D461" s="18"/>
      <c r="O461" s="18"/>
      <c r="P461" s="18"/>
      <c r="Q461" s="18"/>
      <c r="R461" s="18"/>
      <c r="S461" s="18"/>
      <c r="T461" s="18"/>
    </row>
    <row r="462">
      <c r="B462" s="18"/>
      <c r="C462" s="18"/>
      <c r="D462" s="18"/>
      <c r="O462" s="18"/>
      <c r="P462" s="18"/>
      <c r="Q462" s="18"/>
      <c r="R462" s="18"/>
      <c r="S462" s="18"/>
      <c r="T462" s="18"/>
    </row>
    <row r="463">
      <c r="B463" s="18"/>
      <c r="C463" s="18"/>
      <c r="D463" s="18"/>
      <c r="O463" s="18"/>
      <c r="P463" s="18"/>
      <c r="Q463" s="18"/>
      <c r="R463" s="18"/>
      <c r="S463" s="18"/>
      <c r="T463" s="18"/>
    </row>
    <row r="464">
      <c r="B464" s="18"/>
      <c r="C464" s="18"/>
      <c r="D464" s="18"/>
      <c r="O464" s="18"/>
      <c r="P464" s="18"/>
      <c r="Q464" s="18"/>
      <c r="R464" s="18"/>
      <c r="S464" s="18"/>
      <c r="T464" s="18"/>
    </row>
    <row r="465">
      <c r="B465" s="18"/>
      <c r="C465" s="18"/>
      <c r="D465" s="18"/>
      <c r="O465" s="18"/>
      <c r="P465" s="18"/>
      <c r="Q465" s="18"/>
      <c r="R465" s="18"/>
      <c r="S465" s="18"/>
      <c r="T465" s="18"/>
    </row>
    <row r="466">
      <c r="B466" s="18"/>
      <c r="C466" s="18"/>
      <c r="D466" s="18"/>
      <c r="O466" s="18"/>
      <c r="P466" s="18"/>
      <c r="Q466" s="18"/>
      <c r="R466" s="18"/>
      <c r="S466" s="18"/>
      <c r="T466" s="18"/>
    </row>
    <row r="467">
      <c r="B467" s="18"/>
      <c r="C467" s="18"/>
      <c r="D467" s="18"/>
      <c r="O467" s="18"/>
      <c r="P467" s="18"/>
      <c r="Q467" s="18"/>
      <c r="R467" s="18"/>
      <c r="S467" s="18"/>
      <c r="T467" s="18"/>
    </row>
    <row r="468">
      <c r="B468" s="18"/>
      <c r="C468" s="18"/>
      <c r="D468" s="18"/>
      <c r="O468" s="18"/>
      <c r="P468" s="18"/>
      <c r="Q468" s="18"/>
      <c r="R468" s="18"/>
      <c r="S468" s="18"/>
      <c r="T468" s="18"/>
    </row>
    <row r="469">
      <c r="B469" s="18"/>
      <c r="C469" s="18"/>
      <c r="D469" s="18"/>
      <c r="O469" s="18"/>
      <c r="P469" s="18"/>
      <c r="Q469" s="18"/>
      <c r="R469" s="18"/>
      <c r="S469" s="18"/>
      <c r="T469" s="18"/>
    </row>
    <row r="470">
      <c r="B470" s="18"/>
      <c r="C470" s="18"/>
      <c r="D470" s="18"/>
      <c r="O470" s="18"/>
      <c r="P470" s="18"/>
      <c r="Q470" s="18"/>
      <c r="R470" s="18"/>
      <c r="S470" s="18"/>
      <c r="T470" s="18"/>
    </row>
    <row r="471">
      <c r="B471" s="18"/>
      <c r="C471" s="18"/>
      <c r="D471" s="18"/>
      <c r="O471" s="18"/>
      <c r="P471" s="18"/>
      <c r="Q471" s="18"/>
      <c r="R471" s="18"/>
      <c r="S471" s="18"/>
      <c r="T471" s="18"/>
    </row>
    <row r="472">
      <c r="B472" s="18"/>
      <c r="C472" s="18"/>
      <c r="D472" s="18"/>
      <c r="O472" s="18"/>
      <c r="P472" s="18"/>
      <c r="Q472" s="18"/>
      <c r="R472" s="18"/>
      <c r="S472" s="18"/>
      <c r="T472" s="18"/>
    </row>
    <row r="473">
      <c r="B473" s="18"/>
      <c r="C473" s="18"/>
      <c r="D473" s="18"/>
      <c r="O473" s="18"/>
      <c r="P473" s="18"/>
      <c r="Q473" s="18"/>
      <c r="R473" s="18"/>
      <c r="S473" s="18"/>
      <c r="T473" s="18"/>
    </row>
    <row r="474">
      <c r="B474" s="18"/>
      <c r="C474" s="18"/>
      <c r="D474" s="18"/>
      <c r="O474" s="18"/>
      <c r="P474" s="18"/>
      <c r="Q474" s="18"/>
      <c r="R474" s="18"/>
      <c r="S474" s="18"/>
      <c r="T474" s="18"/>
    </row>
    <row r="475">
      <c r="B475" s="18"/>
      <c r="C475" s="18"/>
      <c r="D475" s="18"/>
      <c r="O475" s="18"/>
      <c r="P475" s="18"/>
      <c r="Q475" s="18"/>
      <c r="R475" s="18"/>
      <c r="S475" s="18"/>
      <c r="T475" s="18"/>
    </row>
    <row r="476">
      <c r="B476" s="18"/>
      <c r="C476" s="18"/>
      <c r="D476" s="18"/>
      <c r="O476" s="18"/>
      <c r="P476" s="18"/>
      <c r="Q476" s="18"/>
      <c r="R476" s="18"/>
      <c r="S476" s="18"/>
      <c r="T476" s="18"/>
    </row>
    <row r="477">
      <c r="B477" s="18"/>
      <c r="C477" s="18"/>
      <c r="D477" s="18"/>
      <c r="O477" s="18"/>
      <c r="P477" s="18"/>
      <c r="Q477" s="18"/>
      <c r="R477" s="18"/>
      <c r="S477" s="18"/>
      <c r="T477" s="18"/>
    </row>
    <row r="478">
      <c r="B478" s="18"/>
      <c r="C478" s="18"/>
      <c r="D478" s="18"/>
      <c r="O478" s="18"/>
      <c r="P478" s="18"/>
      <c r="Q478" s="18"/>
      <c r="R478" s="18"/>
      <c r="S478" s="18"/>
      <c r="T478" s="18"/>
    </row>
    <row r="479">
      <c r="B479" s="18"/>
      <c r="C479" s="18"/>
      <c r="D479" s="18"/>
      <c r="O479" s="18"/>
      <c r="P479" s="18"/>
      <c r="Q479" s="18"/>
      <c r="R479" s="18"/>
      <c r="S479" s="18"/>
      <c r="T479" s="18"/>
    </row>
    <row r="480">
      <c r="B480" s="18"/>
      <c r="C480" s="18"/>
      <c r="D480" s="18"/>
      <c r="O480" s="18"/>
      <c r="P480" s="18"/>
      <c r="Q480" s="18"/>
      <c r="R480" s="18"/>
      <c r="S480" s="18"/>
      <c r="T480" s="18"/>
    </row>
    <row r="481">
      <c r="B481" s="18"/>
      <c r="C481" s="18"/>
      <c r="D481" s="18"/>
      <c r="O481" s="18"/>
      <c r="P481" s="18"/>
      <c r="Q481" s="18"/>
      <c r="R481" s="18"/>
      <c r="S481" s="18"/>
      <c r="T481" s="18"/>
    </row>
    <row r="482">
      <c r="B482" s="18"/>
      <c r="C482" s="18"/>
      <c r="D482" s="18"/>
      <c r="O482" s="18"/>
      <c r="P482" s="18"/>
      <c r="Q482" s="18"/>
      <c r="R482" s="18"/>
      <c r="S482" s="18"/>
      <c r="T482" s="18"/>
    </row>
    <row r="483">
      <c r="B483" s="18"/>
      <c r="C483" s="18"/>
      <c r="D483" s="18"/>
      <c r="O483" s="18"/>
      <c r="P483" s="18"/>
      <c r="Q483" s="18"/>
      <c r="R483" s="18"/>
      <c r="S483" s="18"/>
      <c r="T483" s="18"/>
    </row>
    <row r="484">
      <c r="B484" s="18"/>
      <c r="C484" s="18"/>
      <c r="D484" s="18"/>
      <c r="O484" s="18"/>
      <c r="P484" s="18"/>
      <c r="Q484" s="18"/>
      <c r="R484" s="18"/>
      <c r="S484" s="18"/>
      <c r="T484" s="18"/>
    </row>
    <row r="485">
      <c r="B485" s="18"/>
      <c r="C485" s="18"/>
      <c r="D485" s="18"/>
      <c r="O485" s="18"/>
      <c r="P485" s="18"/>
      <c r="Q485" s="18"/>
      <c r="R485" s="18"/>
      <c r="S485" s="18"/>
      <c r="T485" s="18"/>
    </row>
    <row r="486">
      <c r="B486" s="18"/>
      <c r="C486" s="18"/>
      <c r="D486" s="18"/>
      <c r="O486" s="18"/>
      <c r="P486" s="18"/>
      <c r="Q486" s="18"/>
      <c r="R486" s="18"/>
      <c r="S486" s="18"/>
      <c r="T486" s="18"/>
    </row>
    <row r="487">
      <c r="B487" s="18"/>
      <c r="C487" s="18"/>
      <c r="D487" s="18"/>
      <c r="O487" s="18"/>
      <c r="P487" s="18"/>
      <c r="Q487" s="18"/>
      <c r="R487" s="18"/>
      <c r="S487" s="18"/>
      <c r="T487" s="18"/>
    </row>
    <row r="488">
      <c r="B488" s="18"/>
      <c r="C488" s="18"/>
      <c r="D488" s="18"/>
      <c r="O488" s="18"/>
      <c r="P488" s="18"/>
      <c r="Q488" s="18"/>
      <c r="R488" s="18"/>
      <c r="S488" s="18"/>
      <c r="T488" s="18"/>
    </row>
    <row r="489">
      <c r="B489" s="18"/>
      <c r="C489" s="18"/>
      <c r="D489" s="18"/>
      <c r="O489" s="18"/>
      <c r="P489" s="18"/>
      <c r="Q489" s="18"/>
      <c r="R489" s="18"/>
      <c r="S489" s="18"/>
      <c r="T489" s="18"/>
    </row>
    <row r="490">
      <c r="B490" s="18"/>
      <c r="C490" s="18"/>
      <c r="D490" s="18"/>
      <c r="O490" s="18"/>
      <c r="P490" s="18"/>
      <c r="Q490" s="18"/>
      <c r="R490" s="18"/>
      <c r="S490" s="18"/>
      <c r="T490" s="18"/>
    </row>
    <row r="491">
      <c r="B491" s="18"/>
      <c r="C491" s="18"/>
      <c r="D491" s="18"/>
      <c r="O491" s="18"/>
      <c r="P491" s="18"/>
      <c r="Q491" s="18"/>
      <c r="R491" s="18"/>
      <c r="S491" s="18"/>
      <c r="T491" s="18"/>
    </row>
    <row r="492">
      <c r="B492" s="18"/>
      <c r="C492" s="18"/>
      <c r="D492" s="18"/>
      <c r="O492" s="18"/>
      <c r="P492" s="18"/>
      <c r="Q492" s="18"/>
      <c r="R492" s="18"/>
      <c r="S492" s="18"/>
      <c r="T492" s="18"/>
    </row>
    <row r="493">
      <c r="B493" s="18"/>
      <c r="C493" s="18"/>
      <c r="D493" s="18"/>
      <c r="O493" s="18"/>
      <c r="P493" s="18"/>
      <c r="Q493" s="18"/>
      <c r="R493" s="18"/>
      <c r="S493" s="18"/>
      <c r="T493" s="18"/>
    </row>
    <row r="494">
      <c r="B494" s="18"/>
      <c r="C494" s="18"/>
      <c r="D494" s="18"/>
      <c r="O494" s="18"/>
      <c r="P494" s="18"/>
      <c r="Q494" s="18"/>
      <c r="R494" s="18"/>
      <c r="S494" s="18"/>
      <c r="T494" s="18"/>
    </row>
    <row r="495">
      <c r="B495" s="18"/>
      <c r="C495" s="18"/>
      <c r="D495" s="18"/>
      <c r="O495" s="18"/>
      <c r="P495" s="18"/>
      <c r="Q495" s="18"/>
      <c r="R495" s="18"/>
      <c r="S495" s="18"/>
      <c r="T495" s="18"/>
    </row>
    <row r="496">
      <c r="B496" s="18"/>
      <c r="C496" s="18"/>
      <c r="D496" s="18"/>
      <c r="O496" s="18"/>
      <c r="P496" s="18"/>
      <c r="Q496" s="18"/>
      <c r="R496" s="18"/>
      <c r="S496" s="18"/>
      <c r="T496" s="18"/>
    </row>
    <row r="497">
      <c r="B497" s="18"/>
      <c r="C497" s="18"/>
      <c r="D497" s="18"/>
      <c r="O497" s="18"/>
      <c r="P497" s="18"/>
      <c r="Q497" s="18"/>
      <c r="R497" s="18"/>
      <c r="S497" s="18"/>
      <c r="T497" s="18"/>
    </row>
    <row r="498">
      <c r="B498" s="18"/>
      <c r="C498" s="18"/>
      <c r="D498" s="18"/>
      <c r="O498" s="18"/>
      <c r="P498" s="18"/>
      <c r="Q498" s="18"/>
      <c r="R498" s="18"/>
      <c r="S498" s="18"/>
      <c r="T498" s="18"/>
    </row>
    <row r="499">
      <c r="B499" s="18"/>
      <c r="C499" s="18"/>
      <c r="D499" s="18"/>
      <c r="O499" s="18"/>
      <c r="P499" s="18"/>
      <c r="Q499" s="18"/>
      <c r="R499" s="18"/>
      <c r="S499" s="18"/>
      <c r="T499" s="18"/>
    </row>
    <row r="500">
      <c r="B500" s="18"/>
      <c r="C500" s="18"/>
      <c r="D500" s="18"/>
      <c r="O500" s="18"/>
      <c r="P500" s="18"/>
      <c r="Q500" s="18"/>
      <c r="R500" s="18"/>
      <c r="S500" s="18"/>
      <c r="T500" s="18"/>
    </row>
    <row r="501">
      <c r="B501" s="18"/>
      <c r="C501" s="18"/>
      <c r="D501" s="18"/>
      <c r="O501" s="18"/>
      <c r="P501" s="18"/>
      <c r="Q501" s="18"/>
      <c r="R501" s="18"/>
      <c r="S501" s="18"/>
      <c r="T501" s="18"/>
    </row>
    <row r="502">
      <c r="B502" s="18"/>
      <c r="C502" s="18"/>
      <c r="D502" s="18"/>
      <c r="O502" s="18"/>
      <c r="P502" s="18"/>
      <c r="Q502" s="18"/>
      <c r="R502" s="18"/>
      <c r="S502" s="18"/>
      <c r="T502" s="18"/>
    </row>
    <row r="503">
      <c r="B503" s="18"/>
      <c r="C503" s="18"/>
      <c r="D503" s="18"/>
      <c r="O503" s="18"/>
      <c r="P503" s="18"/>
      <c r="Q503" s="18"/>
      <c r="R503" s="18"/>
      <c r="S503" s="18"/>
      <c r="T503" s="18"/>
    </row>
    <row r="504">
      <c r="B504" s="18"/>
      <c r="C504" s="18"/>
      <c r="D504" s="18"/>
      <c r="O504" s="18"/>
      <c r="P504" s="18"/>
      <c r="Q504" s="18"/>
      <c r="R504" s="18"/>
      <c r="S504" s="18"/>
      <c r="T504" s="18"/>
    </row>
    <row r="505">
      <c r="B505" s="18"/>
      <c r="C505" s="18"/>
      <c r="D505" s="18"/>
      <c r="O505" s="18"/>
      <c r="P505" s="18"/>
      <c r="Q505" s="18"/>
      <c r="R505" s="18"/>
      <c r="S505" s="18"/>
      <c r="T505" s="18"/>
    </row>
    <row r="506">
      <c r="B506" s="18"/>
      <c r="C506" s="18"/>
      <c r="D506" s="18"/>
      <c r="O506" s="18"/>
      <c r="P506" s="18"/>
      <c r="Q506" s="18"/>
      <c r="R506" s="18"/>
      <c r="S506" s="18"/>
      <c r="T506" s="18"/>
    </row>
    <row r="507">
      <c r="B507" s="18"/>
      <c r="C507" s="18"/>
      <c r="D507" s="18"/>
      <c r="O507" s="18"/>
      <c r="P507" s="18"/>
      <c r="Q507" s="18"/>
      <c r="R507" s="18"/>
      <c r="S507" s="18"/>
      <c r="T507" s="18"/>
    </row>
    <row r="508">
      <c r="B508" s="18"/>
      <c r="C508" s="18"/>
      <c r="D508" s="18"/>
      <c r="O508" s="18"/>
      <c r="P508" s="18"/>
      <c r="Q508" s="18"/>
      <c r="R508" s="18"/>
      <c r="S508" s="18"/>
      <c r="T508" s="18"/>
    </row>
    <row r="509">
      <c r="B509" s="18"/>
      <c r="C509" s="18"/>
      <c r="D509" s="18"/>
      <c r="O509" s="18"/>
      <c r="P509" s="18"/>
      <c r="Q509" s="18"/>
      <c r="R509" s="18"/>
      <c r="S509" s="18"/>
      <c r="T509" s="18"/>
    </row>
    <row r="510">
      <c r="B510" s="18"/>
      <c r="C510" s="18"/>
      <c r="D510" s="18"/>
      <c r="O510" s="18"/>
      <c r="P510" s="18"/>
      <c r="Q510" s="18"/>
      <c r="R510" s="18"/>
      <c r="S510" s="18"/>
      <c r="T510" s="18"/>
    </row>
    <row r="511">
      <c r="B511" s="18"/>
      <c r="C511" s="18"/>
      <c r="D511" s="18"/>
      <c r="O511" s="18"/>
      <c r="P511" s="18"/>
      <c r="Q511" s="18"/>
      <c r="R511" s="18"/>
      <c r="S511" s="18"/>
      <c r="T511" s="18"/>
    </row>
    <row r="512">
      <c r="B512" s="18"/>
      <c r="C512" s="18"/>
      <c r="D512" s="18"/>
      <c r="O512" s="18"/>
      <c r="P512" s="18"/>
      <c r="Q512" s="18"/>
      <c r="R512" s="18"/>
      <c r="S512" s="18"/>
      <c r="T512" s="18"/>
    </row>
    <row r="513">
      <c r="B513" s="18"/>
      <c r="C513" s="18"/>
      <c r="D513" s="18"/>
      <c r="O513" s="18"/>
      <c r="P513" s="18"/>
      <c r="Q513" s="18"/>
      <c r="R513" s="18"/>
      <c r="S513" s="18"/>
      <c r="T513" s="18"/>
    </row>
    <row r="514">
      <c r="B514" s="18"/>
      <c r="C514" s="18"/>
      <c r="D514" s="18"/>
      <c r="O514" s="18"/>
      <c r="P514" s="18"/>
      <c r="Q514" s="18"/>
      <c r="R514" s="18"/>
      <c r="S514" s="18"/>
      <c r="T514" s="18"/>
    </row>
    <row r="515">
      <c r="B515" s="18"/>
      <c r="C515" s="18"/>
      <c r="D515" s="18"/>
      <c r="O515" s="18"/>
      <c r="P515" s="18"/>
      <c r="Q515" s="18"/>
      <c r="R515" s="18"/>
      <c r="S515" s="18"/>
      <c r="T515" s="18"/>
    </row>
    <row r="516">
      <c r="B516" s="18"/>
      <c r="C516" s="18"/>
      <c r="D516" s="18"/>
      <c r="O516" s="18"/>
      <c r="P516" s="18"/>
      <c r="Q516" s="18"/>
      <c r="R516" s="18"/>
      <c r="S516" s="18"/>
      <c r="T516" s="18"/>
    </row>
    <row r="517">
      <c r="B517" s="18"/>
      <c r="C517" s="18"/>
      <c r="D517" s="18"/>
      <c r="O517" s="18"/>
      <c r="P517" s="18"/>
      <c r="Q517" s="18"/>
      <c r="R517" s="18"/>
      <c r="S517" s="18"/>
      <c r="T517" s="18"/>
    </row>
    <row r="518">
      <c r="B518" s="18"/>
      <c r="C518" s="18"/>
      <c r="D518" s="18"/>
      <c r="O518" s="18"/>
      <c r="P518" s="18"/>
      <c r="Q518" s="18"/>
      <c r="R518" s="18"/>
      <c r="S518" s="18"/>
      <c r="T518" s="18"/>
    </row>
    <row r="519">
      <c r="B519" s="18"/>
      <c r="C519" s="18"/>
      <c r="D519" s="18"/>
      <c r="O519" s="18"/>
      <c r="P519" s="18"/>
      <c r="Q519" s="18"/>
      <c r="R519" s="18"/>
      <c r="S519" s="18"/>
      <c r="T519" s="18"/>
    </row>
    <row r="520">
      <c r="B520" s="18"/>
      <c r="C520" s="18"/>
      <c r="D520" s="18"/>
      <c r="O520" s="18"/>
      <c r="P520" s="18"/>
      <c r="Q520" s="18"/>
      <c r="R520" s="18"/>
      <c r="S520" s="18"/>
      <c r="T520" s="18"/>
    </row>
    <row r="521">
      <c r="B521" s="18"/>
      <c r="C521" s="18"/>
      <c r="D521" s="18"/>
      <c r="O521" s="18"/>
      <c r="P521" s="18"/>
      <c r="Q521" s="18"/>
      <c r="R521" s="18"/>
      <c r="S521" s="18"/>
      <c r="T521" s="18"/>
    </row>
    <row r="522">
      <c r="B522" s="18"/>
      <c r="C522" s="18"/>
      <c r="D522" s="18"/>
      <c r="O522" s="18"/>
      <c r="P522" s="18"/>
      <c r="Q522" s="18"/>
      <c r="R522" s="18"/>
      <c r="S522" s="18"/>
      <c r="T522" s="18"/>
    </row>
    <row r="523">
      <c r="B523" s="18"/>
      <c r="C523" s="18"/>
      <c r="D523" s="18"/>
      <c r="O523" s="18"/>
      <c r="P523" s="18"/>
      <c r="Q523" s="18"/>
      <c r="R523" s="18"/>
      <c r="S523" s="18"/>
      <c r="T523" s="18"/>
    </row>
    <row r="524">
      <c r="B524" s="18"/>
      <c r="C524" s="18"/>
      <c r="D524" s="18"/>
      <c r="O524" s="18"/>
      <c r="P524" s="18"/>
      <c r="Q524" s="18"/>
      <c r="R524" s="18"/>
      <c r="S524" s="18"/>
      <c r="T524" s="18"/>
    </row>
    <row r="525">
      <c r="B525" s="18"/>
      <c r="C525" s="18"/>
      <c r="D525" s="18"/>
      <c r="O525" s="18"/>
      <c r="P525" s="18"/>
      <c r="Q525" s="18"/>
      <c r="R525" s="18"/>
      <c r="S525" s="18"/>
      <c r="T525" s="18"/>
    </row>
    <row r="526">
      <c r="B526" s="18"/>
      <c r="C526" s="18"/>
      <c r="D526" s="18"/>
      <c r="O526" s="18"/>
      <c r="P526" s="18"/>
      <c r="Q526" s="18"/>
      <c r="R526" s="18"/>
      <c r="S526" s="18"/>
      <c r="T526" s="18"/>
    </row>
    <row r="527">
      <c r="B527" s="18"/>
      <c r="C527" s="18"/>
      <c r="D527" s="18"/>
      <c r="O527" s="18"/>
      <c r="P527" s="18"/>
      <c r="Q527" s="18"/>
      <c r="R527" s="18"/>
      <c r="S527" s="18"/>
      <c r="T527" s="18"/>
    </row>
    <row r="528">
      <c r="B528" s="18"/>
      <c r="C528" s="18"/>
      <c r="D528" s="18"/>
      <c r="O528" s="18"/>
      <c r="P528" s="18"/>
      <c r="Q528" s="18"/>
      <c r="R528" s="18"/>
      <c r="S528" s="18"/>
      <c r="T528" s="18"/>
    </row>
    <row r="529">
      <c r="B529" s="18"/>
      <c r="C529" s="18"/>
      <c r="D529" s="18"/>
      <c r="O529" s="18"/>
      <c r="P529" s="18"/>
      <c r="Q529" s="18"/>
      <c r="R529" s="18"/>
      <c r="S529" s="18"/>
      <c r="T529" s="18"/>
    </row>
    <row r="530">
      <c r="B530" s="18"/>
      <c r="C530" s="18"/>
      <c r="D530" s="18"/>
      <c r="O530" s="18"/>
      <c r="P530" s="18"/>
      <c r="Q530" s="18"/>
      <c r="R530" s="18"/>
      <c r="S530" s="18"/>
      <c r="T530" s="18"/>
    </row>
    <row r="531">
      <c r="B531" s="18"/>
      <c r="C531" s="18"/>
      <c r="D531" s="18"/>
      <c r="O531" s="18"/>
      <c r="P531" s="18"/>
      <c r="Q531" s="18"/>
      <c r="R531" s="18"/>
      <c r="S531" s="18"/>
      <c r="T531" s="18"/>
    </row>
    <row r="532">
      <c r="B532" s="18"/>
      <c r="C532" s="18"/>
      <c r="D532" s="18"/>
      <c r="O532" s="18"/>
      <c r="P532" s="18"/>
      <c r="Q532" s="18"/>
      <c r="R532" s="18"/>
      <c r="S532" s="18"/>
      <c r="T532" s="18"/>
    </row>
    <row r="533">
      <c r="B533" s="18"/>
      <c r="C533" s="18"/>
      <c r="D533" s="18"/>
      <c r="O533" s="18"/>
      <c r="P533" s="18"/>
      <c r="Q533" s="18"/>
      <c r="R533" s="18"/>
      <c r="S533" s="18"/>
      <c r="T533" s="18"/>
    </row>
    <row r="534">
      <c r="B534" s="18"/>
      <c r="C534" s="18"/>
      <c r="D534" s="18"/>
      <c r="O534" s="18"/>
      <c r="P534" s="18"/>
      <c r="Q534" s="18"/>
      <c r="R534" s="18"/>
      <c r="S534" s="18"/>
      <c r="T534" s="18"/>
    </row>
    <row r="535">
      <c r="B535" s="18"/>
      <c r="C535" s="18"/>
      <c r="D535" s="18"/>
      <c r="O535" s="18"/>
      <c r="P535" s="18"/>
      <c r="Q535" s="18"/>
      <c r="R535" s="18"/>
      <c r="S535" s="18"/>
      <c r="T535" s="18"/>
    </row>
    <row r="536">
      <c r="B536" s="18"/>
      <c r="C536" s="18"/>
      <c r="D536" s="18"/>
      <c r="O536" s="18"/>
      <c r="P536" s="18"/>
      <c r="Q536" s="18"/>
      <c r="R536" s="18"/>
      <c r="S536" s="18"/>
      <c r="T536" s="18"/>
    </row>
    <row r="537">
      <c r="B537" s="18"/>
      <c r="C537" s="18"/>
      <c r="D537" s="18"/>
      <c r="O537" s="18"/>
      <c r="P537" s="18"/>
      <c r="Q537" s="18"/>
      <c r="R537" s="18"/>
      <c r="S537" s="18"/>
      <c r="T537" s="18"/>
    </row>
    <row r="538">
      <c r="B538" s="18"/>
      <c r="C538" s="18"/>
      <c r="D538" s="18"/>
      <c r="O538" s="18"/>
      <c r="P538" s="18"/>
      <c r="Q538" s="18"/>
      <c r="R538" s="18"/>
      <c r="S538" s="18"/>
      <c r="T538" s="18"/>
    </row>
    <row r="539">
      <c r="B539" s="18"/>
      <c r="C539" s="18"/>
      <c r="D539" s="18"/>
      <c r="O539" s="18"/>
      <c r="P539" s="18"/>
      <c r="Q539" s="18"/>
      <c r="R539" s="18"/>
      <c r="S539" s="18"/>
      <c r="T539" s="18"/>
    </row>
    <row r="540">
      <c r="B540" s="18"/>
      <c r="C540" s="18"/>
      <c r="D540" s="18"/>
      <c r="O540" s="18"/>
      <c r="P540" s="18"/>
      <c r="Q540" s="18"/>
      <c r="R540" s="18"/>
      <c r="S540" s="18"/>
      <c r="T540" s="18"/>
    </row>
    <row r="541">
      <c r="B541" s="18"/>
      <c r="C541" s="18"/>
      <c r="D541" s="18"/>
      <c r="O541" s="18"/>
      <c r="P541" s="18"/>
      <c r="Q541" s="18"/>
      <c r="R541" s="18"/>
      <c r="S541" s="18"/>
      <c r="T541" s="18"/>
    </row>
    <row r="542">
      <c r="B542" s="18"/>
      <c r="C542" s="18"/>
      <c r="D542" s="18"/>
      <c r="O542" s="18"/>
      <c r="P542" s="18"/>
      <c r="Q542" s="18"/>
      <c r="R542" s="18"/>
      <c r="S542" s="18"/>
      <c r="T542" s="18"/>
    </row>
    <row r="543">
      <c r="B543" s="18"/>
      <c r="C543" s="18"/>
      <c r="D543" s="18"/>
      <c r="O543" s="18"/>
      <c r="P543" s="18"/>
      <c r="Q543" s="18"/>
      <c r="R543" s="18"/>
      <c r="S543" s="18"/>
      <c r="T543" s="18"/>
    </row>
    <row r="544">
      <c r="B544" s="18"/>
      <c r="C544" s="18"/>
      <c r="D544" s="18"/>
      <c r="O544" s="18"/>
      <c r="P544" s="18"/>
      <c r="Q544" s="18"/>
      <c r="R544" s="18"/>
      <c r="S544" s="18"/>
      <c r="T544" s="18"/>
    </row>
    <row r="545">
      <c r="B545" s="18"/>
      <c r="C545" s="18"/>
      <c r="D545" s="18"/>
      <c r="O545" s="18"/>
      <c r="P545" s="18"/>
      <c r="Q545" s="18"/>
      <c r="R545" s="18"/>
      <c r="S545" s="18"/>
      <c r="T545" s="18"/>
    </row>
    <row r="546">
      <c r="B546" s="18"/>
      <c r="C546" s="18"/>
      <c r="D546" s="18"/>
      <c r="O546" s="18"/>
      <c r="P546" s="18"/>
      <c r="Q546" s="18"/>
      <c r="R546" s="18"/>
      <c r="S546" s="18"/>
      <c r="T546" s="18"/>
    </row>
    <row r="547">
      <c r="B547" s="18"/>
      <c r="C547" s="18"/>
      <c r="D547" s="18"/>
      <c r="O547" s="18"/>
      <c r="P547" s="18"/>
      <c r="Q547" s="18"/>
      <c r="R547" s="18"/>
      <c r="S547" s="18"/>
      <c r="T547" s="18"/>
    </row>
    <row r="548">
      <c r="B548" s="18"/>
      <c r="C548" s="18"/>
      <c r="D548" s="18"/>
      <c r="O548" s="18"/>
      <c r="P548" s="18"/>
      <c r="Q548" s="18"/>
      <c r="R548" s="18"/>
      <c r="S548" s="18"/>
      <c r="T548" s="18"/>
    </row>
    <row r="549">
      <c r="B549" s="18"/>
      <c r="C549" s="18"/>
      <c r="D549" s="18"/>
      <c r="O549" s="18"/>
      <c r="P549" s="18"/>
      <c r="Q549" s="18"/>
      <c r="R549" s="18"/>
      <c r="S549" s="18"/>
      <c r="T549" s="18"/>
    </row>
    <row r="550">
      <c r="B550" s="18"/>
      <c r="C550" s="18"/>
      <c r="D550" s="18"/>
      <c r="O550" s="18"/>
      <c r="P550" s="18"/>
      <c r="Q550" s="18"/>
      <c r="R550" s="18"/>
      <c r="S550" s="18"/>
      <c r="T550" s="18"/>
    </row>
    <row r="551">
      <c r="B551" s="18"/>
      <c r="C551" s="18"/>
      <c r="D551" s="18"/>
      <c r="O551" s="18"/>
      <c r="P551" s="18"/>
      <c r="Q551" s="18"/>
      <c r="R551" s="18"/>
      <c r="S551" s="18"/>
      <c r="T551" s="18"/>
    </row>
    <row r="552">
      <c r="B552" s="18"/>
      <c r="C552" s="18"/>
      <c r="D552" s="18"/>
      <c r="O552" s="18"/>
      <c r="P552" s="18"/>
      <c r="Q552" s="18"/>
      <c r="R552" s="18"/>
      <c r="S552" s="18"/>
      <c r="T552" s="18"/>
    </row>
    <row r="553">
      <c r="B553" s="18"/>
      <c r="C553" s="18"/>
      <c r="D553" s="18"/>
      <c r="O553" s="18"/>
      <c r="P553" s="18"/>
      <c r="Q553" s="18"/>
      <c r="R553" s="18"/>
      <c r="S553" s="18"/>
      <c r="T553" s="18"/>
    </row>
    <row r="554">
      <c r="B554" s="18"/>
      <c r="C554" s="18"/>
      <c r="D554" s="18"/>
      <c r="O554" s="18"/>
      <c r="P554" s="18"/>
      <c r="Q554" s="18"/>
      <c r="R554" s="18"/>
      <c r="S554" s="18"/>
      <c r="T554" s="18"/>
    </row>
    <row r="555">
      <c r="B555" s="18"/>
      <c r="C555" s="18"/>
      <c r="D555" s="18"/>
      <c r="O555" s="18"/>
      <c r="P555" s="18"/>
      <c r="Q555" s="18"/>
      <c r="R555" s="18"/>
      <c r="S555" s="18"/>
      <c r="T555" s="18"/>
    </row>
    <row r="556">
      <c r="B556" s="18"/>
      <c r="C556" s="18"/>
      <c r="D556" s="18"/>
      <c r="O556" s="18"/>
      <c r="P556" s="18"/>
      <c r="Q556" s="18"/>
      <c r="R556" s="18"/>
      <c r="S556" s="18"/>
      <c r="T556" s="18"/>
    </row>
    <row r="557">
      <c r="B557" s="18"/>
      <c r="C557" s="18"/>
      <c r="D557" s="18"/>
      <c r="O557" s="18"/>
      <c r="P557" s="18"/>
      <c r="Q557" s="18"/>
      <c r="R557" s="18"/>
      <c r="S557" s="18"/>
      <c r="T557" s="18"/>
    </row>
    <row r="558">
      <c r="B558" s="18"/>
      <c r="C558" s="18"/>
      <c r="D558" s="18"/>
      <c r="O558" s="18"/>
      <c r="P558" s="18"/>
      <c r="Q558" s="18"/>
      <c r="R558" s="18"/>
      <c r="S558" s="18"/>
      <c r="T558" s="18"/>
    </row>
    <row r="559">
      <c r="B559" s="18"/>
      <c r="C559" s="18"/>
      <c r="D559" s="18"/>
      <c r="O559" s="18"/>
      <c r="P559" s="18"/>
      <c r="Q559" s="18"/>
      <c r="R559" s="18"/>
      <c r="S559" s="18"/>
      <c r="T559" s="18"/>
    </row>
    <row r="560">
      <c r="B560" s="18"/>
      <c r="C560" s="18"/>
      <c r="D560" s="18"/>
      <c r="O560" s="18"/>
      <c r="P560" s="18"/>
      <c r="Q560" s="18"/>
      <c r="R560" s="18"/>
      <c r="S560" s="18"/>
      <c r="T560" s="18"/>
    </row>
    <row r="561">
      <c r="B561" s="18"/>
      <c r="C561" s="18"/>
      <c r="D561" s="18"/>
      <c r="O561" s="18"/>
      <c r="P561" s="18"/>
      <c r="Q561" s="18"/>
      <c r="R561" s="18"/>
      <c r="S561" s="18"/>
      <c r="T561" s="18"/>
    </row>
    <row r="562">
      <c r="B562" s="18"/>
      <c r="C562" s="18"/>
      <c r="D562" s="18"/>
      <c r="O562" s="18"/>
      <c r="P562" s="18"/>
      <c r="Q562" s="18"/>
      <c r="R562" s="18"/>
      <c r="S562" s="18"/>
      <c r="T562" s="18"/>
    </row>
    <row r="563">
      <c r="B563" s="18"/>
      <c r="C563" s="18"/>
      <c r="D563" s="18"/>
      <c r="O563" s="18"/>
      <c r="P563" s="18"/>
      <c r="Q563" s="18"/>
      <c r="R563" s="18"/>
      <c r="S563" s="18"/>
      <c r="T563" s="18"/>
    </row>
    <row r="564">
      <c r="B564" s="18"/>
      <c r="C564" s="18"/>
      <c r="D564" s="18"/>
      <c r="O564" s="18"/>
      <c r="P564" s="18"/>
      <c r="Q564" s="18"/>
      <c r="R564" s="18"/>
      <c r="S564" s="18"/>
      <c r="T564" s="18"/>
    </row>
    <row r="565">
      <c r="B565" s="18"/>
      <c r="C565" s="18"/>
      <c r="D565" s="18"/>
      <c r="O565" s="18"/>
      <c r="P565" s="18"/>
      <c r="Q565" s="18"/>
      <c r="R565" s="18"/>
      <c r="S565" s="18"/>
      <c r="T565" s="18"/>
    </row>
    <row r="566">
      <c r="B566" s="18"/>
      <c r="C566" s="18"/>
      <c r="D566" s="18"/>
      <c r="O566" s="18"/>
      <c r="P566" s="18"/>
      <c r="Q566" s="18"/>
      <c r="R566" s="18"/>
      <c r="S566" s="18"/>
      <c r="T566" s="18"/>
    </row>
    <row r="567">
      <c r="B567" s="18"/>
      <c r="C567" s="18"/>
      <c r="D567" s="18"/>
      <c r="O567" s="18"/>
      <c r="P567" s="18"/>
      <c r="Q567" s="18"/>
      <c r="R567" s="18"/>
      <c r="S567" s="18"/>
      <c r="T567" s="18"/>
    </row>
    <row r="568">
      <c r="B568" s="18"/>
      <c r="C568" s="18"/>
      <c r="D568" s="18"/>
      <c r="O568" s="18"/>
      <c r="P568" s="18"/>
      <c r="Q568" s="18"/>
      <c r="R568" s="18"/>
      <c r="S568" s="18"/>
      <c r="T568" s="18"/>
    </row>
    <row r="569">
      <c r="B569" s="18"/>
      <c r="C569" s="18"/>
      <c r="D569" s="18"/>
      <c r="O569" s="18"/>
      <c r="P569" s="18"/>
      <c r="Q569" s="18"/>
      <c r="R569" s="18"/>
      <c r="S569" s="18"/>
      <c r="T569" s="18"/>
    </row>
    <row r="570">
      <c r="B570" s="18"/>
      <c r="C570" s="18"/>
      <c r="D570" s="18"/>
      <c r="O570" s="18"/>
      <c r="P570" s="18"/>
      <c r="Q570" s="18"/>
      <c r="R570" s="18"/>
      <c r="S570" s="18"/>
      <c r="T570" s="18"/>
    </row>
    <row r="571">
      <c r="B571" s="18"/>
      <c r="C571" s="18"/>
      <c r="D571" s="18"/>
      <c r="O571" s="18"/>
      <c r="P571" s="18"/>
      <c r="Q571" s="18"/>
      <c r="R571" s="18"/>
      <c r="S571" s="18"/>
      <c r="T571" s="18"/>
    </row>
    <row r="572">
      <c r="B572" s="18"/>
      <c r="C572" s="18"/>
      <c r="D572" s="18"/>
      <c r="O572" s="18"/>
      <c r="P572" s="18"/>
      <c r="Q572" s="18"/>
      <c r="R572" s="18"/>
      <c r="S572" s="18"/>
      <c r="T572" s="18"/>
    </row>
    <row r="573">
      <c r="B573" s="18"/>
      <c r="C573" s="18"/>
      <c r="D573" s="18"/>
      <c r="O573" s="18"/>
      <c r="P573" s="18"/>
      <c r="Q573" s="18"/>
      <c r="R573" s="18"/>
      <c r="S573" s="18"/>
      <c r="T573" s="18"/>
    </row>
    <row r="574">
      <c r="B574" s="18"/>
      <c r="C574" s="18"/>
      <c r="D574" s="18"/>
      <c r="O574" s="18"/>
      <c r="P574" s="18"/>
      <c r="Q574" s="18"/>
      <c r="R574" s="18"/>
      <c r="S574" s="18"/>
      <c r="T574" s="18"/>
    </row>
    <row r="575">
      <c r="B575" s="18"/>
      <c r="C575" s="18"/>
      <c r="D575" s="18"/>
      <c r="O575" s="18"/>
      <c r="P575" s="18"/>
      <c r="Q575" s="18"/>
      <c r="R575" s="18"/>
      <c r="S575" s="18"/>
      <c r="T575" s="18"/>
    </row>
    <row r="576">
      <c r="B576" s="18"/>
      <c r="C576" s="18"/>
      <c r="D576" s="18"/>
      <c r="O576" s="18"/>
      <c r="P576" s="18"/>
      <c r="Q576" s="18"/>
      <c r="R576" s="18"/>
      <c r="S576" s="18"/>
      <c r="T576" s="18"/>
    </row>
    <row r="577">
      <c r="B577" s="18"/>
      <c r="C577" s="18"/>
      <c r="D577" s="18"/>
      <c r="O577" s="18"/>
      <c r="P577" s="18"/>
      <c r="Q577" s="18"/>
      <c r="R577" s="18"/>
      <c r="S577" s="18"/>
      <c r="T577" s="18"/>
    </row>
    <row r="578">
      <c r="B578" s="18"/>
      <c r="C578" s="18"/>
      <c r="D578" s="18"/>
      <c r="O578" s="18"/>
      <c r="P578" s="18"/>
      <c r="Q578" s="18"/>
      <c r="R578" s="18"/>
      <c r="S578" s="18"/>
      <c r="T578" s="18"/>
    </row>
    <row r="579">
      <c r="B579" s="18"/>
      <c r="C579" s="18"/>
      <c r="D579" s="18"/>
      <c r="O579" s="18"/>
      <c r="P579" s="18"/>
      <c r="Q579" s="18"/>
      <c r="R579" s="18"/>
      <c r="S579" s="18"/>
      <c r="T579" s="18"/>
    </row>
    <row r="580">
      <c r="B580" s="18"/>
      <c r="C580" s="18"/>
      <c r="D580" s="18"/>
      <c r="O580" s="18"/>
      <c r="P580" s="18"/>
      <c r="Q580" s="18"/>
      <c r="R580" s="18"/>
      <c r="S580" s="18"/>
      <c r="T580" s="18"/>
    </row>
    <row r="581">
      <c r="B581" s="18"/>
      <c r="C581" s="18"/>
      <c r="D581" s="18"/>
      <c r="O581" s="18"/>
      <c r="P581" s="18"/>
      <c r="Q581" s="18"/>
      <c r="R581" s="18"/>
      <c r="S581" s="18"/>
      <c r="T581" s="18"/>
    </row>
    <row r="582">
      <c r="B582" s="18"/>
      <c r="C582" s="18"/>
      <c r="D582" s="18"/>
      <c r="O582" s="18"/>
      <c r="P582" s="18"/>
      <c r="Q582" s="18"/>
      <c r="R582" s="18"/>
      <c r="S582" s="18"/>
      <c r="T582" s="18"/>
    </row>
    <row r="583">
      <c r="B583" s="18"/>
      <c r="C583" s="18"/>
      <c r="D583" s="18"/>
      <c r="O583" s="18"/>
      <c r="P583" s="18"/>
      <c r="Q583" s="18"/>
      <c r="R583" s="18"/>
      <c r="S583" s="18"/>
      <c r="T583" s="18"/>
    </row>
    <row r="584">
      <c r="B584" s="18"/>
      <c r="C584" s="18"/>
      <c r="D584" s="18"/>
      <c r="O584" s="18"/>
      <c r="P584" s="18"/>
      <c r="Q584" s="18"/>
      <c r="R584" s="18"/>
      <c r="S584" s="18"/>
      <c r="T584" s="18"/>
    </row>
    <row r="585">
      <c r="B585" s="18"/>
      <c r="C585" s="18"/>
      <c r="D585" s="18"/>
      <c r="O585" s="18"/>
      <c r="P585" s="18"/>
      <c r="Q585" s="18"/>
      <c r="R585" s="18"/>
      <c r="S585" s="18"/>
      <c r="T585" s="18"/>
    </row>
    <row r="586">
      <c r="B586" s="18"/>
      <c r="C586" s="18"/>
      <c r="D586" s="18"/>
      <c r="O586" s="18"/>
      <c r="P586" s="18"/>
      <c r="Q586" s="18"/>
      <c r="R586" s="18"/>
      <c r="S586" s="18"/>
      <c r="T586" s="18"/>
    </row>
    <row r="587">
      <c r="B587" s="18"/>
      <c r="C587" s="18"/>
      <c r="D587" s="18"/>
      <c r="O587" s="18"/>
      <c r="P587" s="18"/>
      <c r="Q587" s="18"/>
      <c r="R587" s="18"/>
      <c r="S587" s="18"/>
      <c r="T587" s="18"/>
    </row>
    <row r="588">
      <c r="B588" s="18"/>
      <c r="C588" s="18"/>
      <c r="D588" s="18"/>
      <c r="O588" s="18"/>
      <c r="P588" s="18"/>
      <c r="Q588" s="18"/>
      <c r="R588" s="18"/>
      <c r="S588" s="18"/>
      <c r="T588" s="18"/>
    </row>
    <row r="589">
      <c r="B589" s="18"/>
      <c r="C589" s="18"/>
      <c r="D589" s="18"/>
      <c r="O589" s="18"/>
      <c r="P589" s="18"/>
      <c r="Q589" s="18"/>
      <c r="R589" s="18"/>
      <c r="S589" s="18"/>
      <c r="T589" s="18"/>
    </row>
    <row r="590">
      <c r="B590" s="18"/>
      <c r="C590" s="18"/>
      <c r="D590" s="18"/>
      <c r="O590" s="18"/>
      <c r="P590" s="18"/>
      <c r="Q590" s="18"/>
      <c r="R590" s="18"/>
      <c r="S590" s="18"/>
      <c r="T590" s="18"/>
    </row>
    <row r="591">
      <c r="B591" s="18"/>
      <c r="C591" s="18"/>
      <c r="D591" s="18"/>
      <c r="O591" s="18"/>
      <c r="P591" s="18"/>
      <c r="Q591" s="18"/>
      <c r="R591" s="18"/>
      <c r="S591" s="18"/>
      <c r="T591" s="18"/>
    </row>
    <row r="592">
      <c r="B592" s="18"/>
      <c r="C592" s="18"/>
      <c r="D592" s="18"/>
      <c r="O592" s="18"/>
      <c r="P592" s="18"/>
      <c r="Q592" s="18"/>
      <c r="R592" s="18"/>
      <c r="S592" s="18"/>
      <c r="T592" s="18"/>
    </row>
    <row r="593">
      <c r="B593" s="18"/>
      <c r="C593" s="18"/>
      <c r="D593" s="18"/>
      <c r="O593" s="18"/>
      <c r="P593" s="18"/>
      <c r="Q593" s="18"/>
      <c r="R593" s="18"/>
      <c r="S593" s="18"/>
      <c r="T593" s="18"/>
    </row>
    <row r="594">
      <c r="B594" s="18"/>
      <c r="C594" s="18"/>
      <c r="D594" s="18"/>
      <c r="O594" s="18"/>
      <c r="P594" s="18"/>
      <c r="Q594" s="18"/>
      <c r="R594" s="18"/>
      <c r="S594" s="18"/>
      <c r="T594" s="18"/>
    </row>
    <row r="595">
      <c r="B595" s="18"/>
      <c r="C595" s="18"/>
      <c r="D595" s="18"/>
      <c r="O595" s="18"/>
      <c r="P595" s="18"/>
      <c r="Q595" s="18"/>
      <c r="R595" s="18"/>
      <c r="S595" s="18"/>
      <c r="T595" s="18"/>
    </row>
    <row r="596">
      <c r="B596" s="18"/>
      <c r="C596" s="18"/>
      <c r="D596" s="18"/>
      <c r="O596" s="18"/>
      <c r="P596" s="18"/>
      <c r="Q596" s="18"/>
      <c r="R596" s="18"/>
      <c r="S596" s="18"/>
      <c r="T596" s="18"/>
    </row>
    <row r="597">
      <c r="B597" s="18"/>
      <c r="C597" s="18"/>
      <c r="D597" s="18"/>
      <c r="O597" s="18"/>
      <c r="P597" s="18"/>
      <c r="Q597" s="18"/>
      <c r="R597" s="18"/>
      <c r="S597" s="18"/>
      <c r="T597" s="18"/>
    </row>
    <row r="598">
      <c r="B598" s="18"/>
      <c r="C598" s="18"/>
      <c r="D598" s="18"/>
      <c r="O598" s="18"/>
      <c r="P598" s="18"/>
      <c r="Q598" s="18"/>
      <c r="R598" s="18"/>
      <c r="S598" s="18"/>
      <c r="T598" s="18"/>
    </row>
    <row r="599">
      <c r="B599" s="18"/>
      <c r="C599" s="18"/>
      <c r="D599" s="18"/>
      <c r="O599" s="18"/>
      <c r="P599" s="18"/>
      <c r="Q599" s="18"/>
      <c r="R599" s="18"/>
      <c r="S599" s="18"/>
      <c r="T599" s="18"/>
    </row>
    <row r="600">
      <c r="B600" s="18"/>
      <c r="C600" s="18"/>
      <c r="D600" s="18"/>
      <c r="O600" s="18"/>
      <c r="P600" s="18"/>
      <c r="Q600" s="18"/>
      <c r="R600" s="18"/>
      <c r="S600" s="18"/>
      <c r="T600" s="18"/>
    </row>
    <row r="601">
      <c r="B601" s="18"/>
      <c r="C601" s="18"/>
      <c r="D601" s="18"/>
      <c r="O601" s="18"/>
      <c r="P601" s="18"/>
      <c r="Q601" s="18"/>
      <c r="R601" s="18"/>
      <c r="S601" s="18"/>
      <c r="T601" s="18"/>
    </row>
    <row r="602">
      <c r="B602" s="18"/>
      <c r="C602" s="18"/>
      <c r="D602" s="18"/>
      <c r="O602" s="18"/>
      <c r="P602" s="18"/>
      <c r="Q602" s="18"/>
      <c r="R602" s="18"/>
      <c r="S602" s="18"/>
      <c r="T602" s="18"/>
    </row>
    <row r="603">
      <c r="B603" s="18"/>
      <c r="C603" s="18"/>
      <c r="D603" s="18"/>
      <c r="O603" s="18"/>
      <c r="P603" s="18"/>
      <c r="Q603" s="18"/>
      <c r="R603" s="18"/>
      <c r="S603" s="18"/>
      <c r="T603" s="18"/>
    </row>
    <row r="604">
      <c r="B604" s="18"/>
      <c r="C604" s="18"/>
      <c r="D604" s="18"/>
      <c r="O604" s="18"/>
      <c r="P604" s="18"/>
      <c r="Q604" s="18"/>
      <c r="R604" s="18"/>
      <c r="S604" s="18"/>
      <c r="T604" s="18"/>
    </row>
    <row r="605">
      <c r="B605" s="18"/>
      <c r="C605" s="18"/>
      <c r="D605" s="18"/>
      <c r="O605" s="18"/>
      <c r="P605" s="18"/>
      <c r="Q605" s="18"/>
      <c r="R605" s="18"/>
      <c r="S605" s="18"/>
      <c r="T605" s="18"/>
    </row>
    <row r="606">
      <c r="B606" s="18"/>
      <c r="C606" s="18"/>
      <c r="D606" s="18"/>
      <c r="O606" s="18"/>
      <c r="P606" s="18"/>
      <c r="Q606" s="18"/>
      <c r="R606" s="18"/>
      <c r="S606" s="18"/>
      <c r="T606" s="18"/>
    </row>
    <row r="607">
      <c r="B607" s="18"/>
      <c r="C607" s="18"/>
      <c r="D607" s="18"/>
      <c r="O607" s="18"/>
      <c r="P607" s="18"/>
      <c r="Q607" s="18"/>
      <c r="R607" s="18"/>
      <c r="S607" s="18"/>
      <c r="T607" s="18"/>
    </row>
    <row r="608">
      <c r="B608" s="18"/>
      <c r="C608" s="18"/>
      <c r="D608" s="18"/>
      <c r="O608" s="18"/>
      <c r="P608" s="18"/>
      <c r="Q608" s="18"/>
      <c r="R608" s="18"/>
      <c r="S608" s="18"/>
      <c r="T608" s="18"/>
    </row>
    <row r="609">
      <c r="B609" s="18"/>
      <c r="C609" s="18"/>
      <c r="D609" s="18"/>
      <c r="O609" s="18"/>
      <c r="P609" s="18"/>
      <c r="Q609" s="18"/>
      <c r="R609" s="18"/>
      <c r="S609" s="18"/>
      <c r="T609" s="18"/>
    </row>
    <row r="610">
      <c r="B610" s="18"/>
      <c r="C610" s="18"/>
      <c r="D610" s="18"/>
      <c r="O610" s="18"/>
      <c r="P610" s="18"/>
      <c r="Q610" s="18"/>
      <c r="R610" s="18"/>
      <c r="S610" s="18"/>
      <c r="T610" s="18"/>
    </row>
    <row r="611">
      <c r="B611" s="18"/>
      <c r="C611" s="18"/>
      <c r="D611" s="18"/>
      <c r="O611" s="18"/>
      <c r="P611" s="18"/>
      <c r="Q611" s="18"/>
      <c r="R611" s="18"/>
      <c r="S611" s="18"/>
      <c r="T611" s="18"/>
    </row>
    <row r="612">
      <c r="B612" s="18"/>
      <c r="C612" s="18"/>
      <c r="D612" s="18"/>
      <c r="O612" s="18"/>
      <c r="P612" s="18"/>
      <c r="Q612" s="18"/>
      <c r="R612" s="18"/>
      <c r="S612" s="18"/>
      <c r="T612" s="18"/>
    </row>
    <row r="613">
      <c r="B613" s="18"/>
      <c r="C613" s="18"/>
      <c r="D613" s="18"/>
      <c r="O613" s="18"/>
      <c r="P613" s="18"/>
      <c r="Q613" s="18"/>
      <c r="R613" s="18"/>
      <c r="S613" s="18"/>
      <c r="T613" s="18"/>
    </row>
    <row r="614">
      <c r="B614" s="18"/>
      <c r="C614" s="18"/>
      <c r="D614" s="18"/>
      <c r="O614" s="18"/>
      <c r="P614" s="18"/>
      <c r="Q614" s="18"/>
      <c r="R614" s="18"/>
      <c r="S614" s="18"/>
      <c r="T614" s="18"/>
    </row>
    <row r="615">
      <c r="B615" s="18"/>
      <c r="C615" s="18"/>
      <c r="D615" s="18"/>
      <c r="O615" s="18"/>
      <c r="P615" s="18"/>
      <c r="Q615" s="18"/>
      <c r="R615" s="18"/>
      <c r="S615" s="18"/>
      <c r="T615" s="18"/>
    </row>
    <row r="616">
      <c r="B616" s="18"/>
      <c r="C616" s="18"/>
      <c r="D616" s="18"/>
      <c r="O616" s="18"/>
      <c r="P616" s="18"/>
      <c r="Q616" s="18"/>
      <c r="R616" s="18"/>
      <c r="S616" s="18"/>
      <c r="T616" s="18"/>
    </row>
    <row r="617">
      <c r="B617" s="18"/>
      <c r="C617" s="18"/>
      <c r="D617" s="18"/>
      <c r="O617" s="18"/>
      <c r="P617" s="18"/>
      <c r="Q617" s="18"/>
      <c r="R617" s="18"/>
      <c r="S617" s="18"/>
      <c r="T617" s="18"/>
    </row>
    <row r="618">
      <c r="B618" s="18"/>
      <c r="C618" s="18"/>
      <c r="D618" s="18"/>
      <c r="O618" s="18"/>
      <c r="P618" s="18"/>
      <c r="Q618" s="18"/>
      <c r="R618" s="18"/>
      <c r="S618" s="18"/>
      <c r="T618" s="18"/>
    </row>
    <row r="619">
      <c r="B619" s="18"/>
      <c r="C619" s="18"/>
      <c r="D619" s="18"/>
      <c r="O619" s="18"/>
      <c r="P619" s="18"/>
      <c r="Q619" s="18"/>
      <c r="R619" s="18"/>
      <c r="S619" s="18"/>
      <c r="T619" s="18"/>
    </row>
    <row r="620">
      <c r="B620" s="18"/>
      <c r="C620" s="18"/>
      <c r="D620" s="18"/>
      <c r="O620" s="18"/>
      <c r="P620" s="18"/>
      <c r="Q620" s="18"/>
      <c r="R620" s="18"/>
      <c r="S620" s="18"/>
      <c r="T620" s="18"/>
    </row>
    <row r="621">
      <c r="B621" s="18"/>
      <c r="C621" s="18"/>
      <c r="D621" s="18"/>
      <c r="O621" s="18"/>
      <c r="P621" s="18"/>
      <c r="Q621" s="18"/>
      <c r="R621" s="18"/>
      <c r="S621" s="18"/>
      <c r="T621" s="18"/>
    </row>
    <row r="622">
      <c r="B622" s="18"/>
      <c r="C622" s="18"/>
      <c r="D622" s="18"/>
      <c r="O622" s="18"/>
      <c r="P622" s="18"/>
      <c r="Q622" s="18"/>
      <c r="R622" s="18"/>
      <c r="S622" s="18"/>
      <c r="T622" s="18"/>
    </row>
    <row r="623">
      <c r="B623" s="18"/>
      <c r="C623" s="18"/>
      <c r="D623" s="18"/>
      <c r="O623" s="18"/>
      <c r="P623" s="18"/>
      <c r="Q623" s="18"/>
      <c r="R623" s="18"/>
      <c r="S623" s="18"/>
      <c r="T623" s="18"/>
    </row>
    <row r="624">
      <c r="B624" s="18"/>
      <c r="C624" s="18"/>
      <c r="D624" s="18"/>
      <c r="O624" s="18"/>
      <c r="P624" s="18"/>
      <c r="Q624" s="18"/>
      <c r="R624" s="18"/>
      <c r="S624" s="18"/>
      <c r="T624" s="18"/>
    </row>
    <row r="625">
      <c r="B625" s="18"/>
      <c r="C625" s="18"/>
      <c r="D625" s="18"/>
      <c r="O625" s="18"/>
      <c r="P625" s="18"/>
      <c r="Q625" s="18"/>
      <c r="R625" s="18"/>
      <c r="S625" s="18"/>
      <c r="T625" s="18"/>
    </row>
    <row r="626">
      <c r="B626" s="18"/>
      <c r="C626" s="18"/>
      <c r="D626" s="18"/>
      <c r="O626" s="18"/>
      <c r="P626" s="18"/>
      <c r="Q626" s="18"/>
      <c r="R626" s="18"/>
      <c r="S626" s="18"/>
      <c r="T626" s="18"/>
    </row>
    <row r="627">
      <c r="B627" s="18"/>
      <c r="C627" s="18"/>
      <c r="D627" s="18"/>
      <c r="O627" s="18"/>
      <c r="P627" s="18"/>
      <c r="Q627" s="18"/>
      <c r="R627" s="18"/>
      <c r="S627" s="18"/>
      <c r="T627" s="18"/>
    </row>
    <row r="628">
      <c r="B628" s="18"/>
      <c r="C628" s="18"/>
      <c r="D628" s="18"/>
      <c r="O628" s="18"/>
      <c r="P628" s="18"/>
      <c r="Q628" s="18"/>
      <c r="R628" s="18"/>
      <c r="S628" s="18"/>
      <c r="T628" s="18"/>
    </row>
    <row r="629">
      <c r="B629" s="18"/>
      <c r="C629" s="18"/>
      <c r="D629" s="18"/>
      <c r="O629" s="18"/>
      <c r="P629" s="18"/>
      <c r="Q629" s="18"/>
      <c r="R629" s="18"/>
      <c r="S629" s="18"/>
      <c r="T629" s="18"/>
    </row>
    <row r="630">
      <c r="B630" s="18"/>
      <c r="C630" s="18"/>
      <c r="D630" s="18"/>
      <c r="O630" s="18"/>
      <c r="P630" s="18"/>
      <c r="Q630" s="18"/>
      <c r="R630" s="18"/>
      <c r="S630" s="18"/>
      <c r="T630" s="18"/>
    </row>
    <row r="631">
      <c r="B631" s="18"/>
      <c r="C631" s="18"/>
      <c r="D631" s="18"/>
      <c r="O631" s="18"/>
      <c r="P631" s="18"/>
      <c r="Q631" s="18"/>
      <c r="R631" s="18"/>
      <c r="S631" s="18"/>
      <c r="T631" s="18"/>
    </row>
    <row r="632">
      <c r="B632" s="18"/>
      <c r="C632" s="18"/>
      <c r="D632" s="18"/>
      <c r="O632" s="18"/>
      <c r="P632" s="18"/>
      <c r="Q632" s="18"/>
      <c r="R632" s="18"/>
      <c r="S632" s="18"/>
      <c r="T632" s="18"/>
    </row>
    <row r="633">
      <c r="B633" s="18"/>
      <c r="C633" s="18"/>
      <c r="D633" s="18"/>
      <c r="O633" s="18"/>
      <c r="P633" s="18"/>
      <c r="Q633" s="18"/>
      <c r="R633" s="18"/>
      <c r="S633" s="18"/>
      <c r="T633" s="18"/>
    </row>
    <row r="634">
      <c r="B634" s="18"/>
      <c r="C634" s="18"/>
      <c r="D634" s="18"/>
      <c r="O634" s="18"/>
      <c r="P634" s="18"/>
      <c r="Q634" s="18"/>
      <c r="R634" s="18"/>
      <c r="S634" s="18"/>
      <c r="T634" s="18"/>
    </row>
    <row r="635">
      <c r="B635" s="18"/>
      <c r="C635" s="18"/>
      <c r="D635" s="18"/>
      <c r="O635" s="18"/>
      <c r="P635" s="18"/>
      <c r="Q635" s="18"/>
      <c r="R635" s="18"/>
      <c r="S635" s="18"/>
      <c r="T635" s="18"/>
    </row>
    <row r="636">
      <c r="B636" s="18"/>
      <c r="C636" s="18"/>
      <c r="D636" s="18"/>
      <c r="O636" s="18"/>
      <c r="P636" s="18"/>
      <c r="Q636" s="18"/>
      <c r="R636" s="18"/>
      <c r="S636" s="18"/>
      <c r="T636" s="18"/>
    </row>
    <row r="637">
      <c r="B637" s="18"/>
      <c r="C637" s="18"/>
      <c r="D637" s="18"/>
      <c r="O637" s="18"/>
      <c r="P637" s="18"/>
      <c r="Q637" s="18"/>
      <c r="R637" s="18"/>
      <c r="S637" s="18"/>
      <c r="T637" s="18"/>
    </row>
    <row r="638">
      <c r="B638" s="18"/>
      <c r="C638" s="18"/>
      <c r="D638" s="18"/>
      <c r="O638" s="18"/>
      <c r="P638" s="18"/>
      <c r="Q638" s="18"/>
      <c r="R638" s="18"/>
      <c r="S638" s="18"/>
      <c r="T638" s="18"/>
    </row>
    <row r="639">
      <c r="B639" s="18"/>
      <c r="C639" s="18"/>
      <c r="D639" s="18"/>
      <c r="O639" s="18"/>
      <c r="P639" s="18"/>
      <c r="Q639" s="18"/>
      <c r="R639" s="18"/>
      <c r="S639" s="18"/>
      <c r="T639" s="18"/>
    </row>
    <row r="640">
      <c r="B640" s="18"/>
      <c r="C640" s="18"/>
      <c r="D640" s="18"/>
      <c r="O640" s="18"/>
      <c r="P640" s="18"/>
      <c r="Q640" s="18"/>
      <c r="R640" s="18"/>
      <c r="S640" s="18"/>
      <c r="T640" s="18"/>
    </row>
    <row r="641">
      <c r="B641" s="18"/>
      <c r="C641" s="18"/>
      <c r="D641" s="18"/>
      <c r="O641" s="18"/>
      <c r="P641" s="18"/>
      <c r="Q641" s="18"/>
      <c r="R641" s="18"/>
      <c r="S641" s="18"/>
      <c r="T641" s="18"/>
    </row>
    <row r="642">
      <c r="B642" s="18"/>
      <c r="C642" s="18"/>
      <c r="D642" s="18"/>
      <c r="O642" s="18"/>
      <c r="P642" s="18"/>
      <c r="Q642" s="18"/>
      <c r="R642" s="18"/>
      <c r="S642" s="18"/>
      <c r="T642" s="18"/>
    </row>
    <row r="643">
      <c r="B643" s="18"/>
      <c r="C643" s="18"/>
      <c r="D643" s="18"/>
      <c r="O643" s="18"/>
      <c r="P643" s="18"/>
      <c r="Q643" s="18"/>
      <c r="R643" s="18"/>
      <c r="S643" s="18"/>
      <c r="T643" s="18"/>
    </row>
    <row r="644">
      <c r="B644" s="18"/>
      <c r="C644" s="18"/>
      <c r="D644" s="18"/>
      <c r="O644" s="18"/>
      <c r="P644" s="18"/>
      <c r="Q644" s="18"/>
      <c r="R644" s="18"/>
      <c r="S644" s="18"/>
      <c r="T644" s="18"/>
    </row>
    <row r="645">
      <c r="B645" s="18"/>
      <c r="C645" s="18"/>
      <c r="D645" s="18"/>
      <c r="O645" s="18"/>
      <c r="P645" s="18"/>
      <c r="Q645" s="18"/>
      <c r="R645" s="18"/>
      <c r="S645" s="18"/>
      <c r="T645" s="18"/>
    </row>
    <row r="646">
      <c r="B646" s="18"/>
      <c r="C646" s="18"/>
      <c r="D646" s="18"/>
      <c r="O646" s="18"/>
      <c r="P646" s="18"/>
      <c r="Q646" s="18"/>
      <c r="R646" s="18"/>
      <c r="S646" s="18"/>
      <c r="T646" s="18"/>
    </row>
    <row r="647">
      <c r="B647" s="18"/>
      <c r="C647" s="18"/>
      <c r="D647" s="18"/>
      <c r="O647" s="18"/>
      <c r="P647" s="18"/>
      <c r="Q647" s="18"/>
      <c r="R647" s="18"/>
      <c r="S647" s="18"/>
      <c r="T647" s="18"/>
    </row>
    <row r="648">
      <c r="B648" s="18"/>
      <c r="C648" s="18"/>
      <c r="D648" s="18"/>
      <c r="O648" s="18"/>
      <c r="P648" s="18"/>
      <c r="Q648" s="18"/>
      <c r="R648" s="18"/>
      <c r="S648" s="18"/>
      <c r="T648" s="18"/>
    </row>
    <row r="649">
      <c r="B649" s="18"/>
      <c r="C649" s="18"/>
      <c r="D649" s="18"/>
      <c r="O649" s="18"/>
      <c r="P649" s="18"/>
      <c r="Q649" s="18"/>
      <c r="R649" s="18"/>
      <c r="S649" s="18"/>
      <c r="T649" s="18"/>
    </row>
    <row r="650">
      <c r="B650" s="18"/>
      <c r="C650" s="18"/>
      <c r="D650" s="18"/>
      <c r="O650" s="18"/>
      <c r="P650" s="18"/>
      <c r="Q650" s="18"/>
      <c r="R650" s="18"/>
      <c r="S650" s="18"/>
      <c r="T650" s="18"/>
    </row>
    <row r="651">
      <c r="B651" s="18"/>
      <c r="C651" s="18"/>
      <c r="D651" s="18"/>
      <c r="O651" s="18"/>
      <c r="P651" s="18"/>
      <c r="Q651" s="18"/>
      <c r="R651" s="18"/>
      <c r="S651" s="18"/>
      <c r="T651" s="18"/>
    </row>
    <row r="652">
      <c r="B652" s="18"/>
      <c r="C652" s="18"/>
      <c r="D652" s="18"/>
      <c r="O652" s="18"/>
      <c r="P652" s="18"/>
      <c r="Q652" s="18"/>
      <c r="R652" s="18"/>
      <c r="S652" s="18"/>
      <c r="T652" s="18"/>
    </row>
    <row r="653">
      <c r="B653" s="18"/>
      <c r="C653" s="18"/>
      <c r="D653" s="18"/>
      <c r="O653" s="18"/>
      <c r="P653" s="18"/>
      <c r="Q653" s="18"/>
      <c r="R653" s="18"/>
      <c r="S653" s="18"/>
      <c r="T653" s="18"/>
    </row>
    <row r="654">
      <c r="B654" s="18"/>
      <c r="C654" s="18"/>
      <c r="D654" s="18"/>
      <c r="O654" s="18"/>
      <c r="P654" s="18"/>
      <c r="Q654" s="18"/>
      <c r="R654" s="18"/>
      <c r="S654" s="18"/>
      <c r="T654" s="18"/>
    </row>
    <row r="655">
      <c r="B655" s="18"/>
      <c r="C655" s="18"/>
      <c r="D655" s="18"/>
      <c r="O655" s="18"/>
      <c r="P655" s="18"/>
      <c r="Q655" s="18"/>
      <c r="R655" s="18"/>
      <c r="S655" s="18"/>
      <c r="T655" s="18"/>
    </row>
    <row r="656">
      <c r="B656" s="18"/>
      <c r="C656" s="18"/>
      <c r="D656" s="18"/>
      <c r="O656" s="18"/>
      <c r="P656" s="18"/>
      <c r="Q656" s="18"/>
      <c r="R656" s="18"/>
      <c r="S656" s="18"/>
      <c r="T656" s="18"/>
    </row>
    <row r="657">
      <c r="B657" s="18"/>
      <c r="C657" s="18"/>
      <c r="D657" s="18"/>
      <c r="O657" s="18"/>
      <c r="P657" s="18"/>
      <c r="Q657" s="18"/>
      <c r="R657" s="18"/>
      <c r="S657" s="18"/>
      <c r="T657" s="18"/>
    </row>
    <row r="658">
      <c r="B658" s="18"/>
      <c r="C658" s="18"/>
      <c r="D658" s="18"/>
      <c r="O658" s="18"/>
      <c r="P658" s="18"/>
      <c r="Q658" s="18"/>
      <c r="R658" s="18"/>
      <c r="S658" s="18"/>
      <c r="T658" s="18"/>
    </row>
    <row r="659">
      <c r="B659" s="18"/>
      <c r="C659" s="18"/>
      <c r="D659" s="18"/>
      <c r="O659" s="18"/>
      <c r="P659" s="18"/>
      <c r="Q659" s="18"/>
      <c r="R659" s="18"/>
      <c r="S659" s="18"/>
      <c r="T659" s="18"/>
    </row>
    <row r="660">
      <c r="B660" s="18"/>
      <c r="C660" s="18"/>
      <c r="D660" s="18"/>
      <c r="O660" s="18"/>
      <c r="P660" s="18"/>
      <c r="Q660" s="18"/>
      <c r="R660" s="18"/>
      <c r="S660" s="18"/>
      <c r="T660" s="18"/>
    </row>
    <row r="661">
      <c r="B661" s="18"/>
      <c r="C661" s="18"/>
      <c r="D661" s="18"/>
      <c r="O661" s="18"/>
      <c r="P661" s="18"/>
      <c r="Q661" s="18"/>
      <c r="R661" s="18"/>
      <c r="S661" s="18"/>
      <c r="T661" s="18"/>
    </row>
    <row r="662">
      <c r="B662" s="18"/>
      <c r="C662" s="18"/>
      <c r="D662" s="18"/>
      <c r="O662" s="18"/>
      <c r="P662" s="18"/>
      <c r="Q662" s="18"/>
      <c r="R662" s="18"/>
      <c r="S662" s="18"/>
      <c r="T662" s="18"/>
    </row>
    <row r="663">
      <c r="B663" s="18"/>
      <c r="C663" s="18"/>
      <c r="D663" s="18"/>
      <c r="O663" s="18"/>
      <c r="P663" s="18"/>
      <c r="Q663" s="18"/>
      <c r="R663" s="18"/>
      <c r="S663" s="18"/>
      <c r="T663" s="18"/>
    </row>
    <row r="664">
      <c r="B664" s="18"/>
      <c r="C664" s="18"/>
      <c r="D664" s="18"/>
      <c r="O664" s="18"/>
      <c r="P664" s="18"/>
      <c r="Q664" s="18"/>
      <c r="R664" s="18"/>
      <c r="S664" s="18"/>
      <c r="T664" s="18"/>
    </row>
    <row r="665">
      <c r="B665" s="18"/>
      <c r="C665" s="18"/>
      <c r="D665" s="18"/>
      <c r="O665" s="18"/>
      <c r="P665" s="18"/>
      <c r="Q665" s="18"/>
      <c r="R665" s="18"/>
      <c r="S665" s="18"/>
      <c r="T665" s="18"/>
    </row>
    <row r="666">
      <c r="B666" s="18"/>
      <c r="C666" s="18"/>
      <c r="D666" s="18"/>
      <c r="O666" s="18"/>
      <c r="P666" s="18"/>
      <c r="Q666" s="18"/>
      <c r="R666" s="18"/>
      <c r="S666" s="18"/>
      <c r="T666" s="18"/>
    </row>
    <row r="667">
      <c r="B667" s="18"/>
      <c r="C667" s="18"/>
      <c r="D667" s="18"/>
      <c r="O667" s="18"/>
      <c r="P667" s="18"/>
      <c r="Q667" s="18"/>
      <c r="R667" s="18"/>
      <c r="S667" s="18"/>
      <c r="T667" s="18"/>
    </row>
    <row r="668">
      <c r="B668" s="18"/>
      <c r="C668" s="18"/>
      <c r="D668" s="18"/>
      <c r="O668" s="18"/>
      <c r="P668" s="18"/>
      <c r="Q668" s="18"/>
      <c r="R668" s="18"/>
      <c r="S668" s="18"/>
      <c r="T668" s="18"/>
    </row>
    <row r="669">
      <c r="B669" s="18"/>
      <c r="C669" s="18"/>
      <c r="D669" s="18"/>
      <c r="O669" s="18"/>
      <c r="P669" s="18"/>
      <c r="Q669" s="18"/>
      <c r="R669" s="18"/>
      <c r="S669" s="18"/>
      <c r="T669" s="18"/>
    </row>
    <row r="670">
      <c r="B670" s="18"/>
      <c r="C670" s="18"/>
      <c r="D670" s="18"/>
      <c r="O670" s="18"/>
      <c r="P670" s="18"/>
      <c r="Q670" s="18"/>
      <c r="R670" s="18"/>
      <c r="S670" s="18"/>
      <c r="T670" s="18"/>
    </row>
    <row r="671">
      <c r="B671" s="18"/>
      <c r="C671" s="18"/>
      <c r="D671" s="18"/>
      <c r="O671" s="18"/>
      <c r="P671" s="18"/>
      <c r="Q671" s="18"/>
      <c r="R671" s="18"/>
      <c r="S671" s="18"/>
      <c r="T671" s="18"/>
    </row>
    <row r="672">
      <c r="B672" s="18"/>
      <c r="C672" s="18"/>
      <c r="D672" s="18"/>
      <c r="O672" s="18"/>
      <c r="P672" s="18"/>
      <c r="Q672" s="18"/>
      <c r="R672" s="18"/>
      <c r="S672" s="18"/>
      <c r="T672" s="18"/>
    </row>
    <row r="673">
      <c r="B673" s="18"/>
      <c r="C673" s="18"/>
      <c r="D673" s="18"/>
      <c r="O673" s="18"/>
      <c r="P673" s="18"/>
      <c r="Q673" s="18"/>
      <c r="R673" s="18"/>
      <c r="S673" s="18"/>
      <c r="T673" s="18"/>
    </row>
    <row r="674">
      <c r="B674" s="18"/>
      <c r="C674" s="18"/>
      <c r="D674" s="18"/>
      <c r="O674" s="18"/>
      <c r="P674" s="18"/>
      <c r="Q674" s="18"/>
      <c r="R674" s="18"/>
      <c r="S674" s="18"/>
      <c r="T674" s="18"/>
    </row>
    <row r="675">
      <c r="B675" s="18"/>
      <c r="C675" s="18"/>
      <c r="D675" s="18"/>
      <c r="O675" s="18"/>
      <c r="P675" s="18"/>
      <c r="Q675" s="18"/>
      <c r="R675" s="18"/>
      <c r="S675" s="18"/>
      <c r="T675" s="18"/>
    </row>
    <row r="676">
      <c r="B676" s="18"/>
      <c r="C676" s="18"/>
      <c r="D676" s="18"/>
      <c r="O676" s="18"/>
      <c r="P676" s="18"/>
      <c r="Q676" s="18"/>
      <c r="R676" s="18"/>
      <c r="S676" s="18"/>
      <c r="T676" s="18"/>
    </row>
    <row r="677">
      <c r="B677" s="18"/>
      <c r="C677" s="18"/>
      <c r="D677" s="18"/>
      <c r="O677" s="18"/>
      <c r="P677" s="18"/>
      <c r="Q677" s="18"/>
      <c r="R677" s="18"/>
      <c r="S677" s="18"/>
      <c r="T677" s="18"/>
    </row>
    <row r="678">
      <c r="B678" s="18"/>
      <c r="C678" s="18"/>
      <c r="D678" s="18"/>
      <c r="O678" s="18"/>
      <c r="P678" s="18"/>
      <c r="Q678" s="18"/>
      <c r="R678" s="18"/>
      <c r="S678" s="18"/>
      <c r="T678" s="18"/>
    </row>
    <row r="679">
      <c r="B679" s="18"/>
      <c r="C679" s="18"/>
      <c r="D679" s="18"/>
      <c r="O679" s="18"/>
      <c r="P679" s="18"/>
      <c r="Q679" s="18"/>
      <c r="R679" s="18"/>
      <c r="S679" s="18"/>
      <c r="T679" s="18"/>
    </row>
    <row r="680">
      <c r="B680" s="18"/>
      <c r="C680" s="18"/>
      <c r="D680" s="18"/>
      <c r="O680" s="18"/>
      <c r="P680" s="18"/>
      <c r="Q680" s="18"/>
      <c r="R680" s="18"/>
      <c r="S680" s="18"/>
      <c r="T680" s="18"/>
    </row>
    <row r="681">
      <c r="B681" s="18"/>
      <c r="C681" s="18"/>
      <c r="D681" s="18"/>
      <c r="O681" s="18"/>
      <c r="P681" s="18"/>
      <c r="Q681" s="18"/>
      <c r="R681" s="18"/>
      <c r="S681" s="18"/>
      <c r="T681" s="18"/>
    </row>
    <row r="682">
      <c r="B682" s="18"/>
      <c r="C682" s="18"/>
      <c r="D682" s="18"/>
      <c r="O682" s="18"/>
      <c r="P682" s="18"/>
      <c r="Q682" s="18"/>
      <c r="R682" s="18"/>
      <c r="S682" s="18"/>
      <c r="T682" s="18"/>
    </row>
    <row r="683">
      <c r="B683" s="18"/>
      <c r="C683" s="18"/>
      <c r="D683" s="18"/>
      <c r="O683" s="18"/>
      <c r="P683" s="18"/>
      <c r="Q683" s="18"/>
      <c r="R683" s="18"/>
      <c r="S683" s="18"/>
      <c r="T683" s="18"/>
    </row>
    <row r="684">
      <c r="B684" s="18"/>
      <c r="C684" s="18"/>
      <c r="D684" s="18"/>
      <c r="O684" s="18"/>
      <c r="P684" s="18"/>
      <c r="Q684" s="18"/>
      <c r="R684" s="18"/>
      <c r="S684" s="18"/>
      <c r="T684" s="18"/>
    </row>
    <row r="685">
      <c r="B685" s="18"/>
      <c r="C685" s="18"/>
      <c r="D685" s="18"/>
      <c r="O685" s="18"/>
      <c r="P685" s="18"/>
      <c r="Q685" s="18"/>
      <c r="R685" s="18"/>
      <c r="S685" s="18"/>
      <c r="T685" s="18"/>
    </row>
    <row r="686">
      <c r="B686" s="18"/>
      <c r="C686" s="18"/>
      <c r="D686" s="18"/>
      <c r="O686" s="18"/>
      <c r="P686" s="18"/>
      <c r="Q686" s="18"/>
      <c r="R686" s="18"/>
      <c r="S686" s="18"/>
      <c r="T686" s="18"/>
    </row>
    <row r="687">
      <c r="B687" s="18"/>
      <c r="C687" s="18"/>
      <c r="D687" s="18"/>
      <c r="O687" s="18"/>
      <c r="P687" s="18"/>
      <c r="Q687" s="18"/>
      <c r="R687" s="18"/>
      <c r="S687" s="18"/>
      <c r="T687" s="18"/>
    </row>
    <row r="688">
      <c r="B688" s="18"/>
      <c r="C688" s="18"/>
      <c r="D688" s="18"/>
      <c r="O688" s="18"/>
      <c r="P688" s="18"/>
      <c r="Q688" s="18"/>
      <c r="R688" s="18"/>
      <c r="S688" s="18"/>
      <c r="T688" s="18"/>
    </row>
    <row r="689">
      <c r="B689" s="18"/>
      <c r="C689" s="18"/>
      <c r="D689" s="18"/>
      <c r="O689" s="18"/>
      <c r="P689" s="18"/>
      <c r="Q689" s="18"/>
      <c r="R689" s="18"/>
      <c r="S689" s="18"/>
      <c r="T689" s="18"/>
    </row>
    <row r="690">
      <c r="B690" s="18"/>
      <c r="C690" s="18"/>
      <c r="D690" s="18"/>
      <c r="O690" s="18"/>
      <c r="P690" s="18"/>
      <c r="Q690" s="18"/>
      <c r="R690" s="18"/>
      <c r="S690" s="18"/>
      <c r="T690" s="18"/>
    </row>
    <row r="691">
      <c r="B691" s="18"/>
      <c r="C691" s="18"/>
      <c r="D691" s="18"/>
      <c r="O691" s="18"/>
      <c r="P691" s="18"/>
      <c r="Q691" s="18"/>
      <c r="R691" s="18"/>
      <c r="S691" s="18"/>
      <c r="T691" s="18"/>
    </row>
    <row r="692">
      <c r="B692" s="18"/>
      <c r="C692" s="18"/>
      <c r="D692" s="18"/>
      <c r="O692" s="18"/>
      <c r="P692" s="18"/>
      <c r="Q692" s="18"/>
      <c r="R692" s="18"/>
      <c r="S692" s="18"/>
      <c r="T692" s="18"/>
    </row>
    <row r="693">
      <c r="B693" s="18"/>
      <c r="C693" s="18"/>
      <c r="D693" s="18"/>
      <c r="O693" s="18"/>
      <c r="P693" s="18"/>
      <c r="Q693" s="18"/>
      <c r="R693" s="18"/>
      <c r="S693" s="18"/>
      <c r="T693" s="18"/>
    </row>
    <row r="694">
      <c r="B694" s="18"/>
      <c r="C694" s="18"/>
      <c r="D694" s="18"/>
      <c r="O694" s="18"/>
      <c r="P694" s="18"/>
      <c r="Q694" s="18"/>
      <c r="R694" s="18"/>
      <c r="S694" s="18"/>
      <c r="T694" s="18"/>
    </row>
    <row r="695">
      <c r="B695" s="18"/>
      <c r="C695" s="18"/>
      <c r="D695" s="18"/>
      <c r="O695" s="18"/>
      <c r="P695" s="18"/>
      <c r="Q695" s="18"/>
      <c r="R695" s="18"/>
      <c r="S695" s="18"/>
      <c r="T695" s="18"/>
    </row>
    <row r="696">
      <c r="B696" s="18"/>
      <c r="C696" s="18"/>
      <c r="D696" s="18"/>
      <c r="O696" s="18"/>
      <c r="P696" s="18"/>
      <c r="Q696" s="18"/>
      <c r="R696" s="18"/>
      <c r="S696" s="18"/>
      <c r="T696" s="18"/>
    </row>
    <row r="697">
      <c r="B697" s="18"/>
      <c r="C697" s="18"/>
      <c r="D697" s="18"/>
      <c r="O697" s="18"/>
      <c r="P697" s="18"/>
      <c r="Q697" s="18"/>
      <c r="R697" s="18"/>
      <c r="S697" s="18"/>
      <c r="T697" s="18"/>
    </row>
    <row r="698">
      <c r="B698" s="18"/>
      <c r="C698" s="18"/>
      <c r="D698" s="18"/>
      <c r="O698" s="18"/>
      <c r="P698" s="18"/>
      <c r="Q698" s="18"/>
      <c r="R698" s="18"/>
      <c r="S698" s="18"/>
      <c r="T698" s="18"/>
    </row>
    <row r="699">
      <c r="B699" s="18"/>
      <c r="C699" s="18"/>
      <c r="D699" s="18"/>
      <c r="O699" s="18"/>
      <c r="P699" s="18"/>
      <c r="Q699" s="18"/>
      <c r="R699" s="18"/>
      <c r="S699" s="18"/>
      <c r="T699" s="18"/>
    </row>
    <row r="700">
      <c r="B700" s="18"/>
      <c r="C700" s="18"/>
      <c r="D700" s="18"/>
      <c r="O700" s="18"/>
      <c r="P700" s="18"/>
      <c r="Q700" s="18"/>
      <c r="R700" s="18"/>
      <c r="S700" s="18"/>
      <c r="T700" s="18"/>
    </row>
    <row r="701">
      <c r="B701" s="18"/>
      <c r="C701" s="18"/>
      <c r="D701" s="18"/>
      <c r="O701" s="18"/>
      <c r="P701" s="18"/>
      <c r="Q701" s="18"/>
      <c r="R701" s="18"/>
      <c r="S701" s="18"/>
      <c r="T701" s="18"/>
    </row>
    <row r="702">
      <c r="B702" s="18"/>
      <c r="C702" s="18"/>
      <c r="D702" s="18"/>
      <c r="O702" s="18"/>
      <c r="P702" s="18"/>
      <c r="Q702" s="18"/>
      <c r="R702" s="18"/>
      <c r="S702" s="18"/>
      <c r="T702" s="18"/>
    </row>
    <row r="703">
      <c r="B703" s="18"/>
      <c r="C703" s="18"/>
      <c r="D703" s="18"/>
      <c r="O703" s="18"/>
      <c r="P703" s="18"/>
      <c r="Q703" s="18"/>
      <c r="R703" s="18"/>
      <c r="S703" s="18"/>
      <c r="T703" s="18"/>
    </row>
    <row r="704">
      <c r="B704" s="18"/>
      <c r="C704" s="18"/>
      <c r="D704" s="18"/>
      <c r="O704" s="18"/>
      <c r="P704" s="18"/>
      <c r="Q704" s="18"/>
      <c r="R704" s="18"/>
      <c r="S704" s="18"/>
      <c r="T704" s="18"/>
    </row>
    <row r="705">
      <c r="B705" s="18"/>
      <c r="C705" s="18"/>
      <c r="D705" s="18"/>
      <c r="O705" s="18"/>
      <c r="P705" s="18"/>
      <c r="Q705" s="18"/>
      <c r="R705" s="18"/>
      <c r="S705" s="18"/>
      <c r="T705" s="18"/>
    </row>
    <row r="706">
      <c r="B706" s="18"/>
      <c r="C706" s="18"/>
      <c r="D706" s="18"/>
      <c r="O706" s="18"/>
      <c r="P706" s="18"/>
      <c r="Q706" s="18"/>
      <c r="R706" s="18"/>
      <c r="S706" s="18"/>
      <c r="T706" s="18"/>
    </row>
    <row r="707">
      <c r="B707" s="18"/>
      <c r="C707" s="18"/>
      <c r="D707" s="18"/>
      <c r="O707" s="18"/>
      <c r="P707" s="18"/>
      <c r="Q707" s="18"/>
      <c r="R707" s="18"/>
      <c r="S707" s="18"/>
      <c r="T707" s="18"/>
    </row>
    <row r="708">
      <c r="B708" s="18"/>
      <c r="C708" s="18"/>
      <c r="D708" s="18"/>
      <c r="O708" s="18"/>
      <c r="P708" s="18"/>
      <c r="Q708" s="18"/>
      <c r="R708" s="18"/>
      <c r="S708" s="18"/>
      <c r="T708" s="18"/>
    </row>
    <row r="709">
      <c r="B709" s="18"/>
      <c r="C709" s="18"/>
      <c r="D709" s="18"/>
      <c r="O709" s="18"/>
      <c r="P709" s="18"/>
      <c r="Q709" s="18"/>
      <c r="R709" s="18"/>
      <c r="S709" s="18"/>
      <c r="T709" s="18"/>
    </row>
    <row r="710">
      <c r="B710" s="18"/>
      <c r="C710" s="18"/>
      <c r="D710" s="18"/>
      <c r="O710" s="18"/>
      <c r="P710" s="18"/>
      <c r="Q710" s="18"/>
      <c r="R710" s="18"/>
      <c r="S710" s="18"/>
      <c r="T710" s="18"/>
    </row>
    <row r="711">
      <c r="B711" s="18"/>
      <c r="C711" s="18"/>
      <c r="D711" s="18"/>
      <c r="O711" s="18"/>
      <c r="P711" s="18"/>
      <c r="Q711" s="18"/>
      <c r="R711" s="18"/>
      <c r="S711" s="18"/>
      <c r="T711" s="18"/>
    </row>
    <row r="712">
      <c r="B712" s="18"/>
      <c r="C712" s="18"/>
      <c r="D712" s="18"/>
      <c r="O712" s="18"/>
      <c r="P712" s="18"/>
      <c r="Q712" s="18"/>
      <c r="R712" s="18"/>
      <c r="S712" s="18"/>
      <c r="T712" s="18"/>
    </row>
    <row r="713">
      <c r="B713" s="18"/>
      <c r="C713" s="18"/>
      <c r="D713" s="18"/>
      <c r="O713" s="18"/>
      <c r="P713" s="18"/>
      <c r="Q713" s="18"/>
      <c r="R713" s="18"/>
      <c r="S713" s="18"/>
      <c r="T713" s="18"/>
    </row>
    <row r="714">
      <c r="B714" s="18"/>
      <c r="C714" s="18"/>
      <c r="D714" s="18"/>
      <c r="O714" s="18"/>
      <c r="P714" s="18"/>
      <c r="Q714" s="18"/>
      <c r="R714" s="18"/>
      <c r="S714" s="18"/>
      <c r="T714" s="18"/>
    </row>
    <row r="715">
      <c r="B715" s="18"/>
      <c r="C715" s="18"/>
      <c r="D715" s="18"/>
      <c r="O715" s="18"/>
      <c r="P715" s="18"/>
      <c r="Q715" s="18"/>
      <c r="R715" s="18"/>
      <c r="S715" s="18"/>
      <c r="T715" s="18"/>
    </row>
    <row r="716">
      <c r="B716" s="18"/>
      <c r="C716" s="18"/>
      <c r="D716" s="18"/>
      <c r="O716" s="18"/>
      <c r="P716" s="18"/>
      <c r="Q716" s="18"/>
      <c r="R716" s="18"/>
      <c r="S716" s="18"/>
      <c r="T716" s="18"/>
    </row>
    <row r="717">
      <c r="B717" s="18"/>
      <c r="C717" s="18"/>
      <c r="D717" s="18"/>
      <c r="O717" s="18"/>
      <c r="P717" s="18"/>
      <c r="Q717" s="18"/>
      <c r="R717" s="18"/>
      <c r="S717" s="18"/>
      <c r="T717" s="18"/>
    </row>
    <row r="718">
      <c r="B718" s="18"/>
      <c r="C718" s="18"/>
      <c r="D718" s="18"/>
      <c r="O718" s="18"/>
      <c r="P718" s="18"/>
      <c r="Q718" s="18"/>
      <c r="R718" s="18"/>
      <c r="S718" s="18"/>
      <c r="T718" s="18"/>
    </row>
    <row r="719">
      <c r="B719" s="18"/>
      <c r="C719" s="18"/>
      <c r="D719" s="18"/>
      <c r="O719" s="18"/>
      <c r="P719" s="18"/>
      <c r="Q719" s="18"/>
      <c r="R719" s="18"/>
      <c r="S719" s="18"/>
      <c r="T719" s="18"/>
    </row>
    <row r="720">
      <c r="B720" s="18"/>
      <c r="C720" s="18"/>
      <c r="D720" s="18"/>
      <c r="O720" s="18"/>
      <c r="P720" s="18"/>
      <c r="Q720" s="18"/>
      <c r="R720" s="18"/>
      <c r="S720" s="18"/>
      <c r="T720" s="18"/>
    </row>
    <row r="721">
      <c r="B721" s="18"/>
      <c r="C721" s="18"/>
      <c r="D721" s="18"/>
      <c r="O721" s="18"/>
      <c r="P721" s="18"/>
      <c r="Q721" s="18"/>
      <c r="R721" s="18"/>
      <c r="S721" s="18"/>
      <c r="T721" s="18"/>
    </row>
    <row r="722">
      <c r="B722" s="18"/>
      <c r="C722" s="18"/>
      <c r="D722" s="18"/>
      <c r="O722" s="18"/>
      <c r="P722" s="18"/>
      <c r="Q722" s="18"/>
      <c r="R722" s="18"/>
      <c r="S722" s="18"/>
      <c r="T722" s="18"/>
    </row>
    <row r="723">
      <c r="B723" s="18"/>
      <c r="C723" s="18"/>
      <c r="D723" s="18"/>
      <c r="O723" s="18"/>
      <c r="P723" s="18"/>
      <c r="Q723" s="18"/>
      <c r="R723" s="18"/>
      <c r="S723" s="18"/>
      <c r="T723" s="18"/>
    </row>
    <row r="724">
      <c r="B724" s="18"/>
      <c r="C724" s="18"/>
      <c r="D724" s="18"/>
      <c r="O724" s="18"/>
      <c r="P724" s="18"/>
      <c r="Q724" s="18"/>
      <c r="R724" s="18"/>
      <c r="S724" s="18"/>
      <c r="T724" s="18"/>
    </row>
    <row r="725">
      <c r="B725" s="18"/>
      <c r="C725" s="18"/>
      <c r="D725" s="18"/>
      <c r="O725" s="18"/>
      <c r="P725" s="18"/>
      <c r="Q725" s="18"/>
      <c r="R725" s="18"/>
      <c r="S725" s="18"/>
      <c r="T725" s="18"/>
    </row>
    <row r="726">
      <c r="B726" s="18"/>
      <c r="C726" s="18"/>
      <c r="D726" s="18"/>
      <c r="O726" s="18"/>
      <c r="P726" s="18"/>
      <c r="Q726" s="18"/>
      <c r="R726" s="18"/>
      <c r="S726" s="18"/>
      <c r="T726" s="18"/>
    </row>
    <row r="727">
      <c r="B727" s="18"/>
      <c r="C727" s="18"/>
      <c r="D727" s="18"/>
      <c r="O727" s="18"/>
      <c r="P727" s="18"/>
      <c r="Q727" s="18"/>
      <c r="R727" s="18"/>
      <c r="S727" s="18"/>
      <c r="T727" s="18"/>
    </row>
    <row r="728">
      <c r="B728" s="18"/>
      <c r="C728" s="18"/>
      <c r="D728" s="18"/>
      <c r="O728" s="18"/>
      <c r="P728" s="18"/>
      <c r="Q728" s="18"/>
      <c r="R728" s="18"/>
      <c r="S728" s="18"/>
      <c r="T728" s="18"/>
    </row>
    <row r="729">
      <c r="B729" s="18"/>
      <c r="C729" s="18"/>
      <c r="D729" s="18"/>
      <c r="O729" s="18"/>
      <c r="P729" s="18"/>
      <c r="Q729" s="18"/>
      <c r="R729" s="18"/>
      <c r="S729" s="18"/>
      <c r="T729" s="18"/>
    </row>
    <row r="730">
      <c r="B730" s="18"/>
      <c r="C730" s="18"/>
      <c r="D730" s="18"/>
      <c r="O730" s="18"/>
      <c r="P730" s="18"/>
      <c r="Q730" s="18"/>
      <c r="R730" s="18"/>
      <c r="S730" s="18"/>
      <c r="T730" s="18"/>
    </row>
    <row r="731">
      <c r="B731" s="18"/>
      <c r="C731" s="18"/>
      <c r="D731" s="18"/>
      <c r="O731" s="18"/>
      <c r="P731" s="18"/>
      <c r="Q731" s="18"/>
      <c r="R731" s="18"/>
      <c r="S731" s="18"/>
      <c r="T731" s="18"/>
    </row>
    <row r="732">
      <c r="B732" s="18"/>
      <c r="C732" s="18"/>
      <c r="D732" s="18"/>
      <c r="O732" s="18"/>
      <c r="P732" s="18"/>
      <c r="Q732" s="18"/>
      <c r="R732" s="18"/>
      <c r="S732" s="18"/>
      <c r="T732" s="18"/>
    </row>
    <row r="733">
      <c r="B733" s="18"/>
      <c r="C733" s="18"/>
      <c r="D733" s="18"/>
      <c r="O733" s="18"/>
      <c r="P733" s="18"/>
      <c r="Q733" s="18"/>
      <c r="R733" s="18"/>
      <c r="S733" s="18"/>
      <c r="T733" s="18"/>
    </row>
    <row r="734">
      <c r="B734" s="18"/>
      <c r="C734" s="18"/>
      <c r="D734" s="18"/>
      <c r="O734" s="18"/>
      <c r="P734" s="18"/>
      <c r="Q734" s="18"/>
      <c r="R734" s="18"/>
      <c r="S734" s="18"/>
      <c r="T734" s="18"/>
    </row>
    <row r="735">
      <c r="B735" s="18"/>
      <c r="C735" s="18"/>
      <c r="D735" s="18"/>
      <c r="O735" s="18"/>
      <c r="P735" s="18"/>
      <c r="Q735" s="18"/>
      <c r="R735" s="18"/>
      <c r="S735" s="18"/>
      <c r="T735" s="18"/>
    </row>
    <row r="736">
      <c r="B736" s="18"/>
      <c r="C736" s="18"/>
      <c r="D736" s="18"/>
      <c r="O736" s="18"/>
      <c r="P736" s="18"/>
      <c r="Q736" s="18"/>
      <c r="R736" s="18"/>
      <c r="S736" s="18"/>
      <c r="T736" s="18"/>
    </row>
    <row r="737">
      <c r="B737" s="18"/>
      <c r="C737" s="18"/>
      <c r="D737" s="18"/>
      <c r="O737" s="18"/>
      <c r="P737" s="18"/>
      <c r="Q737" s="18"/>
      <c r="R737" s="18"/>
      <c r="S737" s="18"/>
      <c r="T737" s="18"/>
    </row>
    <row r="738">
      <c r="B738" s="18"/>
      <c r="C738" s="18"/>
      <c r="D738" s="18"/>
      <c r="O738" s="18"/>
      <c r="P738" s="18"/>
      <c r="Q738" s="18"/>
      <c r="R738" s="18"/>
      <c r="S738" s="18"/>
      <c r="T738" s="18"/>
    </row>
    <row r="739">
      <c r="B739" s="18"/>
      <c r="C739" s="18"/>
      <c r="D739" s="18"/>
      <c r="O739" s="18"/>
      <c r="P739" s="18"/>
      <c r="Q739" s="18"/>
      <c r="R739" s="18"/>
      <c r="S739" s="18"/>
      <c r="T739" s="18"/>
    </row>
    <row r="740">
      <c r="B740" s="18"/>
      <c r="C740" s="18"/>
      <c r="D740" s="18"/>
      <c r="O740" s="18"/>
      <c r="P740" s="18"/>
      <c r="Q740" s="18"/>
      <c r="R740" s="18"/>
      <c r="S740" s="18"/>
      <c r="T740" s="18"/>
    </row>
    <row r="741">
      <c r="B741" s="18"/>
      <c r="C741" s="18"/>
      <c r="D741" s="18"/>
      <c r="O741" s="18"/>
      <c r="P741" s="18"/>
      <c r="Q741" s="18"/>
      <c r="R741" s="18"/>
      <c r="S741" s="18"/>
      <c r="T741" s="18"/>
    </row>
    <row r="742">
      <c r="B742" s="18"/>
      <c r="C742" s="18"/>
      <c r="D742" s="18"/>
      <c r="O742" s="18"/>
      <c r="P742" s="18"/>
      <c r="Q742" s="18"/>
      <c r="R742" s="18"/>
      <c r="S742" s="18"/>
      <c r="T742" s="18"/>
    </row>
    <row r="743">
      <c r="B743" s="18"/>
      <c r="C743" s="18"/>
      <c r="D743" s="18"/>
      <c r="O743" s="18"/>
      <c r="P743" s="18"/>
      <c r="Q743" s="18"/>
      <c r="R743" s="18"/>
      <c r="S743" s="18"/>
      <c r="T743" s="18"/>
    </row>
    <row r="744">
      <c r="B744" s="18"/>
      <c r="C744" s="18"/>
      <c r="D744" s="18"/>
      <c r="O744" s="18"/>
      <c r="P744" s="18"/>
      <c r="Q744" s="18"/>
      <c r="R744" s="18"/>
      <c r="S744" s="18"/>
      <c r="T744" s="18"/>
    </row>
    <row r="745">
      <c r="B745" s="18"/>
      <c r="C745" s="18"/>
      <c r="D745" s="18"/>
      <c r="O745" s="18"/>
      <c r="P745" s="18"/>
      <c r="Q745" s="18"/>
      <c r="R745" s="18"/>
      <c r="S745" s="18"/>
      <c r="T745" s="18"/>
    </row>
    <row r="746">
      <c r="B746" s="18"/>
      <c r="C746" s="18"/>
      <c r="D746" s="18"/>
      <c r="O746" s="18"/>
      <c r="P746" s="18"/>
      <c r="Q746" s="18"/>
      <c r="R746" s="18"/>
      <c r="S746" s="18"/>
      <c r="T746" s="18"/>
    </row>
    <row r="747">
      <c r="B747" s="18"/>
      <c r="C747" s="18"/>
      <c r="D747" s="18"/>
      <c r="O747" s="18"/>
      <c r="P747" s="18"/>
      <c r="Q747" s="18"/>
      <c r="R747" s="18"/>
      <c r="S747" s="18"/>
      <c r="T747" s="18"/>
    </row>
    <row r="748">
      <c r="B748" s="18"/>
      <c r="C748" s="18"/>
      <c r="D748" s="18"/>
      <c r="O748" s="18"/>
      <c r="P748" s="18"/>
      <c r="Q748" s="18"/>
      <c r="R748" s="18"/>
      <c r="S748" s="18"/>
      <c r="T748" s="18"/>
    </row>
    <row r="749">
      <c r="B749" s="18"/>
      <c r="C749" s="18"/>
      <c r="D749" s="18"/>
      <c r="O749" s="18"/>
      <c r="P749" s="18"/>
      <c r="Q749" s="18"/>
      <c r="R749" s="18"/>
      <c r="S749" s="18"/>
      <c r="T749" s="18"/>
    </row>
    <row r="750">
      <c r="B750" s="18"/>
      <c r="C750" s="18"/>
      <c r="D750" s="18"/>
      <c r="O750" s="18"/>
      <c r="P750" s="18"/>
      <c r="Q750" s="18"/>
      <c r="R750" s="18"/>
      <c r="S750" s="18"/>
      <c r="T750" s="18"/>
    </row>
    <row r="751">
      <c r="B751" s="18"/>
      <c r="C751" s="18"/>
      <c r="D751" s="18"/>
      <c r="O751" s="18"/>
      <c r="P751" s="18"/>
      <c r="Q751" s="18"/>
      <c r="R751" s="18"/>
      <c r="S751" s="18"/>
      <c r="T751" s="18"/>
    </row>
    <row r="752">
      <c r="B752" s="18"/>
      <c r="C752" s="18"/>
      <c r="D752" s="18"/>
      <c r="O752" s="18"/>
      <c r="P752" s="18"/>
      <c r="Q752" s="18"/>
      <c r="R752" s="18"/>
      <c r="S752" s="18"/>
      <c r="T752" s="18"/>
    </row>
    <row r="753">
      <c r="B753" s="18"/>
      <c r="C753" s="18"/>
      <c r="D753" s="18"/>
      <c r="O753" s="18"/>
      <c r="P753" s="18"/>
      <c r="Q753" s="18"/>
      <c r="R753" s="18"/>
      <c r="S753" s="18"/>
      <c r="T753" s="18"/>
    </row>
    <row r="754">
      <c r="B754" s="18"/>
      <c r="C754" s="18"/>
      <c r="D754" s="18"/>
      <c r="O754" s="18"/>
      <c r="P754" s="18"/>
      <c r="Q754" s="18"/>
      <c r="R754" s="18"/>
      <c r="S754" s="18"/>
      <c r="T754" s="18"/>
    </row>
    <row r="755">
      <c r="B755" s="18"/>
      <c r="C755" s="18"/>
      <c r="D755" s="18"/>
      <c r="O755" s="18"/>
      <c r="P755" s="18"/>
      <c r="Q755" s="18"/>
      <c r="R755" s="18"/>
      <c r="S755" s="18"/>
      <c r="T755" s="18"/>
    </row>
    <row r="756">
      <c r="B756" s="18"/>
      <c r="C756" s="18"/>
      <c r="D756" s="18"/>
      <c r="O756" s="18"/>
      <c r="P756" s="18"/>
      <c r="Q756" s="18"/>
      <c r="R756" s="18"/>
      <c r="S756" s="18"/>
      <c r="T756" s="18"/>
    </row>
    <row r="757">
      <c r="B757" s="18"/>
      <c r="C757" s="18"/>
      <c r="D757" s="18"/>
      <c r="O757" s="18"/>
      <c r="P757" s="18"/>
      <c r="Q757" s="18"/>
      <c r="R757" s="18"/>
      <c r="S757" s="18"/>
      <c r="T757" s="18"/>
    </row>
    <row r="758">
      <c r="B758" s="18"/>
      <c r="C758" s="18"/>
      <c r="D758" s="18"/>
      <c r="O758" s="18"/>
      <c r="P758" s="18"/>
      <c r="Q758" s="18"/>
      <c r="R758" s="18"/>
      <c r="S758" s="18"/>
      <c r="T758" s="18"/>
    </row>
    <row r="759">
      <c r="B759" s="18"/>
      <c r="C759" s="18"/>
      <c r="D759" s="18"/>
      <c r="O759" s="18"/>
      <c r="P759" s="18"/>
      <c r="Q759" s="18"/>
      <c r="R759" s="18"/>
      <c r="S759" s="18"/>
      <c r="T759" s="18"/>
    </row>
    <row r="760">
      <c r="B760" s="18"/>
      <c r="C760" s="18"/>
      <c r="D760" s="18"/>
      <c r="O760" s="18"/>
      <c r="P760" s="18"/>
      <c r="Q760" s="18"/>
      <c r="R760" s="18"/>
      <c r="S760" s="18"/>
      <c r="T760" s="18"/>
    </row>
    <row r="761">
      <c r="B761" s="18"/>
      <c r="C761" s="18"/>
      <c r="D761" s="18"/>
      <c r="O761" s="18"/>
      <c r="P761" s="18"/>
      <c r="Q761" s="18"/>
      <c r="R761" s="18"/>
      <c r="S761" s="18"/>
      <c r="T761" s="18"/>
    </row>
    <row r="762">
      <c r="B762" s="18"/>
      <c r="C762" s="18"/>
      <c r="D762" s="18"/>
      <c r="O762" s="18"/>
      <c r="P762" s="18"/>
      <c r="Q762" s="18"/>
      <c r="R762" s="18"/>
      <c r="S762" s="18"/>
      <c r="T762" s="18"/>
    </row>
    <row r="763">
      <c r="B763" s="18"/>
      <c r="C763" s="18"/>
      <c r="D763" s="18"/>
      <c r="O763" s="18"/>
      <c r="P763" s="18"/>
      <c r="Q763" s="18"/>
      <c r="R763" s="18"/>
      <c r="S763" s="18"/>
      <c r="T763" s="18"/>
    </row>
    <row r="764">
      <c r="B764" s="18"/>
      <c r="C764" s="18"/>
      <c r="D764" s="18"/>
      <c r="O764" s="18"/>
      <c r="P764" s="18"/>
      <c r="Q764" s="18"/>
      <c r="R764" s="18"/>
      <c r="S764" s="18"/>
      <c r="T764" s="18"/>
    </row>
    <row r="765">
      <c r="B765" s="18"/>
      <c r="C765" s="18"/>
      <c r="D765" s="18"/>
      <c r="O765" s="18"/>
      <c r="P765" s="18"/>
      <c r="Q765" s="18"/>
      <c r="R765" s="18"/>
      <c r="S765" s="18"/>
      <c r="T765" s="18"/>
    </row>
    <row r="766">
      <c r="B766" s="18"/>
      <c r="C766" s="18"/>
      <c r="D766" s="18"/>
      <c r="O766" s="18"/>
      <c r="P766" s="18"/>
      <c r="Q766" s="18"/>
      <c r="R766" s="18"/>
      <c r="S766" s="18"/>
      <c r="T766" s="18"/>
    </row>
    <row r="767">
      <c r="B767" s="18"/>
      <c r="C767" s="18"/>
      <c r="D767" s="18"/>
      <c r="O767" s="18"/>
      <c r="P767" s="18"/>
      <c r="Q767" s="18"/>
      <c r="R767" s="18"/>
      <c r="S767" s="18"/>
      <c r="T767" s="18"/>
    </row>
    <row r="768">
      <c r="B768" s="18"/>
      <c r="C768" s="18"/>
      <c r="D768" s="18"/>
      <c r="O768" s="18"/>
      <c r="P768" s="18"/>
      <c r="Q768" s="18"/>
      <c r="R768" s="18"/>
      <c r="S768" s="18"/>
      <c r="T768" s="18"/>
    </row>
    <row r="769">
      <c r="B769" s="18"/>
      <c r="C769" s="18"/>
      <c r="D769" s="18"/>
      <c r="O769" s="18"/>
      <c r="P769" s="18"/>
      <c r="Q769" s="18"/>
      <c r="R769" s="18"/>
      <c r="S769" s="18"/>
      <c r="T769" s="18"/>
    </row>
    <row r="770">
      <c r="B770" s="18"/>
      <c r="C770" s="18"/>
      <c r="D770" s="18"/>
      <c r="O770" s="18"/>
      <c r="P770" s="18"/>
      <c r="Q770" s="18"/>
      <c r="R770" s="18"/>
      <c r="S770" s="18"/>
      <c r="T770" s="18"/>
    </row>
    <row r="771">
      <c r="B771" s="18"/>
      <c r="C771" s="18"/>
      <c r="D771" s="18"/>
      <c r="O771" s="18"/>
      <c r="P771" s="18"/>
      <c r="Q771" s="18"/>
      <c r="R771" s="18"/>
      <c r="S771" s="18"/>
      <c r="T771" s="18"/>
    </row>
    <row r="772">
      <c r="B772" s="18"/>
      <c r="C772" s="18"/>
      <c r="D772" s="18"/>
      <c r="O772" s="18"/>
      <c r="P772" s="18"/>
      <c r="Q772" s="18"/>
      <c r="R772" s="18"/>
      <c r="S772" s="18"/>
      <c r="T772" s="18"/>
    </row>
    <row r="773">
      <c r="B773" s="18"/>
      <c r="C773" s="18"/>
      <c r="D773" s="18"/>
      <c r="O773" s="18"/>
      <c r="P773" s="18"/>
      <c r="Q773" s="18"/>
      <c r="R773" s="18"/>
      <c r="S773" s="18"/>
      <c r="T773" s="18"/>
    </row>
    <row r="774">
      <c r="B774" s="18"/>
      <c r="C774" s="18"/>
      <c r="D774" s="18"/>
      <c r="O774" s="18"/>
      <c r="P774" s="18"/>
      <c r="Q774" s="18"/>
      <c r="R774" s="18"/>
      <c r="S774" s="18"/>
      <c r="T774" s="18"/>
    </row>
    <row r="775">
      <c r="B775" s="18"/>
      <c r="C775" s="18"/>
      <c r="D775" s="18"/>
      <c r="O775" s="18"/>
      <c r="P775" s="18"/>
      <c r="Q775" s="18"/>
      <c r="R775" s="18"/>
      <c r="S775" s="18"/>
      <c r="T775" s="18"/>
    </row>
    <row r="776">
      <c r="B776" s="18"/>
      <c r="C776" s="18"/>
      <c r="D776" s="18"/>
      <c r="O776" s="18"/>
      <c r="P776" s="18"/>
      <c r="Q776" s="18"/>
      <c r="R776" s="18"/>
      <c r="S776" s="18"/>
      <c r="T776" s="18"/>
    </row>
    <row r="777">
      <c r="B777" s="18"/>
      <c r="C777" s="18"/>
      <c r="D777" s="18"/>
      <c r="O777" s="18"/>
      <c r="P777" s="18"/>
      <c r="Q777" s="18"/>
      <c r="R777" s="18"/>
      <c r="S777" s="18"/>
      <c r="T777" s="18"/>
    </row>
    <row r="778">
      <c r="B778" s="18"/>
      <c r="C778" s="18"/>
      <c r="D778" s="18"/>
      <c r="O778" s="18"/>
      <c r="P778" s="18"/>
      <c r="Q778" s="18"/>
      <c r="R778" s="18"/>
      <c r="S778" s="18"/>
      <c r="T778" s="18"/>
    </row>
    <row r="779">
      <c r="B779" s="18"/>
      <c r="C779" s="18"/>
      <c r="D779" s="18"/>
      <c r="O779" s="18"/>
      <c r="P779" s="18"/>
      <c r="Q779" s="18"/>
      <c r="R779" s="18"/>
      <c r="S779" s="18"/>
      <c r="T779" s="18"/>
    </row>
    <row r="780">
      <c r="B780" s="18"/>
      <c r="C780" s="18"/>
      <c r="D780" s="18"/>
      <c r="O780" s="18"/>
      <c r="P780" s="18"/>
      <c r="Q780" s="18"/>
      <c r="R780" s="18"/>
      <c r="S780" s="18"/>
      <c r="T780" s="18"/>
    </row>
    <row r="781">
      <c r="B781" s="18"/>
      <c r="C781" s="18"/>
      <c r="D781" s="18"/>
      <c r="O781" s="18"/>
      <c r="P781" s="18"/>
      <c r="Q781" s="18"/>
      <c r="R781" s="18"/>
      <c r="S781" s="18"/>
      <c r="T781" s="18"/>
    </row>
    <row r="782">
      <c r="B782" s="18"/>
      <c r="C782" s="18"/>
      <c r="D782" s="18"/>
      <c r="O782" s="18"/>
      <c r="P782" s="18"/>
      <c r="Q782" s="18"/>
      <c r="R782" s="18"/>
      <c r="S782" s="18"/>
      <c r="T782" s="18"/>
    </row>
    <row r="783">
      <c r="B783" s="18"/>
      <c r="C783" s="18"/>
      <c r="D783" s="18"/>
      <c r="O783" s="18"/>
      <c r="P783" s="18"/>
      <c r="Q783" s="18"/>
      <c r="R783" s="18"/>
      <c r="S783" s="18"/>
      <c r="T783" s="18"/>
    </row>
    <row r="784">
      <c r="B784" s="18"/>
      <c r="C784" s="18"/>
      <c r="D784" s="18"/>
      <c r="O784" s="18"/>
      <c r="P784" s="18"/>
      <c r="Q784" s="18"/>
      <c r="R784" s="18"/>
      <c r="S784" s="18"/>
      <c r="T784" s="18"/>
    </row>
    <row r="785">
      <c r="B785" s="18"/>
      <c r="C785" s="18"/>
      <c r="D785" s="18"/>
      <c r="O785" s="18"/>
      <c r="P785" s="18"/>
      <c r="Q785" s="18"/>
      <c r="R785" s="18"/>
      <c r="S785" s="18"/>
      <c r="T785" s="18"/>
    </row>
    <row r="786">
      <c r="B786" s="18"/>
      <c r="C786" s="18"/>
      <c r="D786" s="18"/>
      <c r="O786" s="18"/>
      <c r="P786" s="18"/>
      <c r="Q786" s="18"/>
      <c r="R786" s="18"/>
      <c r="S786" s="18"/>
      <c r="T786" s="18"/>
    </row>
    <row r="787">
      <c r="B787" s="18"/>
      <c r="C787" s="18"/>
      <c r="D787" s="18"/>
      <c r="O787" s="18"/>
      <c r="P787" s="18"/>
      <c r="Q787" s="18"/>
      <c r="R787" s="18"/>
      <c r="S787" s="18"/>
      <c r="T787" s="18"/>
    </row>
    <row r="788">
      <c r="B788" s="18"/>
      <c r="C788" s="18"/>
      <c r="D788" s="18"/>
      <c r="O788" s="18"/>
      <c r="P788" s="18"/>
      <c r="Q788" s="18"/>
      <c r="R788" s="18"/>
      <c r="S788" s="18"/>
      <c r="T788" s="18"/>
    </row>
    <row r="789">
      <c r="B789" s="18"/>
      <c r="C789" s="18"/>
      <c r="D789" s="18"/>
      <c r="O789" s="18"/>
      <c r="P789" s="18"/>
      <c r="Q789" s="18"/>
      <c r="R789" s="18"/>
      <c r="S789" s="18"/>
      <c r="T789" s="18"/>
    </row>
    <row r="790">
      <c r="B790" s="18"/>
      <c r="C790" s="18"/>
      <c r="D790" s="18"/>
      <c r="O790" s="18"/>
      <c r="P790" s="18"/>
      <c r="Q790" s="18"/>
      <c r="R790" s="18"/>
      <c r="S790" s="18"/>
      <c r="T790" s="18"/>
    </row>
    <row r="791">
      <c r="B791" s="18"/>
      <c r="C791" s="18"/>
      <c r="D791" s="18"/>
      <c r="O791" s="18"/>
      <c r="P791" s="18"/>
      <c r="Q791" s="18"/>
      <c r="R791" s="18"/>
      <c r="S791" s="18"/>
      <c r="T791" s="18"/>
    </row>
    <row r="792">
      <c r="B792" s="18"/>
      <c r="C792" s="18"/>
      <c r="D792" s="18"/>
      <c r="O792" s="18"/>
      <c r="P792" s="18"/>
      <c r="Q792" s="18"/>
      <c r="R792" s="18"/>
      <c r="S792" s="18"/>
      <c r="T792" s="18"/>
    </row>
    <row r="793">
      <c r="B793" s="18"/>
      <c r="C793" s="18"/>
      <c r="D793" s="18"/>
      <c r="O793" s="18"/>
      <c r="P793" s="18"/>
      <c r="Q793" s="18"/>
      <c r="R793" s="18"/>
      <c r="S793" s="18"/>
      <c r="T793" s="18"/>
    </row>
    <row r="794">
      <c r="B794" s="18"/>
      <c r="C794" s="18"/>
      <c r="D794" s="18"/>
      <c r="O794" s="18"/>
      <c r="P794" s="18"/>
      <c r="Q794" s="18"/>
      <c r="R794" s="18"/>
      <c r="S794" s="18"/>
      <c r="T794" s="18"/>
    </row>
    <row r="795">
      <c r="B795" s="18"/>
      <c r="C795" s="18"/>
      <c r="D795" s="18"/>
      <c r="O795" s="18"/>
      <c r="P795" s="18"/>
      <c r="Q795" s="18"/>
      <c r="R795" s="18"/>
      <c r="S795" s="18"/>
      <c r="T795" s="18"/>
    </row>
    <row r="796">
      <c r="B796" s="18"/>
      <c r="C796" s="18"/>
      <c r="D796" s="18"/>
      <c r="O796" s="18"/>
      <c r="P796" s="18"/>
      <c r="Q796" s="18"/>
      <c r="R796" s="18"/>
      <c r="S796" s="18"/>
      <c r="T796" s="18"/>
    </row>
    <row r="797">
      <c r="B797" s="18"/>
      <c r="C797" s="18"/>
      <c r="D797" s="18"/>
      <c r="O797" s="18"/>
      <c r="P797" s="18"/>
      <c r="Q797" s="18"/>
      <c r="R797" s="18"/>
      <c r="S797" s="18"/>
      <c r="T797" s="18"/>
    </row>
    <row r="798">
      <c r="B798" s="18"/>
      <c r="C798" s="18"/>
      <c r="D798" s="18"/>
      <c r="O798" s="18"/>
      <c r="P798" s="18"/>
      <c r="Q798" s="18"/>
      <c r="R798" s="18"/>
      <c r="S798" s="18"/>
      <c r="T798" s="18"/>
    </row>
    <row r="799">
      <c r="B799" s="18"/>
      <c r="C799" s="18"/>
      <c r="D799" s="18"/>
      <c r="O799" s="18"/>
      <c r="P799" s="18"/>
      <c r="Q799" s="18"/>
      <c r="R799" s="18"/>
      <c r="S799" s="18"/>
      <c r="T799" s="18"/>
    </row>
    <row r="800">
      <c r="B800" s="18"/>
      <c r="C800" s="18"/>
      <c r="D800" s="18"/>
      <c r="O800" s="18"/>
      <c r="P800" s="18"/>
      <c r="Q800" s="18"/>
      <c r="R800" s="18"/>
      <c r="S800" s="18"/>
      <c r="T800" s="18"/>
    </row>
    <row r="801">
      <c r="B801" s="18"/>
      <c r="C801" s="18"/>
      <c r="D801" s="18"/>
      <c r="O801" s="18"/>
      <c r="P801" s="18"/>
      <c r="Q801" s="18"/>
      <c r="R801" s="18"/>
      <c r="S801" s="18"/>
      <c r="T801" s="18"/>
    </row>
    <row r="802">
      <c r="B802" s="18"/>
      <c r="C802" s="18"/>
      <c r="D802" s="18"/>
      <c r="O802" s="18"/>
      <c r="P802" s="18"/>
      <c r="Q802" s="18"/>
      <c r="R802" s="18"/>
      <c r="S802" s="18"/>
      <c r="T802" s="18"/>
    </row>
    <row r="803">
      <c r="B803" s="18"/>
      <c r="C803" s="18"/>
      <c r="D803" s="18"/>
      <c r="O803" s="18"/>
      <c r="P803" s="18"/>
      <c r="Q803" s="18"/>
      <c r="R803" s="18"/>
      <c r="S803" s="18"/>
      <c r="T803" s="18"/>
    </row>
    <row r="804">
      <c r="B804" s="18"/>
      <c r="C804" s="18"/>
      <c r="D804" s="18"/>
      <c r="O804" s="18"/>
      <c r="P804" s="18"/>
      <c r="Q804" s="18"/>
      <c r="R804" s="18"/>
      <c r="S804" s="18"/>
      <c r="T804" s="18"/>
    </row>
    <row r="805">
      <c r="B805" s="18"/>
      <c r="C805" s="18"/>
      <c r="D805" s="18"/>
      <c r="O805" s="18"/>
      <c r="P805" s="18"/>
      <c r="Q805" s="18"/>
      <c r="R805" s="18"/>
      <c r="S805" s="18"/>
      <c r="T805" s="18"/>
    </row>
    <row r="806">
      <c r="B806" s="18"/>
      <c r="C806" s="18"/>
      <c r="D806" s="18"/>
      <c r="O806" s="18"/>
      <c r="P806" s="18"/>
      <c r="Q806" s="18"/>
      <c r="R806" s="18"/>
      <c r="S806" s="18"/>
      <c r="T806" s="18"/>
    </row>
    <row r="807">
      <c r="B807" s="18"/>
      <c r="C807" s="18"/>
      <c r="D807" s="18"/>
      <c r="O807" s="18"/>
      <c r="P807" s="18"/>
      <c r="Q807" s="18"/>
      <c r="R807" s="18"/>
      <c r="S807" s="18"/>
      <c r="T807" s="18"/>
    </row>
    <row r="808">
      <c r="B808" s="18"/>
      <c r="C808" s="18"/>
      <c r="D808" s="18"/>
      <c r="O808" s="18"/>
      <c r="P808" s="18"/>
      <c r="Q808" s="18"/>
      <c r="R808" s="18"/>
      <c r="S808" s="18"/>
      <c r="T808" s="18"/>
    </row>
    <row r="809">
      <c r="B809" s="18"/>
      <c r="C809" s="18"/>
      <c r="D809" s="18"/>
      <c r="O809" s="18"/>
      <c r="P809" s="18"/>
      <c r="Q809" s="18"/>
      <c r="R809" s="18"/>
      <c r="S809" s="18"/>
      <c r="T809" s="18"/>
    </row>
    <row r="810">
      <c r="B810" s="18"/>
      <c r="C810" s="18"/>
      <c r="D810" s="18"/>
      <c r="O810" s="18"/>
      <c r="P810" s="18"/>
      <c r="Q810" s="18"/>
      <c r="R810" s="18"/>
      <c r="S810" s="18"/>
      <c r="T810" s="18"/>
    </row>
    <row r="811">
      <c r="B811" s="18"/>
      <c r="C811" s="18"/>
      <c r="D811" s="18"/>
      <c r="O811" s="18"/>
      <c r="P811" s="18"/>
      <c r="Q811" s="18"/>
      <c r="R811" s="18"/>
      <c r="S811" s="18"/>
      <c r="T811" s="18"/>
    </row>
    <row r="812">
      <c r="B812" s="18"/>
      <c r="C812" s="18"/>
      <c r="D812" s="18"/>
      <c r="O812" s="18"/>
      <c r="P812" s="18"/>
      <c r="Q812" s="18"/>
      <c r="R812" s="18"/>
      <c r="S812" s="18"/>
      <c r="T812" s="18"/>
    </row>
    <row r="813">
      <c r="B813" s="18"/>
      <c r="C813" s="18"/>
      <c r="D813" s="18"/>
      <c r="O813" s="18"/>
      <c r="P813" s="18"/>
      <c r="Q813" s="18"/>
      <c r="R813" s="18"/>
      <c r="S813" s="18"/>
      <c r="T813" s="18"/>
    </row>
    <row r="814">
      <c r="B814" s="18"/>
      <c r="C814" s="18"/>
      <c r="D814" s="18"/>
      <c r="O814" s="18"/>
      <c r="P814" s="18"/>
      <c r="Q814" s="18"/>
      <c r="R814" s="18"/>
      <c r="S814" s="18"/>
      <c r="T814" s="18"/>
    </row>
    <row r="815">
      <c r="B815" s="18"/>
      <c r="C815" s="18"/>
      <c r="D815" s="18"/>
      <c r="O815" s="18"/>
      <c r="P815" s="18"/>
      <c r="Q815" s="18"/>
      <c r="R815" s="18"/>
      <c r="S815" s="18"/>
      <c r="T815" s="18"/>
    </row>
    <row r="816">
      <c r="B816" s="18"/>
      <c r="C816" s="18"/>
      <c r="D816" s="18"/>
      <c r="O816" s="18"/>
      <c r="P816" s="18"/>
      <c r="Q816" s="18"/>
      <c r="R816" s="18"/>
      <c r="S816" s="18"/>
      <c r="T816" s="18"/>
    </row>
    <row r="817">
      <c r="B817" s="18"/>
      <c r="C817" s="18"/>
      <c r="D817" s="18"/>
      <c r="O817" s="18"/>
      <c r="P817" s="18"/>
      <c r="Q817" s="18"/>
      <c r="R817" s="18"/>
      <c r="S817" s="18"/>
      <c r="T817" s="18"/>
    </row>
    <row r="818">
      <c r="B818" s="18"/>
      <c r="C818" s="18"/>
      <c r="D818" s="18"/>
      <c r="O818" s="18"/>
      <c r="P818" s="18"/>
      <c r="Q818" s="18"/>
      <c r="R818" s="18"/>
      <c r="S818" s="18"/>
      <c r="T818" s="18"/>
    </row>
    <row r="819">
      <c r="B819" s="18"/>
      <c r="C819" s="18"/>
      <c r="D819" s="18"/>
      <c r="O819" s="18"/>
      <c r="P819" s="18"/>
      <c r="Q819" s="18"/>
      <c r="R819" s="18"/>
      <c r="S819" s="18"/>
      <c r="T819" s="18"/>
    </row>
    <row r="820">
      <c r="B820" s="18"/>
      <c r="C820" s="18"/>
      <c r="D820" s="18"/>
      <c r="O820" s="18"/>
      <c r="P820" s="18"/>
      <c r="Q820" s="18"/>
      <c r="R820" s="18"/>
      <c r="S820" s="18"/>
      <c r="T820" s="18"/>
    </row>
    <row r="821">
      <c r="B821" s="18"/>
      <c r="C821" s="18"/>
      <c r="D821" s="18"/>
      <c r="O821" s="18"/>
      <c r="P821" s="18"/>
      <c r="Q821" s="18"/>
      <c r="R821" s="18"/>
      <c r="S821" s="18"/>
      <c r="T821" s="18"/>
    </row>
    <row r="822">
      <c r="B822" s="18"/>
      <c r="C822" s="18"/>
      <c r="D822" s="18"/>
      <c r="O822" s="18"/>
      <c r="P822" s="18"/>
      <c r="Q822" s="18"/>
      <c r="R822" s="18"/>
      <c r="S822" s="18"/>
      <c r="T822" s="18"/>
    </row>
    <row r="823">
      <c r="B823" s="18"/>
      <c r="C823" s="18"/>
      <c r="D823" s="18"/>
      <c r="O823" s="18"/>
      <c r="P823" s="18"/>
      <c r="Q823" s="18"/>
      <c r="R823" s="18"/>
      <c r="S823" s="18"/>
      <c r="T823" s="18"/>
    </row>
    <row r="824">
      <c r="B824" s="18"/>
      <c r="C824" s="18"/>
      <c r="D824" s="18"/>
      <c r="O824" s="18"/>
      <c r="P824" s="18"/>
      <c r="Q824" s="18"/>
      <c r="R824" s="18"/>
      <c r="S824" s="18"/>
      <c r="T824" s="18"/>
    </row>
    <row r="825">
      <c r="B825" s="18"/>
      <c r="C825" s="18"/>
      <c r="D825" s="18"/>
      <c r="O825" s="18"/>
      <c r="P825" s="18"/>
      <c r="Q825" s="18"/>
      <c r="R825" s="18"/>
      <c r="S825" s="18"/>
      <c r="T825" s="18"/>
    </row>
    <row r="826">
      <c r="B826" s="18"/>
      <c r="C826" s="18"/>
      <c r="D826" s="18"/>
      <c r="O826" s="18"/>
      <c r="P826" s="18"/>
      <c r="Q826" s="18"/>
      <c r="R826" s="18"/>
      <c r="S826" s="18"/>
      <c r="T826" s="18"/>
    </row>
    <row r="827">
      <c r="B827" s="18"/>
      <c r="C827" s="18"/>
      <c r="D827" s="18"/>
      <c r="O827" s="18"/>
      <c r="P827" s="18"/>
      <c r="Q827" s="18"/>
      <c r="R827" s="18"/>
      <c r="S827" s="18"/>
      <c r="T827" s="18"/>
    </row>
    <row r="828">
      <c r="B828" s="18"/>
      <c r="C828" s="18"/>
      <c r="D828" s="18"/>
      <c r="O828" s="18"/>
      <c r="P828" s="18"/>
      <c r="Q828" s="18"/>
      <c r="R828" s="18"/>
      <c r="S828" s="18"/>
      <c r="T828" s="18"/>
    </row>
    <row r="829">
      <c r="B829" s="18"/>
      <c r="C829" s="18"/>
      <c r="D829" s="18"/>
      <c r="O829" s="18"/>
      <c r="P829" s="18"/>
      <c r="Q829" s="18"/>
      <c r="R829" s="18"/>
      <c r="S829" s="18"/>
      <c r="T829" s="18"/>
    </row>
    <row r="830">
      <c r="B830" s="18"/>
      <c r="C830" s="18"/>
      <c r="D830" s="18"/>
      <c r="O830" s="18"/>
      <c r="P830" s="18"/>
      <c r="Q830" s="18"/>
      <c r="R830" s="18"/>
      <c r="S830" s="18"/>
      <c r="T830" s="18"/>
    </row>
    <row r="831">
      <c r="B831" s="18"/>
      <c r="C831" s="18"/>
      <c r="D831" s="18"/>
      <c r="O831" s="18"/>
      <c r="P831" s="18"/>
      <c r="Q831" s="18"/>
      <c r="R831" s="18"/>
      <c r="S831" s="18"/>
      <c r="T831" s="18"/>
    </row>
    <row r="832">
      <c r="B832" s="18"/>
      <c r="C832" s="18"/>
      <c r="D832" s="18"/>
      <c r="O832" s="18"/>
      <c r="P832" s="18"/>
      <c r="Q832" s="18"/>
      <c r="R832" s="18"/>
      <c r="S832" s="18"/>
      <c r="T832" s="18"/>
    </row>
    <row r="833">
      <c r="B833" s="18"/>
      <c r="C833" s="18"/>
      <c r="D833" s="18"/>
      <c r="O833" s="18"/>
      <c r="P833" s="18"/>
      <c r="Q833" s="18"/>
      <c r="R833" s="18"/>
      <c r="S833" s="18"/>
      <c r="T833" s="18"/>
    </row>
    <row r="834">
      <c r="B834" s="18"/>
      <c r="C834" s="18"/>
      <c r="D834" s="18"/>
      <c r="O834" s="18"/>
      <c r="P834" s="18"/>
      <c r="Q834" s="18"/>
      <c r="R834" s="18"/>
      <c r="S834" s="18"/>
      <c r="T834" s="18"/>
    </row>
    <row r="835">
      <c r="B835" s="18"/>
      <c r="C835" s="18"/>
      <c r="D835" s="18"/>
      <c r="O835" s="18"/>
      <c r="P835" s="18"/>
      <c r="Q835" s="18"/>
      <c r="R835" s="18"/>
      <c r="S835" s="18"/>
      <c r="T835" s="18"/>
    </row>
    <row r="836">
      <c r="B836" s="18"/>
      <c r="C836" s="18"/>
      <c r="D836" s="18"/>
      <c r="O836" s="18"/>
      <c r="P836" s="18"/>
      <c r="Q836" s="18"/>
      <c r="R836" s="18"/>
      <c r="S836" s="18"/>
      <c r="T836" s="18"/>
    </row>
    <row r="837">
      <c r="B837" s="18"/>
      <c r="C837" s="18"/>
      <c r="D837" s="18"/>
      <c r="O837" s="18"/>
      <c r="P837" s="18"/>
      <c r="Q837" s="18"/>
      <c r="R837" s="18"/>
      <c r="S837" s="18"/>
      <c r="T837" s="18"/>
    </row>
    <row r="838">
      <c r="B838" s="18"/>
      <c r="C838" s="18"/>
      <c r="D838" s="18"/>
      <c r="O838" s="18"/>
      <c r="P838" s="18"/>
      <c r="Q838" s="18"/>
      <c r="R838" s="18"/>
      <c r="S838" s="18"/>
      <c r="T838" s="18"/>
    </row>
    <row r="839">
      <c r="B839" s="18"/>
      <c r="C839" s="18"/>
      <c r="D839" s="18"/>
      <c r="O839" s="18"/>
      <c r="P839" s="18"/>
      <c r="Q839" s="18"/>
      <c r="R839" s="18"/>
      <c r="S839" s="18"/>
      <c r="T839" s="18"/>
    </row>
    <row r="840">
      <c r="B840" s="18"/>
      <c r="C840" s="18"/>
      <c r="D840" s="18"/>
      <c r="O840" s="18"/>
      <c r="P840" s="18"/>
      <c r="Q840" s="18"/>
      <c r="R840" s="18"/>
      <c r="S840" s="18"/>
      <c r="T840" s="18"/>
    </row>
    <row r="841">
      <c r="B841" s="18"/>
      <c r="C841" s="18"/>
      <c r="D841" s="18"/>
      <c r="O841" s="18"/>
      <c r="P841" s="18"/>
      <c r="Q841" s="18"/>
      <c r="R841" s="18"/>
      <c r="S841" s="18"/>
      <c r="T841" s="18"/>
    </row>
    <row r="842">
      <c r="B842" s="18"/>
      <c r="C842" s="18"/>
      <c r="D842" s="18"/>
      <c r="O842" s="18"/>
      <c r="P842" s="18"/>
      <c r="Q842" s="18"/>
      <c r="R842" s="18"/>
      <c r="S842" s="18"/>
      <c r="T842" s="18"/>
    </row>
    <row r="843">
      <c r="B843" s="18"/>
      <c r="C843" s="18"/>
      <c r="D843" s="18"/>
      <c r="O843" s="18"/>
      <c r="P843" s="18"/>
      <c r="Q843" s="18"/>
      <c r="R843" s="18"/>
      <c r="S843" s="18"/>
      <c r="T843" s="18"/>
    </row>
    <row r="844">
      <c r="B844" s="18"/>
      <c r="C844" s="18"/>
      <c r="D844" s="18"/>
      <c r="O844" s="18"/>
      <c r="P844" s="18"/>
      <c r="Q844" s="18"/>
      <c r="R844" s="18"/>
      <c r="S844" s="18"/>
      <c r="T844" s="18"/>
    </row>
    <row r="845">
      <c r="B845" s="18"/>
      <c r="C845" s="18"/>
      <c r="D845" s="18"/>
      <c r="O845" s="18"/>
      <c r="P845" s="18"/>
      <c r="Q845" s="18"/>
      <c r="R845" s="18"/>
      <c r="S845" s="18"/>
      <c r="T845" s="18"/>
    </row>
    <row r="846">
      <c r="B846" s="18"/>
      <c r="C846" s="18"/>
      <c r="D846" s="18"/>
      <c r="O846" s="18"/>
      <c r="P846" s="18"/>
      <c r="Q846" s="18"/>
      <c r="R846" s="18"/>
      <c r="S846" s="18"/>
      <c r="T846" s="18"/>
    </row>
    <row r="847">
      <c r="B847" s="18"/>
      <c r="C847" s="18"/>
      <c r="D847" s="18"/>
      <c r="O847" s="18"/>
      <c r="P847" s="18"/>
      <c r="Q847" s="18"/>
      <c r="R847" s="18"/>
      <c r="S847" s="18"/>
      <c r="T847" s="18"/>
    </row>
    <row r="848">
      <c r="B848" s="18"/>
      <c r="C848" s="18"/>
      <c r="D848" s="18"/>
      <c r="O848" s="18"/>
      <c r="P848" s="18"/>
      <c r="Q848" s="18"/>
      <c r="R848" s="18"/>
      <c r="S848" s="18"/>
      <c r="T848" s="18"/>
    </row>
    <row r="849">
      <c r="B849" s="18"/>
      <c r="C849" s="18"/>
      <c r="D849" s="18"/>
      <c r="O849" s="18"/>
      <c r="P849" s="18"/>
      <c r="Q849" s="18"/>
      <c r="R849" s="18"/>
      <c r="S849" s="18"/>
      <c r="T849" s="18"/>
    </row>
    <row r="850">
      <c r="B850" s="18"/>
      <c r="C850" s="18"/>
      <c r="D850" s="18"/>
      <c r="O850" s="18"/>
      <c r="P850" s="18"/>
      <c r="Q850" s="18"/>
      <c r="R850" s="18"/>
      <c r="S850" s="18"/>
      <c r="T850" s="18"/>
    </row>
    <row r="851">
      <c r="B851" s="18"/>
      <c r="C851" s="18"/>
      <c r="D851" s="18"/>
      <c r="O851" s="18"/>
      <c r="P851" s="18"/>
      <c r="Q851" s="18"/>
      <c r="R851" s="18"/>
      <c r="S851" s="18"/>
      <c r="T851" s="18"/>
    </row>
    <row r="852">
      <c r="B852" s="18"/>
      <c r="C852" s="18"/>
      <c r="D852" s="18"/>
      <c r="O852" s="18"/>
      <c r="P852" s="18"/>
      <c r="Q852" s="18"/>
      <c r="R852" s="18"/>
      <c r="S852" s="18"/>
      <c r="T852" s="18"/>
    </row>
    <row r="853">
      <c r="B853" s="18"/>
      <c r="C853" s="18"/>
      <c r="D853" s="18"/>
      <c r="O853" s="18"/>
      <c r="P853" s="18"/>
      <c r="Q853" s="18"/>
      <c r="R853" s="18"/>
      <c r="S853" s="18"/>
      <c r="T853" s="18"/>
    </row>
    <row r="854">
      <c r="B854" s="18"/>
      <c r="C854" s="18"/>
      <c r="D854" s="18"/>
      <c r="O854" s="18"/>
      <c r="P854" s="18"/>
      <c r="Q854" s="18"/>
      <c r="R854" s="18"/>
      <c r="S854" s="18"/>
      <c r="T854" s="18"/>
    </row>
    <row r="855">
      <c r="B855" s="18"/>
      <c r="C855" s="18"/>
      <c r="D855" s="18"/>
      <c r="O855" s="18"/>
      <c r="P855" s="18"/>
      <c r="Q855" s="18"/>
      <c r="R855" s="18"/>
      <c r="S855" s="18"/>
      <c r="T855" s="18"/>
    </row>
    <row r="856">
      <c r="B856" s="18"/>
      <c r="C856" s="18"/>
      <c r="D856" s="18"/>
      <c r="O856" s="18"/>
      <c r="P856" s="18"/>
      <c r="Q856" s="18"/>
      <c r="R856" s="18"/>
      <c r="S856" s="18"/>
      <c r="T856" s="18"/>
    </row>
    <row r="857">
      <c r="B857" s="18"/>
      <c r="C857" s="18"/>
      <c r="D857" s="18"/>
      <c r="O857" s="18"/>
      <c r="P857" s="18"/>
      <c r="Q857" s="18"/>
      <c r="R857" s="18"/>
      <c r="S857" s="18"/>
      <c r="T857" s="18"/>
    </row>
    <row r="858">
      <c r="B858" s="18"/>
      <c r="C858" s="18"/>
      <c r="D858" s="18"/>
      <c r="O858" s="18"/>
      <c r="P858" s="18"/>
      <c r="Q858" s="18"/>
      <c r="R858" s="18"/>
      <c r="S858" s="18"/>
      <c r="T858" s="18"/>
    </row>
    <row r="859">
      <c r="B859" s="18"/>
      <c r="C859" s="18"/>
      <c r="D859" s="18"/>
      <c r="O859" s="18"/>
      <c r="P859" s="18"/>
      <c r="Q859" s="18"/>
      <c r="R859" s="18"/>
      <c r="S859" s="18"/>
      <c r="T859" s="18"/>
    </row>
    <row r="860">
      <c r="B860" s="18"/>
      <c r="C860" s="18"/>
      <c r="D860" s="18"/>
      <c r="O860" s="18"/>
      <c r="P860" s="18"/>
      <c r="Q860" s="18"/>
      <c r="R860" s="18"/>
      <c r="S860" s="18"/>
      <c r="T860" s="18"/>
    </row>
    <row r="861">
      <c r="B861" s="18"/>
      <c r="C861" s="18"/>
      <c r="D861" s="18"/>
      <c r="O861" s="18"/>
      <c r="P861" s="18"/>
      <c r="Q861" s="18"/>
      <c r="R861" s="18"/>
      <c r="S861" s="18"/>
      <c r="T861" s="18"/>
    </row>
    <row r="862">
      <c r="B862" s="18"/>
      <c r="C862" s="18"/>
      <c r="D862" s="18"/>
      <c r="O862" s="18"/>
      <c r="P862" s="18"/>
      <c r="Q862" s="18"/>
      <c r="R862" s="18"/>
      <c r="S862" s="18"/>
      <c r="T862" s="18"/>
    </row>
    <row r="863">
      <c r="B863" s="18"/>
      <c r="C863" s="18"/>
      <c r="D863" s="18"/>
      <c r="O863" s="18"/>
      <c r="P863" s="18"/>
      <c r="Q863" s="18"/>
      <c r="R863" s="18"/>
      <c r="S863" s="18"/>
      <c r="T863" s="18"/>
    </row>
    <row r="864">
      <c r="B864" s="18"/>
      <c r="C864" s="18"/>
      <c r="D864" s="18"/>
      <c r="O864" s="18"/>
      <c r="P864" s="18"/>
      <c r="Q864" s="18"/>
      <c r="R864" s="18"/>
      <c r="S864" s="18"/>
      <c r="T864" s="18"/>
    </row>
    <row r="865">
      <c r="B865" s="18"/>
      <c r="C865" s="18"/>
      <c r="D865" s="18"/>
      <c r="O865" s="18"/>
      <c r="P865" s="18"/>
      <c r="Q865" s="18"/>
      <c r="R865" s="18"/>
      <c r="S865" s="18"/>
      <c r="T865" s="18"/>
    </row>
    <row r="866">
      <c r="B866" s="18"/>
      <c r="C866" s="18"/>
      <c r="D866" s="18"/>
      <c r="O866" s="18"/>
      <c r="P866" s="18"/>
      <c r="Q866" s="18"/>
      <c r="R866" s="18"/>
      <c r="S866" s="18"/>
      <c r="T866" s="18"/>
    </row>
    <row r="867">
      <c r="B867" s="18"/>
      <c r="C867" s="18"/>
      <c r="D867" s="18"/>
      <c r="O867" s="18"/>
      <c r="P867" s="18"/>
      <c r="Q867" s="18"/>
      <c r="R867" s="18"/>
      <c r="S867" s="18"/>
      <c r="T867" s="18"/>
    </row>
    <row r="868">
      <c r="B868" s="18"/>
      <c r="C868" s="18"/>
      <c r="D868" s="18"/>
      <c r="O868" s="18"/>
      <c r="P868" s="18"/>
      <c r="Q868" s="18"/>
      <c r="R868" s="18"/>
      <c r="S868" s="18"/>
      <c r="T868" s="18"/>
    </row>
    <row r="869">
      <c r="B869" s="18"/>
      <c r="C869" s="18"/>
      <c r="D869" s="18"/>
      <c r="O869" s="18"/>
      <c r="P869" s="18"/>
      <c r="Q869" s="18"/>
      <c r="R869" s="18"/>
      <c r="S869" s="18"/>
      <c r="T869" s="18"/>
    </row>
    <row r="870">
      <c r="B870" s="18"/>
      <c r="C870" s="18"/>
      <c r="D870" s="18"/>
      <c r="O870" s="18"/>
      <c r="P870" s="18"/>
      <c r="Q870" s="18"/>
      <c r="R870" s="18"/>
      <c r="S870" s="18"/>
      <c r="T870" s="18"/>
    </row>
    <row r="871">
      <c r="B871" s="18"/>
      <c r="C871" s="18"/>
      <c r="D871" s="18"/>
      <c r="O871" s="18"/>
      <c r="P871" s="18"/>
      <c r="Q871" s="18"/>
      <c r="R871" s="18"/>
      <c r="S871" s="18"/>
      <c r="T871" s="18"/>
    </row>
    <row r="872">
      <c r="B872" s="18"/>
      <c r="C872" s="18"/>
      <c r="D872" s="18"/>
      <c r="O872" s="18"/>
      <c r="P872" s="18"/>
      <c r="Q872" s="18"/>
      <c r="R872" s="18"/>
      <c r="S872" s="18"/>
      <c r="T872" s="18"/>
    </row>
    <row r="873">
      <c r="B873" s="18"/>
      <c r="C873" s="18"/>
      <c r="D873" s="18"/>
      <c r="O873" s="18"/>
      <c r="P873" s="18"/>
      <c r="Q873" s="18"/>
      <c r="R873" s="18"/>
      <c r="S873" s="18"/>
      <c r="T873" s="18"/>
    </row>
    <row r="874">
      <c r="B874" s="18"/>
      <c r="C874" s="18"/>
      <c r="D874" s="18"/>
      <c r="O874" s="18"/>
      <c r="P874" s="18"/>
      <c r="Q874" s="18"/>
      <c r="R874" s="18"/>
      <c r="S874" s="18"/>
      <c r="T874" s="18"/>
    </row>
    <row r="875">
      <c r="B875" s="18"/>
      <c r="C875" s="18"/>
      <c r="D875" s="18"/>
      <c r="O875" s="18"/>
      <c r="P875" s="18"/>
      <c r="Q875" s="18"/>
      <c r="R875" s="18"/>
      <c r="S875" s="18"/>
      <c r="T875" s="18"/>
    </row>
    <row r="876">
      <c r="B876" s="18"/>
      <c r="C876" s="18"/>
      <c r="D876" s="18"/>
      <c r="O876" s="18"/>
      <c r="P876" s="18"/>
      <c r="Q876" s="18"/>
      <c r="R876" s="18"/>
      <c r="S876" s="18"/>
      <c r="T876" s="18"/>
    </row>
    <row r="877">
      <c r="B877" s="18"/>
      <c r="C877" s="18"/>
      <c r="D877" s="18"/>
      <c r="O877" s="18"/>
      <c r="P877" s="18"/>
      <c r="Q877" s="18"/>
      <c r="R877" s="18"/>
      <c r="S877" s="18"/>
      <c r="T877" s="18"/>
    </row>
    <row r="878">
      <c r="B878" s="18"/>
      <c r="C878" s="18"/>
      <c r="D878" s="18"/>
      <c r="O878" s="18"/>
      <c r="P878" s="18"/>
      <c r="Q878" s="18"/>
      <c r="R878" s="18"/>
      <c r="S878" s="18"/>
      <c r="T878" s="18"/>
    </row>
    <row r="879">
      <c r="B879" s="18"/>
      <c r="C879" s="18"/>
      <c r="D879" s="18"/>
      <c r="O879" s="18"/>
      <c r="P879" s="18"/>
      <c r="Q879" s="18"/>
      <c r="R879" s="18"/>
      <c r="S879" s="18"/>
      <c r="T879" s="18"/>
    </row>
    <row r="880">
      <c r="B880" s="18"/>
      <c r="C880" s="18"/>
      <c r="D880" s="18"/>
      <c r="O880" s="18"/>
      <c r="P880" s="18"/>
      <c r="Q880" s="18"/>
      <c r="R880" s="18"/>
      <c r="S880" s="18"/>
      <c r="T880" s="18"/>
    </row>
    <row r="881">
      <c r="B881" s="18"/>
      <c r="C881" s="18"/>
      <c r="D881" s="18"/>
      <c r="O881" s="18"/>
      <c r="P881" s="18"/>
      <c r="Q881" s="18"/>
      <c r="R881" s="18"/>
      <c r="S881" s="18"/>
      <c r="T881" s="18"/>
    </row>
    <row r="882">
      <c r="B882" s="18"/>
      <c r="C882" s="18"/>
      <c r="D882" s="18"/>
      <c r="O882" s="18"/>
      <c r="P882" s="18"/>
      <c r="Q882" s="18"/>
      <c r="R882" s="18"/>
      <c r="S882" s="18"/>
      <c r="T882" s="18"/>
    </row>
    <row r="883">
      <c r="B883" s="18"/>
      <c r="C883" s="18"/>
      <c r="D883" s="18"/>
      <c r="O883" s="18"/>
      <c r="P883" s="18"/>
      <c r="Q883" s="18"/>
      <c r="R883" s="18"/>
      <c r="S883" s="18"/>
      <c r="T883" s="18"/>
    </row>
    <row r="884">
      <c r="B884" s="18"/>
      <c r="C884" s="18"/>
      <c r="D884" s="18"/>
      <c r="O884" s="18"/>
      <c r="P884" s="18"/>
      <c r="Q884" s="18"/>
      <c r="R884" s="18"/>
      <c r="S884" s="18"/>
      <c r="T884" s="18"/>
    </row>
    <row r="885">
      <c r="B885" s="18"/>
      <c r="C885" s="18"/>
      <c r="D885" s="18"/>
      <c r="O885" s="18"/>
      <c r="P885" s="18"/>
      <c r="Q885" s="18"/>
      <c r="R885" s="18"/>
      <c r="S885" s="18"/>
      <c r="T885" s="18"/>
    </row>
    <row r="886">
      <c r="B886" s="18"/>
      <c r="C886" s="18"/>
      <c r="D886" s="18"/>
      <c r="O886" s="18"/>
      <c r="P886" s="18"/>
      <c r="Q886" s="18"/>
      <c r="R886" s="18"/>
      <c r="S886" s="18"/>
      <c r="T886" s="18"/>
    </row>
    <row r="887">
      <c r="B887" s="18"/>
      <c r="C887" s="18"/>
      <c r="D887" s="18"/>
      <c r="O887" s="18"/>
      <c r="P887" s="18"/>
      <c r="Q887" s="18"/>
      <c r="R887" s="18"/>
      <c r="S887" s="18"/>
      <c r="T887" s="18"/>
    </row>
    <row r="888">
      <c r="B888" s="18"/>
      <c r="C888" s="18"/>
      <c r="D888" s="18"/>
      <c r="O888" s="18"/>
      <c r="P888" s="18"/>
      <c r="Q888" s="18"/>
      <c r="R888" s="18"/>
      <c r="S888" s="18"/>
      <c r="T888" s="18"/>
    </row>
    <row r="889">
      <c r="B889" s="18"/>
      <c r="C889" s="18"/>
      <c r="D889" s="18"/>
      <c r="O889" s="18"/>
      <c r="P889" s="18"/>
      <c r="Q889" s="18"/>
      <c r="R889" s="18"/>
      <c r="S889" s="18"/>
      <c r="T889" s="18"/>
    </row>
    <row r="890">
      <c r="B890" s="18"/>
      <c r="C890" s="18"/>
      <c r="D890" s="18"/>
      <c r="O890" s="18"/>
      <c r="P890" s="18"/>
      <c r="Q890" s="18"/>
      <c r="R890" s="18"/>
      <c r="S890" s="18"/>
      <c r="T890" s="18"/>
    </row>
    <row r="891">
      <c r="B891" s="18"/>
      <c r="C891" s="18"/>
      <c r="D891" s="18"/>
      <c r="O891" s="18"/>
      <c r="P891" s="18"/>
      <c r="Q891" s="18"/>
      <c r="R891" s="18"/>
      <c r="S891" s="18"/>
      <c r="T891" s="18"/>
    </row>
    <row r="892">
      <c r="B892" s="18"/>
      <c r="C892" s="18"/>
      <c r="D892" s="18"/>
      <c r="O892" s="18"/>
      <c r="P892" s="18"/>
      <c r="Q892" s="18"/>
      <c r="R892" s="18"/>
      <c r="S892" s="18"/>
      <c r="T892" s="18"/>
    </row>
    <row r="893">
      <c r="B893" s="18"/>
      <c r="C893" s="18"/>
      <c r="D893" s="18"/>
      <c r="O893" s="18"/>
      <c r="P893" s="18"/>
      <c r="Q893" s="18"/>
      <c r="R893" s="18"/>
      <c r="S893" s="18"/>
      <c r="T893" s="18"/>
    </row>
    <row r="894">
      <c r="B894" s="18"/>
      <c r="C894" s="18"/>
      <c r="D894" s="18"/>
      <c r="O894" s="18"/>
      <c r="P894" s="18"/>
      <c r="Q894" s="18"/>
      <c r="R894" s="18"/>
      <c r="S894" s="18"/>
      <c r="T894" s="18"/>
    </row>
    <row r="895">
      <c r="B895" s="18"/>
      <c r="C895" s="18"/>
      <c r="D895" s="18"/>
      <c r="O895" s="18"/>
      <c r="P895" s="18"/>
      <c r="Q895" s="18"/>
      <c r="R895" s="18"/>
      <c r="S895" s="18"/>
      <c r="T895" s="18"/>
    </row>
    <row r="896">
      <c r="B896" s="18"/>
      <c r="C896" s="18"/>
      <c r="D896" s="18"/>
      <c r="O896" s="18"/>
      <c r="P896" s="18"/>
      <c r="Q896" s="18"/>
      <c r="R896" s="18"/>
      <c r="S896" s="18"/>
      <c r="T896" s="18"/>
    </row>
    <row r="897">
      <c r="B897" s="18"/>
      <c r="C897" s="18"/>
      <c r="D897" s="18"/>
      <c r="O897" s="18"/>
      <c r="P897" s="18"/>
      <c r="Q897" s="18"/>
      <c r="R897" s="18"/>
      <c r="S897" s="18"/>
      <c r="T897" s="18"/>
    </row>
    <row r="898">
      <c r="B898" s="18"/>
      <c r="C898" s="18"/>
      <c r="D898" s="18"/>
      <c r="O898" s="18"/>
      <c r="P898" s="18"/>
      <c r="Q898" s="18"/>
      <c r="R898" s="18"/>
      <c r="S898" s="18"/>
      <c r="T898" s="18"/>
    </row>
    <row r="899">
      <c r="B899" s="18"/>
      <c r="C899" s="18"/>
      <c r="D899" s="18"/>
      <c r="O899" s="18"/>
      <c r="P899" s="18"/>
      <c r="Q899" s="18"/>
      <c r="R899" s="18"/>
      <c r="S899" s="18"/>
      <c r="T899" s="18"/>
    </row>
    <row r="900">
      <c r="B900" s="18"/>
      <c r="C900" s="18"/>
      <c r="D900" s="18"/>
      <c r="O900" s="18"/>
      <c r="P900" s="18"/>
      <c r="Q900" s="18"/>
      <c r="R900" s="18"/>
      <c r="S900" s="18"/>
      <c r="T900" s="18"/>
    </row>
    <row r="901">
      <c r="B901" s="18"/>
      <c r="C901" s="18"/>
      <c r="D901" s="18"/>
      <c r="O901" s="18"/>
      <c r="P901" s="18"/>
      <c r="Q901" s="18"/>
      <c r="R901" s="18"/>
      <c r="S901" s="18"/>
      <c r="T901" s="18"/>
    </row>
    <row r="902">
      <c r="B902" s="18"/>
      <c r="C902" s="18"/>
      <c r="D902" s="18"/>
      <c r="O902" s="18"/>
      <c r="P902" s="18"/>
      <c r="Q902" s="18"/>
      <c r="R902" s="18"/>
      <c r="S902" s="18"/>
      <c r="T902" s="18"/>
    </row>
    <row r="903">
      <c r="B903" s="18"/>
      <c r="C903" s="18"/>
      <c r="D903" s="18"/>
      <c r="O903" s="18"/>
      <c r="P903" s="18"/>
      <c r="Q903" s="18"/>
      <c r="R903" s="18"/>
      <c r="S903" s="18"/>
      <c r="T903" s="18"/>
    </row>
    <row r="904">
      <c r="B904" s="18"/>
      <c r="C904" s="18"/>
      <c r="D904" s="18"/>
      <c r="O904" s="18"/>
      <c r="P904" s="18"/>
      <c r="Q904" s="18"/>
      <c r="R904" s="18"/>
      <c r="S904" s="18"/>
      <c r="T904" s="18"/>
    </row>
    <row r="905">
      <c r="B905" s="18"/>
      <c r="C905" s="18"/>
      <c r="D905" s="18"/>
      <c r="O905" s="18"/>
      <c r="P905" s="18"/>
      <c r="Q905" s="18"/>
      <c r="R905" s="18"/>
      <c r="S905" s="18"/>
      <c r="T905" s="18"/>
    </row>
    <row r="906">
      <c r="B906" s="18"/>
      <c r="C906" s="18"/>
      <c r="D906" s="18"/>
      <c r="O906" s="18"/>
      <c r="P906" s="18"/>
      <c r="Q906" s="18"/>
      <c r="R906" s="18"/>
      <c r="S906" s="18"/>
      <c r="T906" s="18"/>
    </row>
    <row r="907">
      <c r="B907" s="18"/>
      <c r="C907" s="18"/>
      <c r="D907" s="18"/>
      <c r="O907" s="18"/>
      <c r="P907" s="18"/>
      <c r="Q907" s="18"/>
      <c r="R907" s="18"/>
      <c r="S907" s="18"/>
      <c r="T907" s="18"/>
    </row>
    <row r="908">
      <c r="B908" s="18"/>
      <c r="C908" s="18"/>
      <c r="D908" s="18"/>
      <c r="O908" s="18"/>
      <c r="P908" s="18"/>
      <c r="Q908" s="18"/>
      <c r="R908" s="18"/>
      <c r="S908" s="18"/>
      <c r="T908" s="18"/>
    </row>
    <row r="909">
      <c r="B909" s="18"/>
      <c r="C909" s="18"/>
      <c r="D909" s="18"/>
      <c r="O909" s="18"/>
      <c r="P909" s="18"/>
      <c r="Q909" s="18"/>
      <c r="R909" s="18"/>
      <c r="S909" s="18"/>
      <c r="T909" s="18"/>
    </row>
    <row r="910">
      <c r="B910" s="18"/>
      <c r="C910" s="18"/>
      <c r="D910" s="18"/>
      <c r="O910" s="18"/>
      <c r="P910" s="18"/>
      <c r="Q910" s="18"/>
      <c r="R910" s="18"/>
      <c r="S910" s="18"/>
      <c r="T910" s="18"/>
    </row>
    <row r="911">
      <c r="B911" s="18"/>
      <c r="C911" s="18"/>
      <c r="D911" s="18"/>
      <c r="O911" s="18"/>
      <c r="P911" s="18"/>
      <c r="Q911" s="18"/>
      <c r="R911" s="18"/>
      <c r="S911" s="18"/>
      <c r="T911" s="18"/>
    </row>
    <row r="912">
      <c r="B912" s="18"/>
      <c r="C912" s="18"/>
      <c r="D912" s="18"/>
      <c r="O912" s="18"/>
      <c r="P912" s="18"/>
      <c r="Q912" s="18"/>
      <c r="R912" s="18"/>
      <c r="S912" s="18"/>
      <c r="T912" s="18"/>
    </row>
    <row r="913">
      <c r="B913" s="18"/>
      <c r="C913" s="18"/>
      <c r="D913" s="18"/>
      <c r="O913" s="18"/>
      <c r="P913" s="18"/>
      <c r="Q913" s="18"/>
      <c r="R913" s="18"/>
      <c r="S913" s="18"/>
      <c r="T913" s="18"/>
    </row>
    <row r="914">
      <c r="B914" s="18"/>
      <c r="C914" s="18"/>
      <c r="D914" s="18"/>
      <c r="O914" s="18"/>
      <c r="P914" s="18"/>
      <c r="Q914" s="18"/>
      <c r="R914" s="18"/>
      <c r="S914" s="18"/>
      <c r="T914" s="18"/>
    </row>
    <row r="915">
      <c r="B915" s="18"/>
      <c r="C915" s="18"/>
      <c r="D915" s="18"/>
      <c r="O915" s="18"/>
      <c r="P915" s="18"/>
      <c r="Q915" s="18"/>
      <c r="R915" s="18"/>
      <c r="S915" s="18"/>
      <c r="T915" s="18"/>
    </row>
    <row r="916">
      <c r="B916" s="18"/>
      <c r="C916" s="18"/>
      <c r="D916" s="18"/>
      <c r="O916" s="18"/>
      <c r="P916" s="18"/>
      <c r="Q916" s="18"/>
      <c r="R916" s="18"/>
      <c r="S916" s="18"/>
      <c r="T916" s="18"/>
    </row>
    <row r="917">
      <c r="B917" s="18"/>
      <c r="C917" s="18"/>
      <c r="D917" s="18"/>
      <c r="O917" s="18"/>
      <c r="P917" s="18"/>
      <c r="Q917" s="18"/>
      <c r="R917" s="18"/>
      <c r="S917" s="18"/>
      <c r="T917" s="18"/>
    </row>
    <row r="918">
      <c r="B918" s="18"/>
      <c r="C918" s="18"/>
      <c r="D918" s="18"/>
      <c r="O918" s="18"/>
      <c r="P918" s="18"/>
      <c r="Q918" s="18"/>
      <c r="R918" s="18"/>
      <c r="S918" s="18"/>
      <c r="T918" s="18"/>
    </row>
    <row r="919">
      <c r="B919" s="18"/>
      <c r="C919" s="18"/>
      <c r="D919" s="18"/>
      <c r="O919" s="18"/>
      <c r="P919" s="18"/>
      <c r="Q919" s="18"/>
      <c r="R919" s="18"/>
      <c r="S919" s="18"/>
      <c r="T919" s="18"/>
    </row>
    <row r="920">
      <c r="B920" s="18"/>
      <c r="C920" s="18"/>
      <c r="D920" s="18"/>
      <c r="O920" s="18"/>
      <c r="P920" s="18"/>
      <c r="Q920" s="18"/>
      <c r="R920" s="18"/>
      <c r="S920" s="18"/>
      <c r="T920" s="18"/>
    </row>
    <row r="921">
      <c r="B921" s="18"/>
      <c r="C921" s="18"/>
      <c r="D921" s="18"/>
      <c r="O921" s="18"/>
      <c r="P921" s="18"/>
      <c r="Q921" s="18"/>
      <c r="R921" s="18"/>
      <c r="S921" s="18"/>
      <c r="T921" s="18"/>
    </row>
    <row r="922">
      <c r="B922" s="18"/>
      <c r="C922" s="18"/>
      <c r="D922" s="18"/>
      <c r="O922" s="18"/>
      <c r="P922" s="18"/>
      <c r="Q922" s="18"/>
      <c r="R922" s="18"/>
      <c r="S922" s="18"/>
      <c r="T922" s="18"/>
    </row>
    <row r="923">
      <c r="B923" s="18"/>
      <c r="C923" s="18"/>
      <c r="D923" s="18"/>
      <c r="O923" s="18"/>
      <c r="P923" s="18"/>
      <c r="Q923" s="18"/>
      <c r="R923" s="18"/>
      <c r="S923" s="18"/>
      <c r="T923" s="18"/>
    </row>
    <row r="924">
      <c r="B924" s="18"/>
      <c r="C924" s="18"/>
      <c r="D924" s="18"/>
      <c r="O924" s="18"/>
      <c r="P924" s="18"/>
      <c r="Q924" s="18"/>
      <c r="R924" s="18"/>
      <c r="S924" s="18"/>
      <c r="T924" s="18"/>
    </row>
    <row r="925">
      <c r="B925" s="18"/>
      <c r="C925" s="18"/>
      <c r="D925" s="18"/>
      <c r="O925" s="18"/>
      <c r="P925" s="18"/>
      <c r="Q925" s="18"/>
      <c r="R925" s="18"/>
      <c r="S925" s="18"/>
      <c r="T925" s="18"/>
    </row>
    <row r="926">
      <c r="B926" s="18"/>
      <c r="C926" s="18"/>
      <c r="D926" s="18"/>
      <c r="O926" s="18"/>
      <c r="P926" s="18"/>
      <c r="Q926" s="18"/>
      <c r="R926" s="18"/>
      <c r="S926" s="18"/>
      <c r="T926" s="18"/>
    </row>
    <row r="927">
      <c r="B927" s="18"/>
      <c r="C927" s="18"/>
      <c r="D927" s="18"/>
      <c r="O927" s="18"/>
      <c r="P927" s="18"/>
      <c r="Q927" s="18"/>
      <c r="R927" s="18"/>
      <c r="S927" s="18"/>
      <c r="T927" s="18"/>
    </row>
    <row r="928">
      <c r="B928" s="18"/>
      <c r="C928" s="18"/>
      <c r="D928" s="18"/>
      <c r="O928" s="18"/>
      <c r="P928" s="18"/>
      <c r="Q928" s="18"/>
      <c r="R928" s="18"/>
      <c r="S928" s="18"/>
      <c r="T928" s="18"/>
    </row>
    <row r="929">
      <c r="B929" s="18"/>
      <c r="C929" s="18"/>
      <c r="D929" s="18"/>
      <c r="O929" s="18"/>
      <c r="P929" s="18"/>
      <c r="Q929" s="18"/>
      <c r="R929" s="18"/>
      <c r="S929" s="18"/>
      <c r="T929" s="18"/>
    </row>
    <row r="930">
      <c r="B930" s="18"/>
      <c r="C930" s="18"/>
      <c r="D930" s="18"/>
      <c r="O930" s="18"/>
      <c r="P930" s="18"/>
      <c r="Q930" s="18"/>
      <c r="R930" s="18"/>
      <c r="S930" s="18"/>
      <c r="T930" s="18"/>
    </row>
    <row r="931">
      <c r="B931" s="18"/>
      <c r="C931" s="18"/>
      <c r="D931" s="18"/>
      <c r="O931" s="18"/>
      <c r="P931" s="18"/>
      <c r="Q931" s="18"/>
      <c r="R931" s="18"/>
      <c r="S931" s="18"/>
      <c r="T931" s="18"/>
    </row>
    <row r="932">
      <c r="B932" s="18"/>
      <c r="C932" s="18"/>
      <c r="D932" s="18"/>
      <c r="O932" s="18"/>
      <c r="P932" s="18"/>
      <c r="Q932" s="18"/>
      <c r="R932" s="18"/>
      <c r="S932" s="18"/>
      <c r="T932" s="18"/>
    </row>
    <row r="933">
      <c r="B933" s="18"/>
      <c r="C933" s="18"/>
      <c r="D933" s="18"/>
      <c r="O933" s="18"/>
      <c r="P933" s="18"/>
      <c r="Q933" s="18"/>
      <c r="R933" s="18"/>
      <c r="S933" s="18"/>
      <c r="T933" s="18"/>
    </row>
    <row r="934">
      <c r="B934" s="18"/>
      <c r="C934" s="18"/>
      <c r="D934" s="18"/>
      <c r="O934" s="18"/>
      <c r="P934" s="18"/>
      <c r="Q934" s="18"/>
      <c r="R934" s="18"/>
      <c r="S934" s="18"/>
      <c r="T934" s="18"/>
    </row>
    <row r="935">
      <c r="B935" s="18"/>
      <c r="C935" s="18"/>
      <c r="D935" s="18"/>
      <c r="O935" s="18"/>
      <c r="P935" s="18"/>
      <c r="Q935" s="18"/>
      <c r="R935" s="18"/>
      <c r="S935" s="18"/>
      <c r="T935" s="18"/>
    </row>
    <row r="936">
      <c r="B936" s="18"/>
      <c r="C936" s="18"/>
      <c r="D936" s="18"/>
      <c r="O936" s="18"/>
      <c r="P936" s="18"/>
      <c r="Q936" s="18"/>
      <c r="R936" s="18"/>
      <c r="S936" s="18"/>
      <c r="T936" s="18"/>
    </row>
    <row r="937">
      <c r="B937" s="18"/>
      <c r="C937" s="18"/>
      <c r="D937" s="18"/>
      <c r="O937" s="18"/>
      <c r="P937" s="18"/>
      <c r="Q937" s="18"/>
      <c r="R937" s="18"/>
      <c r="S937" s="18"/>
      <c r="T937" s="18"/>
    </row>
    <row r="938">
      <c r="B938" s="18"/>
      <c r="C938" s="18"/>
      <c r="D938" s="18"/>
      <c r="O938" s="18"/>
      <c r="P938" s="18"/>
      <c r="Q938" s="18"/>
      <c r="R938" s="18"/>
      <c r="S938" s="18"/>
      <c r="T938" s="18"/>
    </row>
    <row r="939">
      <c r="B939" s="18"/>
      <c r="C939" s="18"/>
      <c r="D939" s="18"/>
      <c r="O939" s="18"/>
      <c r="P939" s="18"/>
      <c r="Q939" s="18"/>
      <c r="R939" s="18"/>
      <c r="S939" s="18"/>
      <c r="T939" s="18"/>
    </row>
    <row r="940">
      <c r="B940" s="18"/>
      <c r="C940" s="18"/>
      <c r="D940" s="18"/>
      <c r="O940" s="18"/>
      <c r="P940" s="18"/>
      <c r="Q940" s="18"/>
      <c r="R940" s="18"/>
      <c r="S940" s="18"/>
      <c r="T940" s="18"/>
    </row>
    <row r="941">
      <c r="B941" s="18"/>
      <c r="C941" s="18"/>
      <c r="D941" s="18"/>
      <c r="O941" s="18"/>
      <c r="P941" s="18"/>
      <c r="Q941" s="18"/>
      <c r="R941" s="18"/>
      <c r="S941" s="18"/>
      <c r="T941" s="18"/>
    </row>
    <row r="942">
      <c r="B942" s="18"/>
      <c r="C942" s="18"/>
      <c r="D942" s="18"/>
      <c r="O942" s="18"/>
      <c r="P942" s="18"/>
      <c r="Q942" s="18"/>
      <c r="R942" s="18"/>
      <c r="S942" s="18"/>
      <c r="T942" s="18"/>
    </row>
    <row r="943">
      <c r="B943" s="18"/>
      <c r="C943" s="18"/>
      <c r="D943" s="18"/>
      <c r="O943" s="18"/>
      <c r="P943" s="18"/>
      <c r="Q943" s="18"/>
      <c r="R943" s="18"/>
      <c r="S943" s="18"/>
      <c r="T943" s="18"/>
    </row>
    <row r="944">
      <c r="B944" s="18"/>
      <c r="C944" s="18"/>
      <c r="D944" s="18"/>
      <c r="O944" s="18"/>
      <c r="P944" s="18"/>
      <c r="Q944" s="18"/>
      <c r="R944" s="18"/>
      <c r="S944" s="18"/>
      <c r="T944" s="18"/>
    </row>
    <row r="945">
      <c r="B945" s="18"/>
      <c r="C945" s="18"/>
      <c r="D945" s="18"/>
      <c r="O945" s="18"/>
      <c r="P945" s="18"/>
      <c r="Q945" s="18"/>
      <c r="R945" s="18"/>
      <c r="S945" s="18"/>
      <c r="T945" s="18"/>
    </row>
    <row r="946">
      <c r="B946" s="18"/>
      <c r="C946" s="18"/>
      <c r="D946" s="18"/>
      <c r="O946" s="18"/>
      <c r="P946" s="18"/>
      <c r="Q946" s="18"/>
      <c r="R946" s="18"/>
      <c r="S946" s="18"/>
      <c r="T946" s="18"/>
    </row>
    <row r="947">
      <c r="B947" s="18"/>
      <c r="C947" s="18"/>
      <c r="D947" s="18"/>
      <c r="O947" s="18"/>
      <c r="P947" s="18"/>
      <c r="Q947" s="18"/>
      <c r="R947" s="18"/>
      <c r="S947" s="18"/>
      <c r="T947" s="18"/>
    </row>
    <row r="948">
      <c r="B948" s="18"/>
      <c r="C948" s="18"/>
      <c r="D948" s="18"/>
      <c r="O948" s="18"/>
      <c r="P948" s="18"/>
      <c r="Q948" s="18"/>
      <c r="R948" s="18"/>
      <c r="S948" s="18"/>
      <c r="T948" s="18"/>
    </row>
    <row r="949">
      <c r="B949" s="18"/>
      <c r="C949" s="18"/>
      <c r="D949" s="18"/>
      <c r="O949" s="18"/>
      <c r="P949" s="18"/>
      <c r="Q949" s="18"/>
      <c r="R949" s="18"/>
      <c r="S949" s="18"/>
      <c r="T949" s="18"/>
    </row>
    <row r="950">
      <c r="B950" s="18"/>
      <c r="C950" s="18"/>
      <c r="D950" s="18"/>
      <c r="O950" s="18"/>
      <c r="P950" s="18"/>
      <c r="Q950" s="18"/>
      <c r="R950" s="18"/>
      <c r="S950" s="18"/>
      <c r="T950" s="18"/>
    </row>
    <row r="951">
      <c r="B951" s="18"/>
      <c r="C951" s="18"/>
      <c r="D951" s="18"/>
      <c r="O951" s="18"/>
      <c r="P951" s="18"/>
      <c r="Q951" s="18"/>
      <c r="R951" s="18"/>
      <c r="S951" s="18"/>
      <c r="T951" s="18"/>
    </row>
    <row r="952">
      <c r="B952" s="18"/>
      <c r="C952" s="18"/>
      <c r="D952" s="18"/>
      <c r="O952" s="18"/>
      <c r="P952" s="18"/>
      <c r="Q952" s="18"/>
      <c r="R952" s="18"/>
      <c r="S952" s="18"/>
      <c r="T952" s="18"/>
    </row>
    <row r="953">
      <c r="B953" s="18"/>
      <c r="C953" s="18"/>
      <c r="D953" s="18"/>
      <c r="O953" s="18"/>
      <c r="P953" s="18"/>
      <c r="Q953" s="18"/>
      <c r="R953" s="18"/>
      <c r="S953" s="18"/>
      <c r="T953" s="18"/>
    </row>
    <row r="954">
      <c r="B954" s="18"/>
      <c r="C954" s="18"/>
      <c r="D954" s="18"/>
      <c r="O954" s="18"/>
      <c r="P954" s="18"/>
      <c r="Q954" s="18"/>
      <c r="R954" s="18"/>
      <c r="S954" s="18"/>
      <c r="T954" s="18"/>
    </row>
    <row r="955">
      <c r="B955" s="18"/>
      <c r="C955" s="18"/>
      <c r="D955" s="18"/>
      <c r="O955" s="18"/>
      <c r="P955" s="18"/>
      <c r="Q955" s="18"/>
      <c r="R955" s="18"/>
      <c r="S955" s="18"/>
      <c r="T955" s="18"/>
    </row>
    <row r="956">
      <c r="B956" s="18"/>
      <c r="C956" s="18"/>
      <c r="D956" s="18"/>
      <c r="O956" s="18"/>
      <c r="P956" s="18"/>
      <c r="Q956" s="18"/>
      <c r="R956" s="18"/>
      <c r="S956" s="18"/>
      <c r="T956" s="18"/>
    </row>
    <row r="957">
      <c r="B957" s="18"/>
      <c r="C957" s="18"/>
      <c r="D957" s="18"/>
      <c r="O957" s="18"/>
      <c r="P957" s="18"/>
      <c r="Q957" s="18"/>
      <c r="R957" s="18"/>
      <c r="S957" s="18"/>
      <c r="T957" s="18"/>
    </row>
    <row r="958">
      <c r="B958" s="18"/>
      <c r="C958" s="18"/>
      <c r="D958" s="18"/>
      <c r="O958" s="18"/>
      <c r="P958" s="18"/>
      <c r="Q958" s="18"/>
      <c r="R958" s="18"/>
      <c r="S958" s="18"/>
      <c r="T958" s="18"/>
    </row>
    <row r="959">
      <c r="B959" s="18"/>
      <c r="C959" s="18"/>
      <c r="D959" s="18"/>
      <c r="O959" s="18"/>
      <c r="P959" s="18"/>
      <c r="Q959" s="18"/>
      <c r="R959" s="18"/>
      <c r="S959" s="18"/>
      <c r="T959" s="18"/>
    </row>
    <row r="960">
      <c r="B960" s="18"/>
      <c r="C960" s="18"/>
      <c r="D960" s="18"/>
      <c r="O960" s="18"/>
      <c r="P960" s="18"/>
      <c r="Q960" s="18"/>
      <c r="R960" s="18"/>
      <c r="S960" s="18"/>
      <c r="T960" s="18"/>
    </row>
    <row r="961">
      <c r="B961" s="18"/>
      <c r="C961" s="18"/>
      <c r="D961" s="18"/>
      <c r="O961" s="18"/>
      <c r="P961" s="18"/>
      <c r="Q961" s="18"/>
      <c r="R961" s="18"/>
      <c r="S961" s="18"/>
      <c r="T961" s="18"/>
    </row>
    <row r="962">
      <c r="B962" s="18"/>
      <c r="C962" s="18"/>
      <c r="D962" s="18"/>
      <c r="O962" s="18"/>
      <c r="P962" s="18"/>
      <c r="Q962" s="18"/>
      <c r="R962" s="18"/>
      <c r="S962" s="18"/>
      <c r="T962" s="18"/>
    </row>
    <row r="963">
      <c r="B963" s="18"/>
      <c r="C963" s="18"/>
      <c r="D963" s="18"/>
      <c r="O963" s="18"/>
      <c r="P963" s="18"/>
      <c r="Q963" s="18"/>
      <c r="R963" s="18"/>
      <c r="S963" s="18"/>
      <c r="T963" s="18"/>
    </row>
    <row r="964">
      <c r="B964" s="18"/>
      <c r="C964" s="18"/>
      <c r="D964" s="18"/>
      <c r="O964" s="18"/>
      <c r="P964" s="18"/>
      <c r="Q964" s="18"/>
      <c r="R964" s="18"/>
      <c r="S964" s="18"/>
      <c r="T964" s="18"/>
    </row>
    <row r="965">
      <c r="B965" s="18"/>
      <c r="C965" s="18"/>
      <c r="D965" s="18"/>
      <c r="O965" s="18"/>
      <c r="P965" s="18"/>
      <c r="Q965" s="18"/>
      <c r="R965" s="18"/>
      <c r="S965" s="18"/>
      <c r="T965" s="18"/>
    </row>
    <row r="966">
      <c r="B966" s="18"/>
      <c r="C966" s="18"/>
      <c r="D966" s="18"/>
      <c r="O966" s="18"/>
      <c r="P966" s="18"/>
      <c r="Q966" s="18"/>
      <c r="R966" s="18"/>
      <c r="S966" s="18"/>
      <c r="T966" s="18"/>
    </row>
    <row r="967">
      <c r="B967" s="18"/>
      <c r="C967" s="18"/>
      <c r="D967" s="18"/>
      <c r="O967" s="18"/>
      <c r="P967" s="18"/>
      <c r="Q967" s="18"/>
      <c r="R967" s="18"/>
      <c r="S967" s="18"/>
      <c r="T967" s="18"/>
    </row>
    <row r="968">
      <c r="B968" s="18"/>
      <c r="C968" s="18"/>
      <c r="D968" s="18"/>
      <c r="O968" s="18"/>
      <c r="P968" s="18"/>
      <c r="Q968" s="18"/>
      <c r="R968" s="18"/>
      <c r="S968" s="18"/>
      <c r="T968" s="18"/>
    </row>
    <row r="969">
      <c r="B969" s="18"/>
      <c r="C969" s="18"/>
      <c r="D969" s="18"/>
      <c r="O969" s="18"/>
      <c r="P969" s="18"/>
      <c r="Q969" s="18"/>
      <c r="R969" s="18"/>
      <c r="S969" s="18"/>
      <c r="T969" s="18"/>
    </row>
    <row r="970">
      <c r="B970" s="18"/>
      <c r="C970" s="18"/>
      <c r="D970" s="18"/>
      <c r="O970" s="18"/>
      <c r="P970" s="18"/>
      <c r="Q970" s="18"/>
      <c r="R970" s="18"/>
      <c r="S970" s="18"/>
      <c r="T970" s="18"/>
    </row>
    <row r="971">
      <c r="B971" s="18"/>
      <c r="C971" s="18"/>
      <c r="D971" s="18"/>
      <c r="O971" s="18"/>
      <c r="P971" s="18"/>
      <c r="Q971" s="18"/>
      <c r="R971" s="18"/>
      <c r="S971" s="18"/>
      <c r="T971" s="18"/>
    </row>
    <row r="972">
      <c r="B972" s="18"/>
      <c r="C972" s="18"/>
      <c r="D972" s="18"/>
      <c r="O972" s="18"/>
      <c r="P972" s="18"/>
      <c r="Q972" s="18"/>
      <c r="R972" s="18"/>
      <c r="S972" s="18"/>
      <c r="T972" s="18"/>
    </row>
    <row r="973">
      <c r="B973" s="18"/>
      <c r="C973" s="18"/>
      <c r="D973" s="18"/>
      <c r="O973" s="18"/>
      <c r="P973" s="18"/>
      <c r="Q973" s="18"/>
      <c r="R973" s="18"/>
      <c r="S973" s="18"/>
      <c r="T973" s="18"/>
    </row>
    <row r="974">
      <c r="B974" s="18"/>
      <c r="C974" s="18"/>
      <c r="D974" s="18"/>
      <c r="O974" s="18"/>
      <c r="P974" s="18"/>
      <c r="Q974" s="18"/>
      <c r="R974" s="18"/>
      <c r="S974" s="18"/>
      <c r="T974" s="18"/>
    </row>
    <row r="975">
      <c r="B975" s="18"/>
      <c r="C975" s="18"/>
      <c r="D975" s="18"/>
      <c r="O975" s="18"/>
      <c r="P975" s="18"/>
      <c r="Q975" s="18"/>
      <c r="R975" s="18"/>
      <c r="S975" s="18"/>
      <c r="T975" s="18"/>
    </row>
    <row r="976">
      <c r="B976" s="18"/>
      <c r="C976" s="18"/>
      <c r="D976" s="18"/>
      <c r="O976" s="18"/>
      <c r="P976" s="18"/>
      <c r="Q976" s="18"/>
      <c r="R976" s="18"/>
      <c r="S976" s="18"/>
      <c r="T976" s="18"/>
    </row>
    <row r="977">
      <c r="B977" s="18"/>
      <c r="C977" s="18"/>
      <c r="D977" s="18"/>
      <c r="O977" s="18"/>
      <c r="P977" s="18"/>
      <c r="Q977" s="18"/>
      <c r="R977" s="18"/>
      <c r="S977" s="18"/>
      <c r="T977" s="18"/>
    </row>
    <row r="978">
      <c r="B978" s="18"/>
      <c r="C978" s="18"/>
      <c r="D978" s="18"/>
      <c r="O978" s="18"/>
      <c r="P978" s="18"/>
      <c r="Q978" s="18"/>
      <c r="R978" s="18"/>
      <c r="S978" s="18"/>
      <c r="T978" s="18"/>
    </row>
    <row r="979">
      <c r="B979" s="18"/>
      <c r="C979" s="18"/>
      <c r="D979" s="18"/>
      <c r="O979" s="18"/>
      <c r="P979" s="18"/>
      <c r="Q979" s="18"/>
      <c r="R979" s="18"/>
      <c r="S979" s="18"/>
      <c r="T979" s="18"/>
    </row>
    <row r="980">
      <c r="B980" s="18"/>
      <c r="C980" s="18"/>
      <c r="D980" s="18"/>
      <c r="O980" s="18"/>
      <c r="P980" s="18"/>
      <c r="Q980" s="18"/>
      <c r="R980" s="18"/>
      <c r="S980" s="18"/>
      <c r="T980" s="18"/>
    </row>
    <row r="981">
      <c r="B981" s="18"/>
      <c r="C981" s="18"/>
      <c r="D981" s="18"/>
      <c r="O981" s="18"/>
      <c r="P981" s="18"/>
      <c r="Q981" s="18"/>
      <c r="R981" s="18"/>
      <c r="S981" s="18"/>
      <c r="T981" s="18"/>
    </row>
    <row r="982">
      <c r="B982" s="18"/>
      <c r="C982" s="18"/>
      <c r="D982" s="18"/>
      <c r="O982" s="18"/>
      <c r="P982" s="18"/>
      <c r="Q982" s="18"/>
      <c r="R982" s="18"/>
      <c r="S982" s="18"/>
      <c r="T982" s="18"/>
    </row>
    <row r="983">
      <c r="B983" s="18"/>
      <c r="C983" s="18"/>
      <c r="D983" s="18"/>
      <c r="O983" s="18"/>
      <c r="P983" s="18"/>
      <c r="Q983" s="18"/>
      <c r="R983" s="18"/>
      <c r="S983" s="18"/>
      <c r="T983" s="18"/>
    </row>
    <row r="984">
      <c r="B984" s="18"/>
      <c r="C984" s="18"/>
      <c r="D984" s="18"/>
      <c r="O984" s="18"/>
      <c r="P984" s="18"/>
      <c r="Q984" s="18"/>
      <c r="R984" s="18"/>
      <c r="S984" s="18"/>
      <c r="T984" s="18"/>
    </row>
    <row r="985">
      <c r="B985" s="18"/>
      <c r="C985" s="18"/>
      <c r="D985" s="18"/>
      <c r="O985" s="18"/>
      <c r="P985" s="18"/>
      <c r="Q985" s="18"/>
      <c r="R985" s="18"/>
      <c r="S985" s="18"/>
      <c r="T985" s="18"/>
    </row>
    <row r="986">
      <c r="B986" s="18"/>
      <c r="C986" s="18"/>
      <c r="D986" s="18"/>
      <c r="O986" s="18"/>
      <c r="P986" s="18"/>
      <c r="Q986" s="18"/>
      <c r="R986" s="18"/>
      <c r="S986" s="18"/>
      <c r="T986" s="18"/>
    </row>
    <row r="987">
      <c r="B987" s="18"/>
      <c r="C987" s="18"/>
      <c r="D987" s="18"/>
      <c r="O987" s="18"/>
      <c r="P987" s="18"/>
      <c r="Q987" s="18"/>
      <c r="R987" s="18"/>
      <c r="S987" s="18"/>
      <c r="T987" s="18"/>
    </row>
    <row r="988">
      <c r="B988" s="18"/>
      <c r="C988" s="18"/>
      <c r="D988" s="18"/>
      <c r="O988" s="18"/>
      <c r="P988" s="18"/>
      <c r="Q988" s="18"/>
      <c r="R988" s="18"/>
      <c r="S988" s="18"/>
      <c r="T988" s="18"/>
    </row>
    <row r="989">
      <c r="B989" s="18"/>
      <c r="C989" s="18"/>
      <c r="D989" s="18"/>
      <c r="O989" s="18"/>
      <c r="P989" s="18"/>
      <c r="Q989" s="18"/>
      <c r="R989" s="18"/>
      <c r="S989" s="18"/>
      <c r="T989" s="18"/>
    </row>
    <row r="990">
      <c r="B990" s="18"/>
      <c r="C990" s="18"/>
      <c r="D990" s="18"/>
      <c r="O990" s="18"/>
      <c r="P990" s="18"/>
      <c r="Q990" s="18"/>
      <c r="R990" s="18"/>
      <c r="S990" s="18"/>
      <c r="T990" s="18"/>
    </row>
    <row r="991">
      <c r="B991" s="18"/>
      <c r="C991" s="18"/>
      <c r="D991" s="18"/>
      <c r="O991" s="18"/>
      <c r="P991" s="18"/>
      <c r="Q991" s="18"/>
      <c r="R991" s="18"/>
      <c r="S991" s="18"/>
      <c r="T991" s="18"/>
    </row>
    <row r="992">
      <c r="B992" s="18"/>
      <c r="C992" s="18"/>
      <c r="D992" s="18"/>
      <c r="O992" s="18"/>
      <c r="P992" s="18"/>
      <c r="Q992" s="18"/>
      <c r="R992" s="18"/>
      <c r="S992" s="18"/>
      <c r="T992" s="18"/>
    </row>
    <row r="993">
      <c r="B993" s="18"/>
      <c r="C993" s="18"/>
      <c r="D993" s="18"/>
      <c r="O993" s="18"/>
      <c r="P993" s="18"/>
      <c r="Q993" s="18"/>
      <c r="R993" s="18"/>
      <c r="S993" s="18"/>
      <c r="T993" s="18"/>
    </row>
    <row r="994">
      <c r="B994" s="18"/>
      <c r="C994" s="18"/>
      <c r="D994" s="18"/>
      <c r="O994" s="18"/>
      <c r="P994" s="18"/>
      <c r="Q994" s="18"/>
      <c r="R994" s="18"/>
      <c r="S994" s="18"/>
      <c r="T994" s="18"/>
    </row>
  </sheetData>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38.25"/>
    <col customWidth="1" min="4" max="4" width="26.0"/>
  </cols>
  <sheetData>
    <row r="1">
      <c r="A1" s="54" t="s">
        <v>1000</v>
      </c>
      <c r="B1" s="55"/>
      <c r="C1" s="54" t="s">
        <v>1001</v>
      </c>
    </row>
    <row r="2">
      <c r="A2" s="56" t="s">
        <v>1002</v>
      </c>
      <c r="B2" s="56" t="s">
        <v>1003</v>
      </c>
      <c r="C2" s="56" t="s">
        <v>1004</v>
      </c>
      <c r="D2" s="57"/>
      <c r="E2" s="57"/>
      <c r="F2" s="57"/>
      <c r="G2" s="57"/>
      <c r="H2" s="57"/>
      <c r="I2" s="57"/>
      <c r="J2" s="57"/>
      <c r="K2" s="57"/>
      <c r="L2" s="57"/>
      <c r="M2" s="57"/>
      <c r="N2" s="57"/>
      <c r="O2" s="57"/>
      <c r="P2" s="57"/>
      <c r="Q2" s="57"/>
      <c r="R2" s="57"/>
      <c r="S2" s="57"/>
      <c r="T2" s="57"/>
      <c r="U2" s="57"/>
      <c r="V2" s="57"/>
      <c r="W2" s="57"/>
      <c r="X2" s="57"/>
      <c r="Y2" s="57"/>
      <c r="Z2" s="57"/>
    </row>
    <row r="3">
      <c r="A3" s="56" t="s">
        <v>1005</v>
      </c>
      <c r="B3" s="56" t="s">
        <v>1006</v>
      </c>
      <c r="C3" s="56" t="s">
        <v>1007</v>
      </c>
      <c r="D3" s="57"/>
      <c r="E3" s="57"/>
      <c r="F3" s="57"/>
      <c r="G3" s="57"/>
      <c r="H3" s="57"/>
      <c r="I3" s="57"/>
      <c r="J3" s="57"/>
      <c r="K3" s="57"/>
      <c r="L3" s="57"/>
      <c r="M3" s="57"/>
      <c r="N3" s="57"/>
      <c r="O3" s="57"/>
      <c r="P3" s="57"/>
      <c r="Q3" s="57"/>
      <c r="R3" s="57"/>
      <c r="S3" s="57"/>
      <c r="T3" s="57"/>
      <c r="U3" s="57"/>
      <c r="V3" s="57"/>
      <c r="W3" s="57"/>
      <c r="X3" s="57"/>
      <c r="Y3" s="57"/>
      <c r="Z3" s="57"/>
    </row>
    <row r="4">
      <c r="A4" s="58" t="s">
        <v>1008</v>
      </c>
      <c r="B4" s="58" t="s">
        <v>1009</v>
      </c>
      <c r="C4" s="58" t="s">
        <v>1010</v>
      </c>
      <c r="D4" s="59"/>
      <c r="E4" s="59"/>
      <c r="F4" s="59"/>
      <c r="G4" s="59"/>
      <c r="H4" s="59"/>
      <c r="I4" s="59"/>
      <c r="J4" s="59"/>
      <c r="K4" s="59"/>
      <c r="L4" s="59"/>
      <c r="M4" s="59"/>
      <c r="N4" s="59"/>
      <c r="O4" s="59"/>
      <c r="P4" s="59"/>
      <c r="Q4" s="59"/>
      <c r="R4" s="59"/>
      <c r="S4" s="59"/>
      <c r="T4" s="59"/>
      <c r="U4" s="59"/>
      <c r="V4" s="59"/>
      <c r="W4" s="59"/>
      <c r="X4" s="59"/>
      <c r="Y4" s="59"/>
      <c r="Z4" s="59"/>
    </row>
    <row r="5">
      <c r="A5" s="56" t="s">
        <v>1011</v>
      </c>
      <c r="B5" s="57"/>
      <c r="C5" s="56" t="s">
        <v>1012</v>
      </c>
      <c r="D5" s="57"/>
      <c r="E5" s="57"/>
      <c r="F5" s="57"/>
      <c r="G5" s="57"/>
      <c r="H5" s="57"/>
      <c r="I5" s="57"/>
      <c r="J5" s="57"/>
      <c r="K5" s="57"/>
      <c r="L5" s="57"/>
      <c r="M5" s="57"/>
      <c r="N5" s="57"/>
      <c r="O5" s="57"/>
      <c r="P5" s="57"/>
      <c r="Q5" s="57"/>
      <c r="R5" s="57"/>
      <c r="S5" s="57"/>
      <c r="T5" s="57"/>
      <c r="U5" s="57"/>
      <c r="V5" s="57"/>
      <c r="W5" s="57"/>
      <c r="X5" s="57"/>
      <c r="Y5" s="57"/>
      <c r="Z5" s="57"/>
    </row>
    <row r="6">
      <c r="A6" s="56" t="s">
        <v>1013</v>
      </c>
      <c r="B6" s="56" t="s">
        <v>1014</v>
      </c>
      <c r="C6" s="56" t="s">
        <v>1015</v>
      </c>
      <c r="D6" s="57"/>
      <c r="E6" s="57"/>
      <c r="F6" s="57"/>
      <c r="G6" s="57"/>
      <c r="H6" s="57"/>
      <c r="I6" s="57"/>
      <c r="J6" s="57"/>
      <c r="K6" s="57"/>
      <c r="L6" s="57"/>
      <c r="M6" s="57"/>
      <c r="N6" s="57"/>
      <c r="O6" s="57"/>
      <c r="P6" s="57"/>
      <c r="Q6" s="57"/>
      <c r="R6" s="57"/>
      <c r="S6" s="57"/>
      <c r="T6" s="57"/>
      <c r="U6" s="57"/>
      <c r="V6" s="57"/>
      <c r="W6" s="57"/>
      <c r="X6" s="57"/>
      <c r="Y6" s="57"/>
      <c r="Z6" s="57"/>
    </row>
    <row r="7">
      <c r="A7" s="58" t="s">
        <v>1013</v>
      </c>
      <c r="B7" s="58" t="s">
        <v>1016</v>
      </c>
      <c r="C7" s="58" t="s">
        <v>1017</v>
      </c>
      <c r="D7" s="59"/>
      <c r="E7" s="59"/>
      <c r="F7" s="59"/>
      <c r="G7" s="59"/>
      <c r="H7" s="59"/>
      <c r="I7" s="59"/>
      <c r="J7" s="59"/>
      <c r="K7" s="59"/>
      <c r="L7" s="59"/>
      <c r="M7" s="59"/>
      <c r="N7" s="59"/>
      <c r="O7" s="59"/>
      <c r="P7" s="59"/>
      <c r="Q7" s="59"/>
      <c r="R7" s="59"/>
      <c r="S7" s="59"/>
      <c r="T7" s="59"/>
      <c r="U7" s="59"/>
      <c r="V7" s="59"/>
      <c r="W7" s="59"/>
      <c r="X7" s="59"/>
      <c r="Y7" s="59"/>
      <c r="Z7" s="59"/>
    </row>
    <row r="8">
      <c r="A8" s="58" t="s">
        <v>1018</v>
      </c>
      <c r="B8" s="58" t="s">
        <v>1019</v>
      </c>
      <c r="C8" s="58" t="s">
        <v>1017</v>
      </c>
      <c r="D8" s="58" t="s">
        <v>1020</v>
      </c>
      <c r="E8" s="59"/>
      <c r="F8" s="59"/>
      <c r="G8" s="59"/>
      <c r="H8" s="59"/>
      <c r="I8" s="59"/>
      <c r="J8" s="59"/>
      <c r="K8" s="59"/>
      <c r="L8" s="59"/>
      <c r="M8" s="59"/>
      <c r="N8" s="59"/>
      <c r="O8" s="59"/>
      <c r="P8" s="59"/>
      <c r="Q8" s="59"/>
      <c r="R8" s="59"/>
      <c r="S8" s="59"/>
      <c r="T8" s="59"/>
      <c r="U8" s="59"/>
      <c r="V8" s="59"/>
      <c r="W8" s="59"/>
      <c r="X8" s="59"/>
      <c r="Y8" s="59"/>
      <c r="Z8" s="59"/>
    </row>
    <row r="9">
      <c r="A9" s="58" t="s">
        <v>1021</v>
      </c>
      <c r="B9" s="58" t="s">
        <v>1022</v>
      </c>
      <c r="C9" s="58" t="s">
        <v>1023</v>
      </c>
      <c r="D9" s="59"/>
      <c r="E9" s="59"/>
      <c r="F9" s="59"/>
      <c r="G9" s="59"/>
      <c r="H9" s="59"/>
      <c r="I9" s="59"/>
      <c r="J9" s="59"/>
      <c r="K9" s="59"/>
      <c r="L9" s="59"/>
      <c r="M9" s="59"/>
      <c r="N9" s="59"/>
      <c r="O9" s="59"/>
      <c r="P9" s="59"/>
      <c r="Q9" s="59"/>
      <c r="R9" s="59"/>
      <c r="S9" s="59"/>
      <c r="T9" s="59"/>
      <c r="U9" s="59"/>
      <c r="V9" s="59"/>
      <c r="W9" s="59"/>
      <c r="X9" s="59"/>
      <c r="Y9" s="59"/>
      <c r="Z9" s="59"/>
    </row>
    <row r="10">
      <c r="A10" s="58" t="s">
        <v>20</v>
      </c>
      <c r="B10" s="58" t="s">
        <v>1022</v>
      </c>
      <c r="C10" s="58" t="s">
        <v>1023</v>
      </c>
      <c r="D10" s="59"/>
      <c r="E10" s="59"/>
      <c r="F10" s="59"/>
      <c r="G10" s="59"/>
      <c r="H10" s="59"/>
      <c r="I10" s="59"/>
      <c r="J10" s="59"/>
      <c r="K10" s="59"/>
      <c r="L10" s="59"/>
      <c r="M10" s="59"/>
      <c r="N10" s="59"/>
      <c r="O10" s="59"/>
      <c r="P10" s="59"/>
      <c r="Q10" s="59"/>
      <c r="R10" s="59"/>
      <c r="S10" s="59"/>
      <c r="T10" s="59"/>
      <c r="U10" s="59"/>
      <c r="V10" s="59"/>
      <c r="W10" s="59"/>
      <c r="X10" s="59"/>
      <c r="Y10" s="59"/>
      <c r="Z10" s="59"/>
    </row>
    <row r="11">
      <c r="A11" s="58" t="s">
        <v>21</v>
      </c>
      <c r="B11" s="58" t="s">
        <v>1022</v>
      </c>
      <c r="C11" s="58" t="s">
        <v>1023</v>
      </c>
      <c r="D11" s="59"/>
      <c r="E11" s="59"/>
      <c r="F11" s="59"/>
      <c r="G11" s="59"/>
      <c r="H11" s="59"/>
      <c r="I11" s="59"/>
      <c r="J11" s="59"/>
      <c r="K11" s="59"/>
      <c r="L11" s="59"/>
      <c r="M11" s="59"/>
      <c r="N11" s="59"/>
      <c r="O11" s="59"/>
      <c r="P11" s="59"/>
      <c r="Q11" s="59"/>
      <c r="R11" s="59"/>
      <c r="S11" s="59"/>
      <c r="T11" s="59"/>
      <c r="U11" s="59"/>
      <c r="V11" s="59"/>
      <c r="W11" s="59"/>
      <c r="X11" s="59"/>
      <c r="Y11" s="59"/>
      <c r="Z11" s="59"/>
    </row>
    <row r="12">
      <c r="A12" s="59" t="s">
        <v>7</v>
      </c>
      <c r="B12" s="59" t="s">
        <v>8</v>
      </c>
      <c r="C12" s="58" t="s">
        <v>1024</v>
      </c>
      <c r="D12" s="59"/>
      <c r="E12" s="59"/>
      <c r="F12" s="59"/>
      <c r="G12" s="59"/>
      <c r="H12" s="59"/>
      <c r="I12" s="59"/>
      <c r="J12" s="59"/>
      <c r="K12" s="59"/>
      <c r="L12" s="59"/>
      <c r="M12" s="59"/>
      <c r="N12" s="59"/>
      <c r="O12" s="59"/>
      <c r="P12" s="59"/>
      <c r="Q12" s="59"/>
      <c r="R12" s="59"/>
      <c r="S12" s="59"/>
      <c r="T12" s="59"/>
      <c r="U12" s="59"/>
      <c r="V12" s="59"/>
      <c r="W12" s="59"/>
      <c r="X12" s="59"/>
      <c r="Y12" s="59"/>
      <c r="Z12" s="59"/>
    </row>
    <row r="13">
      <c r="A13" s="1"/>
      <c r="B13" s="1"/>
      <c r="C13" s="1"/>
    </row>
    <row r="14">
      <c r="A14" s="1"/>
      <c r="B14" s="1"/>
      <c r="C14" s="1"/>
    </row>
    <row r="15">
      <c r="A15" s="1"/>
      <c r="B15" s="1"/>
      <c r="C15"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5.75"/>
    <col customWidth="1" min="3" max="3" width="57.88"/>
    <col customWidth="1" min="4" max="4" width="53.5"/>
    <col customWidth="1" min="5" max="5" width="19.0"/>
  </cols>
  <sheetData>
    <row r="1">
      <c r="A1" s="60" t="s">
        <v>1000</v>
      </c>
      <c r="B1" s="60" t="s">
        <v>1025</v>
      </c>
      <c r="C1" s="61" t="s">
        <v>1026</v>
      </c>
      <c r="D1" s="62" t="s">
        <v>1027</v>
      </c>
    </row>
    <row r="2">
      <c r="A2" s="60" t="s">
        <v>53</v>
      </c>
      <c r="B2" s="63" t="s">
        <v>1028</v>
      </c>
      <c r="C2" s="64" t="s">
        <v>1029</v>
      </c>
      <c r="D2" s="65" t="s">
        <v>1030</v>
      </c>
    </row>
    <row r="3">
      <c r="A3" s="60" t="s">
        <v>1031</v>
      </c>
      <c r="B3" s="63" t="s">
        <v>1032</v>
      </c>
      <c r="C3" s="66" t="s">
        <v>1033</v>
      </c>
      <c r="D3" s="65" t="s">
        <v>1034</v>
      </c>
    </row>
    <row r="4">
      <c r="A4" s="60" t="s">
        <v>1035</v>
      </c>
      <c r="B4" s="63" t="s">
        <v>1036</v>
      </c>
      <c r="C4" s="67"/>
      <c r="D4" s="65" t="s">
        <v>1037</v>
      </c>
    </row>
    <row r="5">
      <c r="A5" s="60" t="s">
        <v>1038</v>
      </c>
      <c r="B5" s="63" t="s">
        <v>24</v>
      </c>
      <c r="C5" s="64" t="s">
        <v>1039</v>
      </c>
      <c r="D5" s="65" t="s">
        <v>1040</v>
      </c>
    </row>
    <row r="6">
      <c r="A6" s="60" t="s">
        <v>1041</v>
      </c>
      <c r="B6" s="63" t="s">
        <v>1042</v>
      </c>
      <c r="C6" s="64" t="s">
        <v>1043</v>
      </c>
      <c r="D6" s="65" t="s">
        <v>1044</v>
      </c>
    </row>
    <row r="7">
      <c r="A7" s="68" t="s">
        <v>1045</v>
      </c>
      <c r="B7" s="63" t="s">
        <v>1046</v>
      </c>
      <c r="C7" s="64" t="s">
        <v>1047</v>
      </c>
      <c r="D7" s="65" t="s">
        <v>1048</v>
      </c>
    </row>
    <row r="8">
      <c r="A8" s="60" t="s">
        <v>1049</v>
      </c>
      <c r="B8" s="63" t="s">
        <v>1050</v>
      </c>
      <c r="C8" s="67"/>
      <c r="D8" s="65" t="s">
        <v>1051</v>
      </c>
    </row>
    <row r="9">
      <c r="A9" s="60" t="s">
        <v>1052</v>
      </c>
      <c r="B9" s="63" t="s">
        <v>39</v>
      </c>
      <c r="C9" s="64"/>
      <c r="D9" s="65" t="s">
        <v>1053</v>
      </c>
    </row>
    <row r="10">
      <c r="B10" s="8" t="s">
        <v>1008</v>
      </c>
      <c r="C10" s="69"/>
      <c r="D10" s="70" t="s">
        <v>1054</v>
      </c>
    </row>
    <row r="11">
      <c r="C11" s="69"/>
      <c r="D11" s="71"/>
    </row>
    <row r="12">
      <c r="C12" s="69"/>
      <c r="D12" s="71"/>
    </row>
    <row r="13">
      <c r="C13" s="69"/>
      <c r="D13" s="71"/>
    </row>
    <row r="14">
      <c r="C14" s="69"/>
      <c r="D14" s="71"/>
    </row>
    <row r="15">
      <c r="C15" s="69"/>
      <c r="D15" s="71"/>
    </row>
    <row r="16">
      <c r="C16" s="69"/>
      <c r="D16" s="71"/>
    </row>
    <row r="17">
      <c r="C17" s="69"/>
      <c r="D17" s="71"/>
    </row>
    <row r="18">
      <c r="C18" s="69"/>
      <c r="D18" s="71"/>
    </row>
    <row r="19">
      <c r="C19" s="69"/>
      <c r="D19" s="71"/>
    </row>
    <row r="20">
      <c r="C20" s="69"/>
      <c r="D20" s="71"/>
    </row>
    <row r="21">
      <c r="C21" s="69"/>
      <c r="D21" s="71"/>
    </row>
    <row r="22">
      <c r="C22" s="69"/>
      <c r="D22" s="71"/>
    </row>
    <row r="23">
      <c r="C23" s="69"/>
      <c r="D23" s="71"/>
    </row>
    <row r="24">
      <c r="C24" s="69"/>
      <c r="D24" s="71"/>
    </row>
    <row r="25">
      <c r="C25" s="69"/>
      <c r="D25" s="71"/>
    </row>
    <row r="26">
      <c r="C26" s="69"/>
      <c r="D26" s="71"/>
    </row>
    <row r="27">
      <c r="C27" s="69"/>
      <c r="D27" s="71"/>
    </row>
    <row r="28">
      <c r="C28" s="69"/>
      <c r="D28" s="71"/>
    </row>
    <row r="29">
      <c r="C29" s="69"/>
      <c r="D29" s="71"/>
    </row>
    <row r="30">
      <c r="C30" s="69"/>
      <c r="D30" s="71"/>
    </row>
    <row r="31">
      <c r="C31" s="69"/>
      <c r="D31" s="71"/>
    </row>
    <row r="32">
      <c r="C32" s="69"/>
      <c r="D32" s="71"/>
    </row>
    <row r="33">
      <c r="C33" s="69"/>
      <c r="D33" s="71"/>
    </row>
    <row r="34">
      <c r="C34" s="69"/>
      <c r="D34" s="71"/>
    </row>
    <row r="35">
      <c r="C35" s="69"/>
      <c r="D35" s="71"/>
    </row>
    <row r="36">
      <c r="C36" s="69"/>
      <c r="D36" s="71"/>
    </row>
    <row r="37">
      <c r="C37" s="69"/>
      <c r="D37" s="71"/>
    </row>
    <row r="38">
      <c r="C38" s="69"/>
      <c r="D38" s="71"/>
    </row>
    <row r="39">
      <c r="C39" s="69"/>
      <c r="D39" s="71"/>
    </row>
    <row r="40">
      <c r="C40" s="69"/>
      <c r="D40" s="71"/>
    </row>
    <row r="41">
      <c r="C41" s="69"/>
      <c r="D41" s="71"/>
    </row>
    <row r="42">
      <c r="C42" s="69"/>
      <c r="D42" s="71"/>
    </row>
    <row r="43">
      <c r="C43" s="69"/>
      <c r="D43" s="71"/>
    </row>
    <row r="44">
      <c r="C44" s="69"/>
      <c r="D44" s="71"/>
    </row>
    <row r="45">
      <c r="C45" s="69"/>
      <c r="D45" s="71"/>
    </row>
    <row r="46">
      <c r="C46" s="69"/>
      <c r="D46" s="71"/>
    </row>
    <row r="47">
      <c r="C47" s="69"/>
      <c r="D47" s="71"/>
    </row>
    <row r="48">
      <c r="C48" s="69"/>
      <c r="D48" s="71"/>
    </row>
    <row r="49">
      <c r="C49" s="69"/>
      <c r="D49" s="71"/>
    </row>
    <row r="50">
      <c r="C50" s="69"/>
      <c r="D50" s="71"/>
    </row>
    <row r="51">
      <c r="C51" s="69"/>
      <c r="D51" s="71"/>
    </row>
    <row r="52">
      <c r="C52" s="69"/>
      <c r="D52" s="71"/>
    </row>
    <row r="53">
      <c r="C53" s="69"/>
      <c r="D53" s="71"/>
    </row>
    <row r="54">
      <c r="C54" s="69"/>
      <c r="D54" s="71"/>
    </row>
    <row r="55">
      <c r="C55" s="69"/>
      <c r="D55" s="71"/>
    </row>
    <row r="56">
      <c r="C56" s="69"/>
      <c r="D56" s="71"/>
    </row>
    <row r="57">
      <c r="C57" s="69"/>
      <c r="D57" s="71"/>
    </row>
    <row r="58">
      <c r="C58" s="69"/>
      <c r="D58" s="71"/>
    </row>
    <row r="59">
      <c r="C59" s="69"/>
      <c r="D59" s="71"/>
    </row>
    <row r="60">
      <c r="C60" s="69"/>
      <c r="D60" s="71"/>
    </row>
    <row r="61">
      <c r="C61" s="69"/>
      <c r="D61" s="71"/>
    </row>
    <row r="62">
      <c r="C62" s="69"/>
      <c r="D62" s="71"/>
    </row>
    <row r="63">
      <c r="C63" s="69"/>
      <c r="D63" s="71"/>
    </row>
    <row r="64">
      <c r="C64" s="69"/>
      <c r="D64" s="71"/>
    </row>
    <row r="65">
      <c r="C65" s="69"/>
      <c r="D65" s="71"/>
    </row>
    <row r="66">
      <c r="C66" s="69"/>
      <c r="D66" s="71"/>
    </row>
    <row r="67">
      <c r="C67" s="69"/>
      <c r="D67" s="71"/>
    </row>
    <row r="68">
      <c r="C68" s="69"/>
      <c r="D68" s="71"/>
    </row>
    <row r="69">
      <c r="C69" s="69"/>
      <c r="D69" s="71"/>
    </row>
    <row r="70">
      <c r="C70" s="69"/>
      <c r="D70" s="71"/>
    </row>
    <row r="71">
      <c r="C71" s="69"/>
      <c r="D71" s="71"/>
    </row>
    <row r="72">
      <c r="C72" s="69"/>
      <c r="D72" s="71"/>
    </row>
    <row r="73">
      <c r="C73" s="69"/>
      <c r="D73" s="71"/>
    </row>
    <row r="74">
      <c r="C74" s="69"/>
      <c r="D74" s="71"/>
    </row>
    <row r="75">
      <c r="C75" s="69"/>
      <c r="D75" s="71"/>
    </row>
    <row r="76">
      <c r="C76" s="69"/>
      <c r="D76" s="71"/>
    </row>
    <row r="77">
      <c r="C77" s="69"/>
      <c r="D77" s="71"/>
    </row>
    <row r="78">
      <c r="C78" s="69"/>
      <c r="D78" s="71"/>
    </row>
    <row r="79">
      <c r="C79" s="69"/>
      <c r="D79" s="71"/>
    </row>
    <row r="80">
      <c r="C80" s="69"/>
      <c r="D80" s="71"/>
    </row>
    <row r="81">
      <c r="C81" s="69"/>
      <c r="D81" s="71"/>
    </row>
    <row r="82">
      <c r="C82" s="69"/>
      <c r="D82" s="71"/>
    </row>
    <row r="83">
      <c r="C83" s="69"/>
      <c r="D83" s="71"/>
    </row>
    <row r="84">
      <c r="C84" s="69"/>
      <c r="D84" s="71"/>
    </row>
    <row r="85">
      <c r="C85" s="69"/>
      <c r="D85" s="71"/>
    </row>
    <row r="86">
      <c r="C86" s="69"/>
      <c r="D86" s="71"/>
    </row>
    <row r="87">
      <c r="C87" s="69"/>
      <c r="D87" s="71"/>
    </row>
    <row r="88">
      <c r="C88" s="69"/>
      <c r="D88" s="71"/>
    </row>
    <row r="89">
      <c r="C89" s="69"/>
      <c r="D89" s="71"/>
    </row>
    <row r="90">
      <c r="C90" s="69"/>
      <c r="D90" s="71"/>
    </row>
    <row r="91">
      <c r="C91" s="69"/>
      <c r="D91" s="71"/>
    </row>
    <row r="92">
      <c r="C92" s="69"/>
      <c r="D92" s="71"/>
    </row>
    <row r="93">
      <c r="C93" s="69"/>
      <c r="D93" s="71"/>
    </row>
    <row r="94">
      <c r="C94" s="69"/>
      <c r="D94" s="71"/>
    </row>
    <row r="95">
      <c r="C95" s="69"/>
      <c r="D95" s="71"/>
    </row>
    <row r="96">
      <c r="C96" s="69"/>
      <c r="D96" s="71"/>
    </row>
    <row r="97">
      <c r="C97" s="69"/>
      <c r="D97" s="71"/>
    </row>
    <row r="98">
      <c r="C98" s="69"/>
      <c r="D98" s="71"/>
    </row>
    <row r="99">
      <c r="C99" s="69"/>
      <c r="D99" s="71"/>
    </row>
    <row r="100">
      <c r="C100" s="69"/>
      <c r="D100" s="71"/>
    </row>
    <row r="101">
      <c r="C101" s="69"/>
      <c r="D101" s="71"/>
    </row>
    <row r="102">
      <c r="C102" s="69"/>
      <c r="D102" s="71"/>
    </row>
    <row r="103">
      <c r="C103" s="69"/>
      <c r="D103" s="71"/>
    </row>
    <row r="104">
      <c r="C104" s="69"/>
      <c r="D104" s="71"/>
    </row>
    <row r="105">
      <c r="C105" s="69"/>
      <c r="D105" s="71"/>
    </row>
    <row r="106">
      <c r="C106" s="69"/>
      <c r="D106" s="71"/>
    </row>
    <row r="107">
      <c r="C107" s="69"/>
      <c r="D107" s="71"/>
    </row>
    <row r="108">
      <c r="C108" s="69"/>
      <c r="D108" s="71"/>
    </row>
    <row r="109">
      <c r="C109" s="69"/>
      <c r="D109" s="71"/>
    </row>
    <row r="110">
      <c r="C110" s="69"/>
      <c r="D110" s="71"/>
    </row>
    <row r="111">
      <c r="C111" s="69"/>
      <c r="D111" s="71"/>
    </row>
    <row r="112">
      <c r="C112" s="69"/>
      <c r="D112" s="71"/>
    </row>
    <row r="113">
      <c r="C113" s="69"/>
      <c r="D113" s="71"/>
    </row>
    <row r="114">
      <c r="C114" s="69"/>
      <c r="D114" s="71"/>
    </row>
    <row r="115">
      <c r="C115" s="69"/>
      <c r="D115" s="71"/>
    </row>
    <row r="116">
      <c r="C116" s="69"/>
      <c r="D116" s="71"/>
    </row>
    <row r="117">
      <c r="C117" s="69"/>
      <c r="D117" s="71"/>
    </row>
    <row r="118">
      <c r="C118" s="69"/>
      <c r="D118" s="71"/>
    </row>
    <row r="119">
      <c r="C119" s="69"/>
      <c r="D119" s="71"/>
    </row>
    <row r="120">
      <c r="C120" s="69"/>
      <c r="D120" s="71"/>
    </row>
    <row r="121">
      <c r="C121" s="69"/>
      <c r="D121" s="71"/>
    </row>
    <row r="122">
      <c r="C122" s="69"/>
      <c r="D122" s="71"/>
    </row>
    <row r="123">
      <c r="C123" s="69"/>
      <c r="D123" s="71"/>
    </row>
    <row r="124">
      <c r="C124" s="69"/>
      <c r="D124" s="71"/>
    </row>
    <row r="125">
      <c r="C125" s="69"/>
      <c r="D125" s="71"/>
    </row>
    <row r="126">
      <c r="C126" s="69"/>
      <c r="D126" s="71"/>
    </row>
    <row r="127">
      <c r="C127" s="69"/>
      <c r="D127" s="71"/>
    </row>
    <row r="128">
      <c r="C128" s="69"/>
      <c r="D128" s="71"/>
    </row>
    <row r="129">
      <c r="C129" s="69"/>
      <c r="D129" s="71"/>
    </row>
    <row r="130">
      <c r="C130" s="69"/>
      <c r="D130" s="71"/>
    </row>
    <row r="131">
      <c r="C131" s="69"/>
      <c r="D131" s="71"/>
    </row>
    <row r="132">
      <c r="C132" s="69"/>
      <c r="D132" s="71"/>
    </row>
    <row r="133">
      <c r="C133" s="69"/>
      <c r="D133" s="71"/>
    </row>
    <row r="134">
      <c r="C134" s="69"/>
      <c r="D134" s="71"/>
    </row>
    <row r="135">
      <c r="C135" s="69"/>
      <c r="D135" s="71"/>
    </row>
    <row r="136">
      <c r="C136" s="69"/>
      <c r="D136" s="71"/>
    </row>
    <row r="137">
      <c r="C137" s="69"/>
      <c r="D137" s="71"/>
    </row>
    <row r="138">
      <c r="C138" s="69"/>
      <c r="D138" s="71"/>
    </row>
    <row r="139">
      <c r="C139" s="69"/>
      <c r="D139" s="71"/>
    </row>
    <row r="140">
      <c r="C140" s="69"/>
      <c r="D140" s="71"/>
    </row>
    <row r="141">
      <c r="C141" s="69"/>
      <c r="D141" s="71"/>
    </row>
    <row r="142">
      <c r="C142" s="69"/>
      <c r="D142" s="71"/>
    </row>
    <row r="143">
      <c r="C143" s="69"/>
      <c r="D143" s="71"/>
    </row>
    <row r="144">
      <c r="C144" s="69"/>
      <c r="D144" s="71"/>
    </row>
    <row r="145">
      <c r="C145" s="69"/>
      <c r="D145" s="71"/>
    </row>
    <row r="146">
      <c r="C146" s="69"/>
      <c r="D146" s="71"/>
    </row>
    <row r="147">
      <c r="C147" s="69"/>
      <c r="D147" s="71"/>
    </row>
    <row r="148">
      <c r="C148" s="69"/>
      <c r="D148" s="71"/>
    </row>
    <row r="149">
      <c r="C149" s="69"/>
      <c r="D149" s="71"/>
    </row>
    <row r="150">
      <c r="C150" s="69"/>
      <c r="D150" s="71"/>
    </row>
    <row r="151">
      <c r="C151" s="69"/>
      <c r="D151" s="71"/>
    </row>
    <row r="152">
      <c r="C152" s="69"/>
      <c r="D152" s="71"/>
    </row>
    <row r="153">
      <c r="C153" s="69"/>
      <c r="D153" s="71"/>
    </row>
    <row r="154">
      <c r="C154" s="69"/>
      <c r="D154" s="71"/>
    </row>
    <row r="155">
      <c r="C155" s="69"/>
      <c r="D155" s="71"/>
    </row>
    <row r="156">
      <c r="C156" s="69"/>
      <c r="D156" s="71"/>
    </row>
    <row r="157">
      <c r="C157" s="69"/>
      <c r="D157" s="71"/>
    </row>
    <row r="158">
      <c r="C158" s="69"/>
      <c r="D158" s="71"/>
    </row>
    <row r="159">
      <c r="C159" s="69"/>
      <c r="D159" s="71"/>
    </row>
    <row r="160">
      <c r="C160" s="69"/>
      <c r="D160" s="71"/>
    </row>
    <row r="161">
      <c r="C161" s="69"/>
      <c r="D161" s="71"/>
    </row>
    <row r="162">
      <c r="C162" s="69"/>
      <c r="D162" s="71"/>
    </row>
    <row r="163">
      <c r="C163" s="69"/>
      <c r="D163" s="71"/>
    </row>
    <row r="164">
      <c r="C164" s="69"/>
      <c r="D164" s="71"/>
    </row>
    <row r="165">
      <c r="C165" s="69"/>
      <c r="D165" s="71"/>
    </row>
    <row r="166">
      <c r="C166" s="69"/>
      <c r="D166" s="71"/>
    </row>
    <row r="167">
      <c r="C167" s="69"/>
      <c r="D167" s="71"/>
    </row>
    <row r="168">
      <c r="C168" s="69"/>
      <c r="D168" s="71"/>
    </row>
    <row r="169">
      <c r="C169" s="69"/>
      <c r="D169" s="71"/>
    </row>
    <row r="170">
      <c r="C170" s="69"/>
      <c r="D170" s="71"/>
    </row>
    <row r="171">
      <c r="C171" s="69"/>
      <c r="D171" s="71"/>
    </row>
    <row r="172">
      <c r="C172" s="69"/>
      <c r="D172" s="71"/>
    </row>
    <row r="173">
      <c r="C173" s="69"/>
      <c r="D173" s="71"/>
    </row>
    <row r="174">
      <c r="C174" s="69"/>
      <c r="D174" s="71"/>
    </row>
    <row r="175">
      <c r="C175" s="69"/>
      <c r="D175" s="71"/>
    </row>
    <row r="176">
      <c r="C176" s="69"/>
      <c r="D176" s="71"/>
    </row>
    <row r="177">
      <c r="C177" s="69"/>
      <c r="D177" s="71"/>
    </row>
    <row r="178">
      <c r="C178" s="69"/>
      <c r="D178" s="71"/>
    </row>
    <row r="179">
      <c r="C179" s="69"/>
      <c r="D179" s="71"/>
    </row>
    <row r="180">
      <c r="C180" s="69"/>
      <c r="D180" s="71"/>
    </row>
    <row r="181">
      <c r="C181" s="69"/>
      <c r="D181" s="71"/>
    </row>
    <row r="182">
      <c r="C182" s="69"/>
      <c r="D182" s="71"/>
    </row>
    <row r="183">
      <c r="C183" s="69"/>
      <c r="D183" s="71"/>
    </row>
    <row r="184">
      <c r="C184" s="69"/>
      <c r="D184" s="71"/>
    </row>
    <row r="185">
      <c r="C185" s="69"/>
      <c r="D185" s="71"/>
    </row>
    <row r="186">
      <c r="C186" s="69"/>
      <c r="D186" s="71"/>
    </row>
    <row r="187">
      <c r="C187" s="69"/>
      <c r="D187" s="71"/>
    </row>
    <row r="188">
      <c r="C188" s="69"/>
      <c r="D188" s="71"/>
    </row>
    <row r="189">
      <c r="C189" s="69"/>
      <c r="D189" s="71"/>
    </row>
    <row r="190">
      <c r="C190" s="69"/>
      <c r="D190" s="71"/>
    </row>
    <row r="191">
      <c r="C191" s="69"/>
      <c r="D191" s="71"/>
    </row>
    <row r="192">
      <c r="C192" s="69"/>
      <c r="D192" s="71"/>
    </row>
    <row r="193">
      <c r="C193" s="69"/>
      <c r="D193" s="71"/>
    </row>
    <row r="194">
      <c r="C194" s="69"/>
      <c r="D194" s="71"/>
    </row>
    <row r="195">
      <c r="C195" s="69"/>
      <c r="D195" s="71"/>
    </row>
    <row r="196">
      <c r="C196" s="69"/>
      <c r="D196" s="71"/>
    </row>
    <row r="197">
      <c r="C197" s="69"/>
      <c r="D197" s="71"/>
    </row>
    <row r="198">
      <c r="C198" s="69"/>
      <c r="D198" s="71"/>
    </row>
    <row r="199">
      <c r="C199" s="69"/>
      <c r="D199" s="71"/>
    </row>
    <row r="200">
      <c r="C200" s="69"/>
      <c r="D200" s="71"/>
    </row>
    <row r="201">
      <c r="C201" s="69"/>
      <c r="D201" s="71"/>
    </row>
    <row r="202">
      <c r="C202" s="69"/>
      <c r="D202" s="71"/>
    </row>
    <row r="203">
      <c r="C203" s="69"/>
      <c r="D203" s="71"/>
    </row>
    <row r="204">
      <c r="C204" s="69"/>
      <c r="D204" s="71"/>
    </row>
    <row r="205">
      <c r="C205" s="69"/>
      <c r="D205" s="71"/>
    </row>
    <row r="206">
      <c r="C206" s="69"/>
      <c r="D206" s="71"/>
    </row>
    <row r="207">
      <c r="C207" s="69"/>
      <c r="D207" s="71"/>
    </row>
    <row r="208">
      <c r="C208" s="69"/>
      <c r="D208" s="71"/>
    </row>
    <row r="209">
      <c r="C209" s="69"/>
      <c r="D209" s="71"/>
    </row>
    <row r="210">
      <c r="C210" s="69"/>
      <c r="D210" s="71"/>
    </row>
    <row r="211">
      <c r="C211" s="69"/>
      <c r="D211" s="71"/>
    </row>
    <row r="212">
      <c r="C212" s="69"/>
      <c r="D212" s="71"/>
    </row>
    <row r="213">
      <c r="C213" s="69"/>
      <c r="D213" s="71"/>
    </row>
    <row r="214">
      <c r="C214" s="69"/>
      <c r="D214" s="71"/>
    </row>
    <row r="215">
      <c r="C215" s="69"/>
      <c r="D215" s="71"/>
    </row>
    <row r="216">
      <c r="C216" s="69"/>
      <c r="D216" s="71"/>
    </row>
    <row r="217">
      <c r="C217" s="69"/>
      <c r="D217" s="71"/>
    </row>
    <row r="218">
      <c r="C218" s="69"/>
      <c r="D218" s="71"/>
    </row>
    <row r="219">
      <c r="C219" s="69"/>
      <c r="D219" s="71"/>
    </row>
    <row r="220">
      <c r="C220" s="69"/>
      <c r="D220" s="71"/>
    </row>
    <row r="221">
      <c r="C221" s="69"/>
      <c r="D221" s="71"/>
    </row>
    <row r="222">
      <c r="C222" s="69"/>
      <c r="D222" s="71"/>
    </row>
    <row r="223">
      <c r="C223" s="69"/>
      <c r="D223" s="71"/>
    </row>
    <row r="224">
      <c r="C224" s="69"/>
      <c r="D224" s="71"/>
    </row>
    <row r="225">
      <c r="C225" s="69"/>
      <c r="D225" s="71"/>
    </row>
    <row r="226">
      <c r="C226" s="69"/>
      <c r="D226" s="71"/>
    </row>
    <row r="227">
      <c r="C227" s="69"/>
      <c r="D227" s="71"/>
    </row>
    <row r="228">
      <c r="C228" s="69"/>
      <c r="D228" s="71"/>
    </row>
    <row r="229">
      <c r="C229" s="69"/>
      <c r="D229" s="71"/>
    </row>
    <row r="230">
      <c r="C230" s="69"/>
      <c r="D230" s="71"/>
    </row>
    <row r="231">
      <c r="C231" s="69"/>
      <c r="D231" s="71"/>
    </row>
    <row r="232">
      <c r="C232" s="69"/>
      <c r="D232" s="71"/>
    </row>
    <row r="233">
      <c r="C233" s="69"/>
      <c r="D233" s="71"/>
    </row>
    <row r="234">
      <c r="C234" s="69"/>
      <c r="D234" s="71"/>
    </row>
    <row r="235">
      <c r="C235" s="69"/>
      <c r="D235" s="71"/>
    </row>
    <row r="236">
      <c r="C236" s="69"/>
      <c r="D236" s="71"/>
    </row>
    <row r="237">
      <c r="C237" s="69"/>
      <c r="D237" s="71"/>
    </row>
    <row r="238">
      <c r="C238" s="69"/>
      <c r="D238" s="71"/>
    </row>
    <row r="239">
      <c r="C239" s="69"/>
      <c r="D239" s="71"/>
    </row>
    <row r="240">
      <c r="C240" s="69"/>
      <c r="D240" s="71"/>
    </row>
    <row r="241">
      <c r="C241" s="69"/>
      <c r="D241" s="71"/>
    </row>
    <row r="242">
      <c r="C242" s="69"/>
      <c r="D242" s="71"/>
    </row>
    <row r="243">
      <c r="C243" s="69"/>
      <c r="D243" s="71"/>
    </row>
    <row r="244">
      <c r="C244" s="69"/>
      <c r="D244" s="71"/>
    </row>
    <row r="245">
      <c r="C245" s="69"/>
      <c r="D245" s="71"/>
    </row>
    <row r="246">
      <c r="C246" s="69"/>
      <c r="D246" s="71"/>
    </row>
    <row r="247">
      <c r="C247" s="69"/>
      <c r="D247" s="71"/>
    </row>
    <row r="248">
      <c r="C248" s="69"/>
      <c r="D248" s="71"/>
    </row>
    <row r="249">
      <c r="C249" s="69"/>
      <c r="D249" s="71"/>
    </row>
    <row r="250">
      <c r="C250" s="69"/>
      <c r="D250" s="71"/>
    </row>
    <row r="251">
      <c r="C251" s="69"/>
      <c r="D251" s="71"/>
    </row>
    <row r="252">
      <c r="C252" s="69"/>
      <c r="D252" s="71"/>
    </row>
    <row r="253">
      <c r="C253" s="69"/>
      <c r="D253" s="71"/>
    </row>
    <row r="254">
      <c r="C254" s="69"/>
      <c r="D254" s="71"/>
    </row>
    <row r="255">
      <c r="C255" s="69"/>
      <c r="D255" s="71"/>
    </row>
    <row r="256">
      <c r="C256" s="69"/>
      <c r="D256" s="71"/>
    </row>
    <row r="257">
      <c r="C257" s="69"/>
      <c r="D257" s="71"/>
    </row>
    <row r="258">
      <c r="C258" s="69"/>
      <c r="D258" s="71"/>
    </row>
    <row r="259">
      <c r="C259" s="69"/>
      <c r="D259" s="71"/>
    </row>
    <row r="260">
      <c r="C260" s="69"/>
      <c r="D260" s="71"/>
    </row>
    <row r="261">
      <c r="C261" s="69"/>
      <c r="D261" s="71"/>
    </row>
    <row r="262">
      <c r="C262" s="69"/>
      <c r="D262" s="71"/>
    </row>
    <row r="263">
      <c r="C263" s="69"/>
      <c r="D263" s="71"/>
    </row>
    <row r="264">
      <c r="C264" s="69"/>
      <c r="D264" s="71"/>
    </row>
    <row r="265">
      <c r="C265" s="69"/>
      <c r="D265" s="71"/>
    </row>
    <row r="266">
      <c r="C266" s="69"/>
      <c r="D266" s="71"/>
    </row>
    <row r="267">
      <c r="C267" s="69"/>
      <c r="D267" s="71"/>
    </row>
    <row r="268">
      <c r="C268" s="69"/>
      <c r="D268" s="71"/>
    </row>
    <row r="269">
      <c r="C269" s="69"/>
      <c r="D269" s="71"/>
    </row>
    <row r="270">
      <c r="C270" s="69"/>
      <c r="D270" s="71"/>
    </row>
    <row r="271">
      <c r="C271" s="69"/>
      <c r="D271" s="71"/>
    </row>
    <row r="272">
      <c r="C272" s="69"/>
      <c r="D272" s="71"/>
    </row>
    <row r="273">
      <c r="C273" s="69"/>
      <c r="D273" s="71"/>
    </row>
    <row r="274">
      <c r="C274" s="69"/>
      <c r="D274" s="71"/>
    </row>
    <row r="275">
      <c r="C275" s="69"/>
      <c r="D275" s="71"/>
    </row>
    <row r="276">
      <c r="C276" s="69"/>
      <c r="D276" s="71"/>
    </row>
    <row r="277">
      <c r="C277" s="69"/>
      <c r="D277" s="71"/>
    </row>
    <row r="278">
      <c r="C278" s="69"/>
      <c r="D278" s="71"/>
    </row>
    <row r="279">
      <c r="C279" s="69"/>
      <c r="D279" s="71"/>
    </row>
    <row r="280">
      <c r="C280" s="69"/>
      <c r="D280" s="71"/>
    </row>
    <row r="281">
      <c r="C281" s="69"/>
      <c r="D281" s="71"/>
    </row>
    <row r="282">
      <c r="C282" s="69"/>
      <c r="D282" s="71"/>
    </row>
    <row r="283">
      <c r="C283" s="69"/>
      <c r="D283" s="71"/>
    </row>
    <row r="284">
      <c r="C284" s="69"/>
      <c r="D284" s="71"/>
    </row>
    <row r="285">
      <c r="C285" s="69"/>
      <c r="D285" s="71"/>
    </row>
    <row r="286">
      <c r="C286" s="69"/>
      <c r="D286" s="71"/>
    </row>
    <row r="287">
      <c r="C287" s="69"/>
      <c r="D287" s="71"/>
    </row>
    <row r="288">
      <c r="C288" s="69"/>
      <c r="D288" s="71"/>
    </row>
    <row r="289">
      <c r="C289" s="69"/>
      <c r="D289" s="71"/>
    </row>
    <row r="290">
      <c r="C290" s="69"/>
      <c r="D290" s="71"/>
    </row>
    <row r="291">
      <c r="C291" s="69"/>
      <c r="D291" s="71"/>
    </row>
    <row r="292">
      <c r="C292" s="69"/>
      <c r="D292" s="71"/>
    </row>
    <row r="293">
      <c r="C293" s="69"/>
      <c r="D293" s="71"/>
    </row>
    <row r="294">
      <c r="C294" s="69"/>
      <c r="D294" s="71"/>
    </row>
    <row r="295">
      <c r="C295" s="69"/>
      <c r="D295" s="71"/>
    </row>
    <row r="296">
      <c r="C296" s="69"/>
      <c r="D296" s="71"/>
    </row>
    <row r="297">
      <c r="C297" s="69"/>
      <c r="D297" s="71"/>
    </row>
    <row r="298">
      <c r="C298" s="69"/>
      <c r="D298" s="71"/>
    </row>
    <row r="299">
      <c r="C299" s="69"/>
      <c r="D299" s="71"/>
    </row>
    <row r="300">
      <c r="C300" s="69"/>
      <c r="D300" s="71"/>
    </row>
    <row r="301">
      <c r="C301" s="69"/>
      <c r="D301" s="71"/>
    </row>
    <row r="302">
      <c r="C302" s="69"/>
      <c r="D302" s="71"/>
    </row>
    <row r="303">
      <c r="C303" s="69"/>
      <c r="D303" s="71"/>
    </row>
    <row r="304">
      <c r="C304" s="69"/>
      <c r="D304" s="71"/>
    </row>
    <row r="305">
      <c r="C305" s="69"/>
      <c r="D305" s="71"/>
    </row>
    <row r="306">
      <c r="C306" s="69"/>
      <c r="D306" s="71"/>
    </row>
    <row r="307">
      <c r="C307" s="69"/>
      <c r="D307" s="71"/>
    </row>
    <row r="308">
      <c r="C308" s="69"/>
      <c r="D308" s="71"/>
    </row>
    <row r="309">
      <c r="C309" s="69"/>
      <c r="D309" s="71"/>
    </row>
    <row r="310">
      <c r="C310" s="69"/>
      <c r="D310" s="71"/>
    </row>
    <row r="311">
      <c r="C311" s="69"/>
      <c r="D311" s="71"/>
    </row>
    <row r="312">
      <c r="C312" s="69"/>
      <c r="D312" s="71"/>
    </row>
    <row r="313">
      <c r="C313" s="69"/>
      <c r="D313" s="71"/>
    </row>
    <row r="314">
      <c r="C314" s="69"/>
      <c r="D314" s="71"/>
    </row>
    <row r="315">
      <c r="C315" s="69"/>
      <c r="D315" s="71"/>
    </row>
    <row r="316">
      <c r="C316" s="69"/>
      <c r="D316" s="71"/>
    </row>
    <row r="317">
      <c r="C317" s="69"/>
      <c r="D317" s="71"/>
    </row>
    <row r="318">
      <c r="C318" s="69"/>
      <c r="D318" s="71"/>
    </row>
    <row r="319">
      <c r="C319" s="69"/>
      <c r="D319" s="71"/>
    </row>
    <row r="320">
      <c r="C320" s="69"/>
      <c r="D320" s="71"/>
    </row>
    <row r="321">
      <c r="C321" s="69"/>
      <c r="D321" s="71"/>
    </row>
    <row r="322">
      <c r="C322" s="69"/>
      <c r="D322" s="71"/>
    </row>
    <row r="323">
      <c r="C323" s="69"/>
      <c r="D323" s="71"/>
    </row>
    <row r="324">
      <c r="C324" s="69"/>
      <c r="D324" s="71"/>
    </row>
    <row r="325">
      <c r="C325" s="69"/>
      <c r="D325" s="71"/>
    </row>
    <row r="326">
      <c r="C326" s="69"/>
      <c r="D326" s="71"/>
    </row>
    <row r="327">
      <c r="C327" s="69"/>
      <c r="D327" s="71"/>
    </row>
    <row r="328">
      <c r="C328" s="69"/>
      <c r="D328" s="71"/>
    </row>
    <row r="329">
      <c r="C329" s="69"/>
      <c r="D329" s="71"/>
    </row>
    <row r="330">
      <c r="C330" s="69"/>
      <c r="D330" s="71"/>
    </row>
    <row r="331">
      <c r="C331" s="69"/>
      <c r="D331" s="71"/>
    </row>
    <row r="332">
      <c r="C332" s="69"/>
      <c r="D332" s="71"/>
    </row>
    <row r="333">
      <c r="C333" s="69"/>
      <c r="D333" s="71"/>
    </row>
    <row r="334">
      <c r="C334" s="69"/>
      <c r="D334" s="71"/>
    </row>
    <row r="335">
      <c r="C335" s="69"/>
      <c r="D335" s="71"/>
    </row>
    <row r="336">
      <c r="C336" s="69"/>
      <c r="D336" s="71"/>
    </row>
    <row r="337">
      <c r="C337" s="69"/>
      <c r="D337" s="71"/>
    </row>
    <row r="338">
      <c r="C338" s="69"/>
      <c r="D338" s="71"/>
    </row>
    <row r="339">
      <c r="C339" s="69"/>
      <c r="D339" s="71"/>
    </row>
    <row r="340">
      <c r="C340" s="69"/>
      <c r="D340" s="71"/>
    </row>
    <row r="341">
      <c r="C341" s="69"/>
      <c r="D341" s="71"/>
    </row>
    <row r="342">
      <c r="C342" s="69"/>
      <c r="D342" s="71"/>
    </row>
    <row r="343">
      <c r="C343" s="69"/>
      <c r="D343" s="71"/>
    </row>
    <row r="344">
      <c r="C344" s="69"/>
      <c r="D344" s="71"/>
    </row>
    <row r="345">
      <c r="C345" s="69"/>
      <c r="D345" s="71"/>
    </row>
    <row r="346">
      <c r="C346" s="69"/>
      <c r="D346" s="71"/>
    </row>
    <row r="347">
      <c r="C347" s="69"/>
      <c r="D347" s="71"/>
    </row>
    <row r="348">
      <c r="C348" s="69"/>
      <c r="D348" s="71"/>
    </row>
    <row r="349">
      <c r="C349" s="69"/>
      <c r="D349" s="71"/>
    </row>
    <row r="350">
      <c r="C350" s="69"/>
      <c r="D350" s="71"/>
    </row>
    <row r="351">
      <c r="C351" s="69"/>
      <c r="D351" s="71"/>
    </row>
    <row r="352">
      <c r="C352" s="69"/>
      <c r="D352" s="71"/>
    </row>
    <row r="353">
      <c r="C353" s="69"/>
      <c r="D353" s="71"/>
    </row>
    <row r="354">
      <c r="C354" s="69"/>
      <c r="D354" s="71"/>
    </row>
    <row r="355">
      <c r="C355" s="69"/>
      <c r="D355" s="71"/>
    </row>
    <row r="356">
      <c r="C356" s="69"/>
      <c r="D356" s="71"/>
    </row>
    <row r="357">
      <c r="C357" s="69"/>
      <c r="D357" s="71"/>
    </row>
    <row r="358">
      <c r="C358" s="69"/>
      <c r="D358" s="71"/>
    </row>
    <row r="359">
      <c r="C359" s="69"/>
      <c r="D359" s="71"/>
    </row>
    <row r="360">
      <c r="C360" s="69"/>
      <c r="D360" s="71"/>
    </row>
    <row r="361">
      <c r="C361" s="69"/>
      <c r="D361" s="71"/>
    </row>
    <row r="362">
      <c r="C362" s="69"/>
      <c r="D362" s="71"/>
    </row>
    <row r="363">
      <c r="C363" s="69"/>
      <c r="D363" s="71"/>
    </row>
    <row r="364">
      <c r="C364" s="69"/>
      <c r="D364" s="71"/>
    </row>
    <row r="365">
      <c r="C365" s="69"/>
      <c r="D365" s="71"/>
    </row>
    <row r="366">
      <c r="C366" s="69"/>
      <c r="D366" s="71"/>
    </row>
    <row r="367">
      <c r="C367" s="69"/>
      <c r="D367" s="71"/>
    </row>
    <row r="368">
      <c r="C368" s="69"/>
      <c r="D368" s="71"/>
    </row>
    <row r="369">
      <c r="C369" s="69"/>
      <c r="D369" s="71"/>
    </row>
    <row r="370">
      <c r="C370" s="69"/>
      <c r="D370" s="71"/>
    </row>
    <row r="371">
      <c r="C371" s="69"/>
      <c r="D371" s="71"/>
    </row>
    <row r="372">
      <c r="C372" s="69"/>
      <c r="D372" s="71"/>
    </row>
    <row r="373">
      <c r="C373" s="69"/>
      <c r="D373" s="71"/>
    </row>
    <row r="374">
      <c r="C374" s="69"/>
      <c r="D374" s="71"/>
    </row>
    <row r="375">
      <c r="C375" s="69"/>
      <c r="D375" s="71"/>
    </row>
    <row r="376">
      <c r="C376" s="69"/>
      <c r="D376" s="71"/>
    </row>
    <row r="377">
      <c r="C377" s="69"/>
      <c r="D377" s="71"/>
    </row>
    <row r="378">
      <c r="C378" s="69"/>
      <c r="D378" s="71"/>
    </row>
    <row r="379">
      <c r="C379" s="69"/>
      <c r="D379" s="71"/>
    </row>
    <row r="380">
      <c r="C380" s="69"/>
      <c r="D380" s="71"/>
    </row>
    <row r="381">
      <c r="C381" s="69"/>
      <c r="D381" s="71"/>
    </row>
    <row r="382">
      <c r="C382" s="69"/>
      <c r="D382" s="71"/>
    </row>
    <row r="383">
      <c r="C383" s="69"/>
      <c r="D383" s="71"/>
    </row>
    <row r="384">
      <c r="C384" s="69"/>
      <c r="D384" s="71"/>
    </row>
    <row r="385">
      <c r="C385" s="69"/>
      <c r="D385" s="71"/>
    </row>
    <row r="386">
      <c r="C386" s="69"/>
      <c r="D386" s="71"/>
    </row>
    <row r="387">
      <c r="C387" s="69"/>
      <c r="D387" s="71"/>
    </row>
    <row r="388">
      <c r="C388" s="69"/>
      <c r="D388" s="71"/>
    </row>
    <row r="389">
      <c r="C389" s="69"/>
      <c r="D389" s="71"/>
    </row>
    <row r="390">
      <c r="C390" s="69"/>
      <c r="D390" s="71"/>
    </row>
    <row r="391">
      <c r="C391" s="69"/>
      <c r="D391" s="71"/>
    </row>
    <row r="392">
      <c r="C392" s="69"/>
      <c r="D392" s="71"/>
    </row>
    <row r="393">
      <c r="C393" s="69"/>
      <c r="D393" s="71"/>
    </row>
    <row r="394">
      <c r="C394" s="69"/>
      <c r="D394" s="71"/>
    </row>
    <row r="395">
      <c r="C395" s="69"/>
      <c r="D395" s="71"/>
    </row>
    <row r="396">
      <c r="C396" s="69"/>
      <c r="D396" s="71"/>
    </row>
    <row r="397">
      <c r="C397" s="69"/>
      <c r="D397" s="71"/>
    </row>
    <row r="398">
      <c r="C398" s="69"/>
      <c r="D398" s="71"/>
    </row>
    <row r="399">
      <c r="C399" s="69"/>
      <c r="D399" s="71"/>
    </row>
    <row r="400">
      <c r="C400" s="69"/>
      <c r="D400" s="71"/>
    </row>
    <row r="401">
      <c r="C401" s="69"/>
      <c r="D401" s="71"/>
    </row>
    <row r="402">
      <c r="C402" s="69"/>
      <c r="D402" s="71"/>
    </row>
    <row r="403">
      <c r="C403" s="69"/>
      <c r="D403" s="71"/>
    </row>
    <row r="404">
      <c r="C404" s="69"/>
      <c r="D404" s="71"/>
    </row>
    <row r="405">
      <c r="C405" s="69"/>
      <c r="D405" s="71"/>
    </row>
    <row r="406">
      <c r="C406" s="69"/>
      <c r="D406" s="71"/>
    </row>
    <row r="407">
      <c r="C407" s="69"/>
      <c r="D407" s="71"/>
    </row>
    <row r="408">
      <c r="C408" s="69"/>
      <c r="D408" s="71"/>
    </row>
    <row r="409">
      <c r="C409" s="69"/>
      <c r="D409" s="71"/>
    </row>
    <row r="410">
      <c r="C410" s="69"/>
      <c r="D410" s="71"/>
    </row>
    <row r="411">
      <c r="C411" s="69"/>
      <c r="D411" s="71"/>
    </row>
    <row r="412">
      <c r="C412" s="69"/>
      <c r="D412" s="71"/>
    </row>
    <row r="413">
      <c r="C413" s="69"/>
      <c r="D413" s="71"/>
    </row>
    <row r="414">
      <c r="C414" s="69"/>
      <c r="D414" s="71"/>
    </row>
    <row r="415">
      <c r="C415" s="69"/>
      <c r="D415" s="71"/>
    </row>
    <row r="416">
      <c r="C416" s="69"/>
      <c r="D416" s="71"/>
    </row>
    <row r="417">
      <c r="C417" s="69"/>
      <c r="D417" s="71"/>
    </row>
    <row r="418">
      <c r="C418" s="69"/>
      <c r="D418" s="71"/>
    </row>
    <row r="419">
      <c r="C419" s="69"/>
      <c r="D419" s="71"/>
    </row>
    <row r="420">
      <c r="C420" s="69"/>
      <c r="D420" s="71"/>
    </row>
    <row r="421">
      <c r="C421" s="69"/>
      <c r="D421" s="71"/>
    </row>
    <row r="422">
      <c r="C422" s="69"/>
      <c r="D422" s="71"/>
    </row>
    <row r="423">
      <c r="C423" s="69"/>
      <c r="D423" s="71"/>
    </row>
    <row r="424">
      <c r="C424" s="69"/>
      <c r="D424" s="71"/>
    </row>
    <row r="425">
      <c r="C425" s="69"/>
      <c r="D425" s="71"/>
    </row>
    <row r="426">
      <c r="C426" s="69"/>
      <c r="D426" s="71"/>
    </row>
    <row r="427">
      <c r="C427" s="69"/>
      <c r="D427" s="71"/>
    </row>
    <row r="428">
      <c r="C428" s="69"/>
      <c r="D428" s="71"/>
    </row>
    <row r="429">
      <c r="C429" s="69"/>
      <c r="D429" s="71"/>
    </row>
    <row r="430">
      <c r="C430" s="69"/>
      <c r="D430" s="71"/>
    </row>
    <row r="431">
      <c r="C431" s="69"/>
      <c r="D431" s="71"/>
    </row>
    <row r="432">
      <c r="C432" s="69"/>
      <c r="D432" s="71"/>
    </row>
    <row r="433">
      <c r="C433" s="69"/>
      <c r="D433" s="71"/>
    </row>
    <row r="434">
      <c r="C434" s="69"/>
      <c r="D434" s="71"/>
    </row>
    <row r="435">
      <c r="C435" s="69"/>
      <c r="D435" s="71"/>
    </row>
    <row r="436">
      <c r="C436" s="69"/>
      <c r="D436" s="71"/>
    </row>
    <row r="437">
      <c r="C437" s="69"/>
      <c r="D437" s="71"/>
    </row>
    <row r="438">
      <c r="C438" s="69"/>
      <c r="D438" s="71"/>
    </row>
    <row r="439">
      <c r="C439" s="69"/>
      <c r="D439" s="71"/>
    </row>
    <row r="440">
      <c r="C440" s="69"/>
      <c r="D440" s="71"/>
    </row>
    <row r="441">
      <c r="C441" s="69"/>
      <c r="D441" s="71"/>
    </row>
    <row r="442">
      <c r="C442" s="69"/>
      <c r="D442" s="71"/>
    </row>
    <row r="443">
      <c r="C443" s="69"/>
      <c r="D443" s="71"/>
    </row>
    <row r="444">
      <c r="C444" s="69"/>
      <c r="D444" s="71"/>
    </row>
    <row r="445">
      <c r="C445" s="69"/>
      <c r="D445" s="71"/>
    </row>
    <row r="446">
      <c r="C446" s="69"/>
      <c r="D446" s="71"/>
    </row>
    <row r="447">
      <c r="C447" s="69"/>
      <c r="D447" s="71"/>
    </row>
    <row r="448">
      <c r="C448" s="69"/>
      <c r="D448" s="71"/>
    </row>
    <row r="449">
      <c r="C449" s="69"/>
      <c r="D449" s="71"/>
    </row>
    <row r="450">
      <c r="C450" s="69"/>
      <c r="D450" s="71"/>
    </row>
    <row r="451">
      <c r="C451" s="69"/>
      <c r="D451" s="71"/>
    </row>
    <row r="452">
      <c r="C452" s="69"/>
      <c r="D452" s="71"/>
    </row>
    <row r="453">
      <c r="C453" s="69"/>
      <c r="D453" s="71"/>
    </row>
    <row r="454">
      <c r="C454" s="69"/>
      <c r="D454" s="71"/>
    </row>
    <row r="455">
      <c r="C455" s="69"/>
      <c r="D455" s="71"/>
    </row>
    <row r="456">
      <c r="C456" s="69"/>
      <c r="D456" s="71"/>
    </row>
    <row r="457">
      <c r="C457" s="69"/>
      <c r="D457" s="71"/>
    </row>
    <row r="458">
      <c r="C458" s="69"/>
      <c r="D458" s="71"/>
    </row>
    <row r="459">
      <c r="C459" s="69"/>
      <c r="D459" s="71"/>
    </row>
    <row r="460">
      <c r="C460" s="69"/>
      <c r="D460" s="71"/>
    </row>
    <row r="461">
      <c r="C461" s="69"/>
      <c r="D461" s="71"/>
    </row>
    <row r="462">
      <c r="C462" s="69"/>
      <c r="D462" s="71"/>
    </row>
    <row r="463">
      <c r="C463" s="69"/>
      <c r="D463" s="71"/>
    </row>
    <row r="464">
      <c r="C464" s="69"/>
      <c r="D464" s="71"/>
    </row>
    <row r="465">
      <c r="C465" s="69"/>
      <c r="D465" s="71"/>
    </row>
    <row r="466">
      <c r="C466" s="69"/>
      <c r="D466" s="71"/>
    </row>
    <row r="467">
      <c r="C467" s="69"/>
      <c r="D467" s="71"/>
    </row>
    <row r="468">
      <c r="C468" s="69"/>
      <c r="D468" s="71"/>
    </row>
    <row r="469">
      <c r="C469" s="69"/>
      <c r="D469" s="71"/>
    </row>
    <row r="470">
      <c r="C470" s="69"/>
      <c r="D470" s="71"/>
    </row>
    <row r="471">
      <c r="C471" s="69"/>
      <c r="D471" s="71"/>
    </row>
    <row r="472">
      <c r="C472" s="69"/>
      <c r="D472" s="71"/>
    </row>
    <row r="473">
      <c r="C473" s="69"/>
      <c r="D473" s="71"/>
    </row>
    <row r="474">
      <c r="C474" s="69"/>
      <c r="D474" s="71"/>
    </row>
    <row r="475">
      <c r="C475" s="69"/>
      <c r="D475" s="71"/>
    </row>
    <row r="476">
      <c r="C476" s="69"/>
      <c r="D476" s="71"/>
    </row>
    <row r="477">
      <c r="C477" s="69"/>
      <c r="D477" s="71"/>
    </row>
    <row r="478">
      <c r="C478" s="69"/>
      <c r="D478" s="71"/>
    </row>
    <row r="479">
      <c r="C479" s="69"/>
      <c r="D479" s="71"/>
    </row>
    <row r="480">
      <c r="C480" s="69"/>
      <c r="D480" s="71"/>
    </row>
    <row r="481">
      <c r="C481" s="69"/>
      <c r="D481" s="71"/>
    </row>
    <row r="482">
      <c r="C482" s="69"/>
      <c r="D482" s="71"/>
    </row>
    <row r="483">
      <c r="C483" s="69"/>
      <c r="D483" s="71"/>
    </row>
    <row r="484">
      <c r="C484" s="69"/>
      <c r="D484" s="71"/>
    </row>
    <row r="485">
      <c r="C485" s="69"/>
      <c r="D485" s="71"/>
    </row>
    <row r="486">
      <c r="C486" s="69"/>
      <c r="D486" s="71"/>
    </row>
    <row r="487">
      <c r="C487" s="69"/>
      <c r="D487" s="71"/>
    </row>
    <row r="488">
      <c r="C488" s="69"/>
      <c r="D488" s="71"/>
    </row>
    <row r="489">
      <c r="C489" s="69"/>
      <c r="D489" s="71"/>
    </row>
    <row r="490">
      <c r="C490" s="69"/>
      <c r="D490" s="71"/>
    </row>
    <row r="491">
      <c r="C491" s="69"/>
      <c r="D491" s="71"/>
    </row>
    <row r="492">
      <c r="C492" s="69"/>
      <c r="D492" s="71"/>
    </row>
    <row r="493">
      <c r="C493" s="69"/>
      <c r="D493" s="71"/>
    </row>
    <row r="494">
      <c r="C494" s="69"/>
      <c r="D494" s="71"/>
    </row>
    <row r="495">
      <c r="C495" s="69"/>
      <c r="D495" s="71"/>
    </row>
    <row r="496">
      <c r="C496" s="69"/>
      <c r="D496" s="71"/>
    </row>
    <row r="497">
      <c r="C497" s="69"/>
      <c r="D497" s="71"/>
    </row>
    <row r="498">
      <c r="C498" s="69"/>
      <c r="D498" s="71"/>
    </row>
    <row r="499">
      <c r="C499" s="69"/>
      <c r="D499" s="71"/>
    </row>
    <row r="500">
      <c r="C500" s="69"/>
      <c r="D500" s="71"/>
    </row>
    <row r="501">
      <c r="C501" s="69"/>
      <c r="D501" s="71"/>
    </row>
    <row r="502">
      <c r="C502" s="69"/>
      <c r="D502" s="71"/>
    </row>
    <row r="503">
      <c r="C503" s="69"/>
      <c r="D503" s="71"/>
    </row>
    <row r="504">
      <c r="C504" s="69"/>
      <c r="D504" s="71"/>
    </row>
    <row r="505">
      <c r="C505" s="69"/>
      <c r="D505" s="71"/>
    </row>
    <row r="506">
      <c r="C506" s="69"/>
      <c r="D506" s="71"/>
    </row>
    <row r="507">
      <c r="C507" s="69"/>
      <c r="D507" s="71"/>
    </row>
    <row r="508">
      <c r="C508" s="69"/>
      <c r="D508" s="71"/>
    </row>
    <row r="509">
      <c r="C509" s="69"/>
      <c r="D509" s="71"/>
    </row>
    <row r="510">
      <c r="C510" s="69"/>
      <c r="D510" s="71"/>
    </row>
    <row r="511">
      <c r="C511" s="69"/>
      <c r="D511" s="71"/>
    </row>
    <row r="512">
      <c r="C512" s="69"/>
      <c r="D512" s="71"/>
    </row>
    <row r="513">
      <c r="C513" s="69"/>
      <c r="D513" s="71"/>
    </row>
    <row r="514">
      <c r="C514" s="69"/>
      <c r="D514" s="71"/>
    </row>
    <row r="515">
      <c r="C515" s="69"/>
      <c r="D515" s="71"/>
    </row>
    <row r="516">
      <c r="C516" s="69"/>
      <c r="D516" s="71"/>
    </row>
    <row r="517">
      <c r="C517" s="69"/>
      <c r="D517" s="71"/>
    </row>
    <row r="518">
      <c r="C518" s="69"/>
      <c r="D518" s="71"/>
    </row>
    <row r="519">
      <c r="C519" s="69"/>
      <c r="D519" s="71"/>
    </row>
    <row r="520">
      <c r="C520" s="69"/>
      <c r="D520" s="71"/>
    </row>
    <row r="521">
      <c r="C521" s="69"/>
      <c r="D521" s="71"/>
    </row>
    <row r="522">
      <c r="C522" s="69"/>
      <c r="D522" s="71"/>
    </row>
    <row r="523">
      <c r="C523" s="69"/>
      <c r="D523" s="71"/>
    </row>
    <row r="524">
      <c r="C524" s="69"/>
      <c r="D524" s="71"/>
    </row>
    <row r="525">
      <c r="C525" s="69"/>
      <c r="D525" s="71"/>
    </row>
    <row r="526">
      <c r="C526" s="69"/>
      <c r="D526" s="71"/>
    </row>
    <row r="527">
      <c r="C527" s="69"/>
      <c r="D527" s="71"/>
    </row>
    <row r="528">
      <c r="C528" s="69"/>
      <c r="D528" s="71"/>
    </row>
    <row r="529">
      <c r="C529" s="69"/>
      <c r="D529" s="71"/>
    </row>
    <row r="530">
      <c r="C530" s="69"/>
      <c r="D530" s="71"/>
    </row>
    <row r="531">
      <c r="C531" s="69"/>
      <c r="D531" s="71"/>
    </row>
    <row r="532">
      <c r="C532" s="69"/>
      <c r="D532" s="71"/>
    </row>
    <row r="533">
      <c r="C533" s="69"/>
      <c r="D533" s="71"/>
    </row>
    <row r="534">
      <c r="C534" s="69"/>
      <c r="D534" s="71"/>
    </row>
    <row r="535">
      <c r="C535" s="69"/>
      <c r="D535" s="71"/>
    </row>
    <row r="536">
      <c r="C536" s="69"/>
      <c r="D536" s="71"/>
    </row>
    <row r="537">
      <c r="C537" s="69"/>
      <c r="D537" s="71"/>
    </row>
    <row r="538">
      <c r="C538" s="69"/>
      <c r="D538" s="71"/>
    </row>
    <row r="539">
      <c r="C539" s="69"/>
      <c r="D539" s="71"/>
    </row>
    <row r="540">
      <c r="C540" s="69"/>
      <c r="D540" s="71"/>
    </row>
    <row r="541">
      <c r="C541" s="69"/>
      <c r="D541" s="71"/>
    </row>
    <row r="542">
      <c r="C542" s="69"/>
      <c r="D542" s="71"/>
    </row>
    <row r="543">
      <c r="C543" s="69"/>
      <c r="D543" s="71"/>
    </row>
    <row r="544">
      <c r="C544" s="69"/>
      <c r="D544" s="71"/>
    </row>
    <row r="545">
      <c r="C545" s="69"/>
      <c r="D545" s="71"/>
    </row>
    <row r="546">
      <c r="C546" s="69"/>
      <c r="D546" s="71"/>
    </row>
    <row r="547">
      <c r="C547" s="69"/>
      <c r="D547" s="71"/>
    </row>
    <row r="548">
      <c r="C548" s="69"/>
      <c r="D548" s="71"/>
    </row>
    <row r="549">
      <c r="C549" s="69"/>
      <c r="D549" s="71"/>
    </row>
    <row r="550">
      <c r="C550" s="69"/>
      <c r="D550" s="71"/>
    </row>
    <row r="551">
      <c r="C551" s="69"/>
      <c r="D551" s="71"/>
    </row>
    <row r="552">
      <c r="C552" s="69"/>
      <c r="D552" s="71"/>
    </row>
    <row r="553">
      <c r="C553" s="69"/>
      <c r="D553" s="71"/>
    </row>
    <row r="554">
      <c r="C554" s="69"/>
      <c r="D554" s="71"/>
    </row>
    <row r="555">
      <c r="C555" s="69"/>
      <c r="D555" s="71"/>
    </row>
    <row r="556">
      <c r="C556" s="69"/>
      <c r="D556" s="71"/>
    </row>
    <row r="557">
      <c r="C557" s="69"/>
      <c r="D557" s="71"/>
    </row>
    <row r="558">
      <c r="C558" s="69"/>
      <c r="D558" s="71"/>
    </row>
    <row r="559">
      <c r="C559" s="69"/>
      <c r="D559" s="71"/>
    </row>
    <row r="560">
      <c r="C560" s="69"/>
      <c r="D560" s="71"/>
    </row>
    <row r="561">
      <c r="C561" s="69"/>
      <c r="D561" s="71"/>
    </row>
    <row r="562">
      <c r="C562" s="69"/>
      <c r="D562" s="71"/>
    </row>
    <row r="563">
      <c r="C563" s="69"/>
      <c r="D563" s="71"/>
    </row>
    <row r="564">
      <c r="C564" s="69"/>
      <c r="D564" s="71"/>
    </row>
    <row r="565">
      <c r="C565" s="69"/>
      <c r="D565" s="71"/>
    </row>
    <row r="566">
      <c r="C566" s="69"/>
      <c r="D566" s="71"/>
    </row>
    <row r="567">
      <c r="C567" s="69"/>
      <c r="D567" s="71"/>
    </row>
    <row r="568">
      <c r="C568" s="69"/>
      <c r="D568" s="71"/>
    </row>
    <row r="569">
      <c r="C569" s="69"/>
      <c r="D569" s="71"/>
    </row>
    <row r="570">
      <c r="C570" s="69"/>
      <c r="D570" s="71"/>
    </row>
    <row r="571">
      <c r="C571" s="69"/>
      <c r="D571" s="71"/>
    </row>
    <row r="572">
      <c r="C572" s="69"/>
      <c r="D572" s="71"/>
    </row>
    <row r="573">
      <c r="C573" s="69"/>
      <c r="D573" s="71"/>
    </row>
    <row r="574">
      <c r="C574" s="69"/>
      <c r="D574" s="71"/>
    </row>
    <row r="575">
      <c r="C575" s="69"/>
      <c r="D575" s="71"/>
    </row>
    <row r="576">
      <c r="C576" s="69"/>
      <c r="D576" s="71"/>
    </row>
    <row r="577">
      <c r="C577" s="69"/>
      <c r="D577" s="71"/>
    </row>
    <row r="578">
      <c r="C578" s="69"/>
      <c r="D578" s="71"/>
    </row>
    <row r="579">
      <c r="C579" s="69"/>
      <c r="D579" s="71"/>
    </row>
    <row r="580">
      <c r="C580" s="69"/>
      <c r="D580" s="71"/>
    </row>
    <row r="581">
      <c r="C581" s="69"/>
      <c r="D581" s="71"/>
    </row>
    <row r="582">
      <c r="C582" s="69"/>
      <c r="D582" s="71"/>
    </row>
    <row r="583">
      <c r="C583" s="69"/>
      <c r="D583" s="71"/>
    </row>
    <row r="584">
      <c r="C584" s="69"/>
      <c r="D584" s="71"/>
    </row>
    <row r="585">
      <c r="C585" s="69"/>
      <c r="D585" s="71"/>
    </row>
    <row r="586">
      <c r="C586" s="69"/>
      <c r="D586" s="71"/>
    </row>
    <row r="587">
      <c r="C587" s="69"/>
      <c r="D587" s="71"/>
    </row>
    <row r="588">
      <c r="C588" s="69"/>
      <c r="D588" s="71"/>
    </row>
    <row r="589">
      <c r="C589" s="69"/>
      <c r="D589" s="71"/>
    </row>
    <row r="590">
      <c r="C590" s="69"/>
      <c r="D590" s="71"/>
    </row>
    <row r="591">
      <c r="C591" s="69"/>
      <c r="D591" s="71"/>
    </row>
    <row r="592">
      <c r="C592" s="69"/>
      <c r="D592" s="71"/>
    </row>
    <row r="593">
      <c r="C593" s="69"/>
      <c r="D593" s="71"/>
    </row>
    <row r="594">
      <c r="C594" s="69"/>
      <c r="D594" s="71"/>
    </row>
    <row r="595">
      <c r="C595" s="69"/>
      <c r="D595" s="71"/>
    </row>
    <row r="596">
      <c r="C596" s="69"/>
      <c r="D596" s="71"/>
    </row>
    <row r="597">
      <c r="C597" s="69"/>
      <c r="D597" s="71"/>
    </row>
    <row r="598">
      <c r="C598" s="69"/>
      <c r="D598" s="71"/>
    </row>
    <row r="599">
      <c r="C599" s="69"/>
      <c r="D599" s="71"/>
    </row>
    <row r="600">
      <c r="C600" s="69"/>
      <c r="D600" s="71"/>
    </row>
    <row r="601">
      <c r="C601" s="69"/>
      <c r="D601" s="71"/>
    </row>
    <row r="602">
      <c r="C602" s="69"/>
      <c r="D602" s="71"/>
    </row>
    <row r="603">
      <c r="C603" s="69"/>
      <c r="D603" s="71"/>
    </row>
    <row r="604">
      <c r="C604" s="69"/>
      <c r="D604" s="71"/>
    </row>
    <row r="605">
      <c r="C605" s="69"/>
      <c r="D605" s="71"/>
    </row>
    <row r="606">
      <c r="C606" s="69"/>
      <c r="D606" s="71"/>
    </row>
    <row r="607">
      <c r="C607" s="69"/>
      <c r="D607" s="71"/>
    </row>
    <row r="608">
      <c r="C608" s="69"/>
      <c r="D608" s="71"/>
    </row>
    <row r="609">
      <c r="C609" s="69"/>
      <c r="D609" s="71"/>
    </row>
    <row r="610">
      <c r="C610" s="69"/>
      <c r="D610" s="71"/>
    </row>
    <row r="611">
      <c r="C611" s="69"/>
      <c r="D611" s="71"/>
    </row>
    <row r="612">
      <c r="C612" s="69"/>
      <c r="D612" s="71"/>
    </row>
    <row r="613">
      <c r="C613" s="69"/>
      <c r="D613" s="71"/>
    </row>
    <row r="614">
      <c r="C614" s="69"/>
      <c r="D614" s="71"/>
    </row>
    <row r="615">
      <c r="C615" s="69"/>
      <c r="D615" s="71"/>
    </row>
    <row r="616">
      <c r="C616" s="69"/>
      <c r="D616" s="71"/>
    </row>
    <row r="617">
      <c r="C617" s="69"/>
      <c r="D617" s="71"/>
    </row>
    <row r="618">
      <c r="C618" s="69"/>
      <c r="D618" s="71"/>
    </row>
    <row r="619">
      <c r="C619" s="69"/>
      <c r="D619" s="71"/>
    </row>
    <row r="620">
      <c r="C620" s="69"/>
      <c r="D620" s="71"/>
    </row>
    <row r="621">
      <c r="C621" s="69"/>
      <c r="D621" s="71"/>
    </row>
    <row r="622">
      <c r="C622" s="69"/>
      <c r="D622" s="71"/>
    </row>
    <row r="623">
      <c r="C623" s="69"/>
      <c r="D623" s="71"/>
    </row>
    <row r="624">
      <c r="C624" s="69"/>
      <c r="D624" s="71"/>
    </row>
    <row r="625">
      <c r="C625" s="69"/>
      <c r="D625" s="71"/>
    </row>
    <row r="626">
      <c r="C626" s="69"/>
      <c r="D626" s="71"/>
    </row>
    <row r="627">
      <c r="C627" s="69"/>
      <c r="D627" s="71"/>
    </row>
    <row r="628">
      <c r="C628" s="69"/>
      <c r="D628" s="71"/>
    </row>
    <row r="629">
      <c r="C629" s="69"/>
      <c r="D629" s="71"/>
    </row>
    <row r="630">
      <c r="C630" s="69"/>
      <c r="D630" s="71"/>
    </row>
    <row r="631">
      <c r="C631" s="69"/>
      <c r="D631" s="71"/>
    </row>
    <row r="632">
      <c r="C632" s="69"/>
      <c r="D632" s="71"/>
    </row>
    <row r="633">
      <c r="C633" s="69"/>
      <c r="D633" s="71"/>
    </row>
    <row r="634">
      <c r="C634" s="69"/>
      <c r="D634" s="71"/>
    </row>
    <row r="635">
      <c r="C635" s="69"/>
      <c r="D635" s="71"/>
    </row>
    <row r="636">
      <c r="C636" s="69"/>
      <c r="D636" s="71"/>
    </row>
    <row r="637">
      <c r="C637" s="69"/>
      <c r="D637" s="71"/>
    </row>
    <row r="638">
      <c r="C638" s="69"/>
      <c r="D638" s="71"/>
    </row>
    <row r="639">
      <c r="C639" s="69"/>
      <c r="D639" s="71"/>
    </row>
    <row r="640">
      <c r="C640" s="69"/>
      <c r="D640" s="71"/>
    </row>
    <row r="641">
      <c r="C641" s="69"/>
      <c r="D641" s="71"/>
    </row>
    <row r="642">
      <c r="C642" s="69"/>
      <c r="D642" s="71"/>
    </row>
    <row r="643">
      <c r="C643" s="69"/>
      <c r="D643" s="71"/>
    </row>
    <row r="644">
      <c r="C644" s="69"/>
      <c r="D644" s="71"/>
    </row>
    <row r="645">
      <c r="C645" s="69"/>
      <c r="D645" s="71"/>
    </row>
    <row r="646">
      <c r="C646" s="69"/>
      <c r="D646" s="71"/>
    </row>
    <row r="647">
      <c r="C647" s="69"/>
      <c r="D647" s="71"/>
    </row>
    <row r="648">
      <c r="C648" s="69"/>
      <c r="D648" s="71"/>
    </row>
    <row r="649">
      <c r="C649" s="69"/>
      <c r="D649" s="71"/>
    </row>
    <row r="650">
      <c r="C650" s="69"/>
      <c r="D650" s="71"/>
    </row>
    <row r="651">
      <c r="C651" s="69"/>
      <c r="D651" s="71"/>
    </row>
    <row r="652">
      <c r="C652" s="69"/>
      <c r="D652" s="71"/>
    </row>
    <row r="653">
      <c r="C653" s="69"/>
      <c r="D653" s="71"/>
    </row>
    <row r="654">
      <c r="C654" s="69"/>
      <c r="D654" s="71"/>
    </row>
    <row r="655">
      <c r="C655" s="69"/>
      <c r="D655" s="71"/>
    </row>
    <row r="656">
      <c r="C656" s="69"/>
      <c r="D656" s="71"/>
    </row>
    <row r="657">
      <c r="C657" s="69"/>
      <c r="D657" s="71"/>
    </row>
    <row r="658">
      <c r="C658" s="69"/>
      <c r="D658" s="71"/>
    </row>
    <row r="659">
      <c r="C659" s="69"/>
      <c r="D659" s="71"/>
    </row>
    <row r="660">
      <c r="C660" s="69"/>
      <c r="D660" s="71"/>
    </row>
    <row r="661">
      <c r="C661" s="69"/>
      <c r="D661" s="71"/>
    </row>
    <row r="662">
      <c r="C662" s="69"/>
      <c r="D662" s="71"/>
    </row>
    <row r="663">
      <c r="C663" s="69"/>
      <c r="D663" s="71"/>
    </row>
    <row r="664">
      <c r="C664" s="69"/>
      <c r="D664" s="71"/>
    </row>
    <row r="665">
      <c r="C665" s="69"/>
      <c r="D665" s="71"/>
    </row>
    <row r="666">
      <c r="C666" s="69"/>
      <c r="D666" s="71"/>
    </row>
    <row r="667">
      <c r="C667" s="69"/>
      <c r="D667" s="71"/>
    </row>
    <row r="668">
      <c r="C668" s="69"/>
      <c r="D668" s="71"/>
    </row>
    <row r="669">
      <c r="C669" s="69"/>
      <c r="D669" s="71"/>
    </row>
    <row r="670">
      <c r="C670" s="69"/>
      <c r="D670" s="71"/>
    </row>
    <row r="671">
      <c r="C671" s="69"/>
      <c r="D671" s="71"/>
    </row>
    <row r="672">
      <c r="C672" s="69"/>
      <c r="D672" s="71"/>
    </row>
    <row r="673">
      <c r="C673" s="69"/>
      <c r="D673" s="71"/>
    </row>
    <row r="674">
      <c r="C674" s="69"/>
      <c r="D674" s="71"/>
    </row>
    <row r="675">
      <c r="C675" s="69"/>
      <c r="D675" s="71"/>
    </row>
    <row r="676">
      <c r="C676" s="69"/>
      <c r="D676" s="71"/>
    </row>
    <row r="677">
      <c r="C677" s="69"/>
      <c r="D677" s="71"/>
    </row>
    <row r="678">
      <c r="C678" s="69"/>
      <c r="D678" s="71"/>
    </row>
    <row r="679">
      <c r="C679" s="69"/>
      <c r="D679" s="71"/>
    </row>
    <row r="680">
      <c r="C680" s="69"/>
      <c r="D680" s="71"/>
    </row>
    <row r="681">
      <c r="C681" s="69"/>
      <c r="D681" s="71"/>
    </row>
    <row r="682">
      <c r="C682" s="69"/>
      <c r="D682" s="71"/>
    </row>
    <row r="683">
      <c r="C683" s="69"/>
      <c r="D683" s="71"/>
    </row>
    <row r="684">
      <c r="C684" s="69"/>
      <c r="D684" s="71"/>
    </row>
    <row r="685">
      <c r="C685" s="69"/>
      <c r="D685" s="71"/>
    </row>
    <row r="686">
      <c r="C686" s="69"/>
      <c r="D686" s="71"/>
    </row>
    <row r="687">
      <c r="C687" s="69"/>
      <c r="D687" s="71"/>
    </row>
    <row r="688">
      <c r="C688" s="69"/>
      <c r="D688" s="71"/>
    </row>
    <row r="689">
      <c r="C689" s="69"/>
      <c r="D689" s="71"/>
    </row>
    <row r="690">
      <c r="C690" s="69"/>
      <c r="D690" s="71"/>
    </row>
    <row r="691">
      <c r="C691" s="69"/>
      <c r="D691" s="71"/>
    </row>
    <row r="692">
      <c r="C692" s="69"/>
      <c r="D692" s="71"/>
    </row>
    <row r="693">
      <c r="C693" s="69"/>
      <c r="D693" s="71"/>
    </row>
    <row r="694">
      <c r="C694" s="69"/>
      <c r="D694" s="71"/>
    </row>
    <row r="695">
      <c r="C695" s="69"/>
      <c r="D695" s="71"/>
    </row>
    <row r="696">
      <c r="C696" s="69"/>
      <c r="D696" s="71"/>
    </row>
    <row r="697">
      <c r="C697" s="69"/>
      <c r="D697" s="71"/>
    </row>
    <row r="698">
      <c r="C698" s="69"/>
      <c r="D698" s="71"/>
    </row>
    <row r="699">
      <c r="C699" s="69"/>
      <c r="D699" s="71"/>
    </row>
    <row r="700">
      <c r="C700" s="69"/>
      <c r="D700" s="71"/>
    </row>
    <row r="701">
      <c r="C701" s="69"/>
      <c r="D701" s="71"/>
    </row>
    <row r="702">
      <c r="C702" s="69"/>
      <c r="D702" s="71"/>
    </row>
    <row r="703">
      <c r="C703" s="69"/>
      <c r="D703" s="71"/>
    </row>
    <row r="704">
      <c r="C704" s="69"/>
      <c r="D704" s="71"/>
    </row>
    <row r="705">
      <c r="C705" s="69"/>
      <c r="D705" s="71"/>
    </row>
    <row r="706">
      <c r="C706" s="69"/>
      <c r="D706" s="71"/>
    </row>
    <row r="707">
      <c r="C707" s="69"/>
      <c r="D707" s="71"/>
    </row>
    <row r="708">
      <c r="C708" s="69"/>
      <c r="D708" s="71"/>
    </row>
    <row r="709">
      <c r="C709" s="69"/>
      <c r="D709" s="71"/>
    </row>
    <row r="710">
      <c r="C710" s="69"/>
      <c r="D710" s="71"/>
    </row>
    <row r="711">
      <c r="C711" s="69"/>
      <c r="D711" s="71"/>
    </row>
    <row r="712">
      <c r="C712" s="69"/>
      <c r="D712" s="71"/>
    </row>
    <row r="713">
      <c r="C713" s="69"/>
      <c r="D713" s="71"/>
    </row>
    <row r="714">
      <c r="C714" s="69"/>
      <c r="D714" s="71"/>
    </row>
    <row r="715">
      <c r="C715" s="69"/>
      <c r="D715" s="71"/>
    </row>
    <row r="716">
      <c r="C716" s="69"/>
      <c r="D716" s="71"/>
    </row>
    <row r="717">
      <c r="C717" s="69"/>
      <c r="D717" s="71"/>
    </row>
    <row r="718">
      <c r="C718" s="69"/>
      <c r="D718" s="71"/>
    </row>
    <row r="719">
      <c r="C719" s="69"/>
      <c r="D719" s="71"/>
    </row>
    <row r="720">
      <c r="C720" s="69"/>
      <c r="D720" s="71"/>
    </row>
    <row r="721">
      <c r="C721" s="69"/>
      <c r="D721" s="71"/>
    </row>
    <row r="722">
      <c r="C722" s="69"/>
      <c r="D722" s="71"/>
    </row>
    <row r="723">
      <c r="C723" s="69"/>
      <c r="D723" s="71"/>
    </row>
    <row r="724">
      <c r="C724" s="69"/>
      <c r="D724" s="71"/>
    </row>
    <row r="725">
      <c r="C725" s="69"/>
      <c r="D725" s="71"/>
    </row>
    <row r="726">
      <c r="C726" s="69"/>
      <c r="D726" s="71"/>
    </row>
    <row r="727">
      <c r="C727" s="69"/>
      <c r="D727" s="71"/>
    </row>
    <row r="728">
      <c r="C728" s="69"/>
      <c r="D728" s="71"/>
    </row>
    <row r="729">
      <c r="C729" s="69"/>
      <c r="D729" s="71"/>
    </row>
    <row r="730">
      <c r="C730" s="69"/>
      <c r="D730" s="71"/>
    </row>
    <row r="731">
      <c r="C731" s="69"/>
      <c r="D731" s="71"/>
    </row>
    <row r="732">
      <c r="C732" s="69"/>
      <c r="D732" s="71"/>
    </row>
    <row r="733">
      <c r="C733" s="69"/>
      <c r="D733" s="71"/>
    </row>
    <row r="734">
      <c r="C734" s="69"/>
      <c r="D734" s="71"/>
    </row>
    <row r="735">
      <c r="C735" s="69"/>
      <c r="D735" s="71"/>
    </row>
    <row r="736">
      <c r="C736" s="69"/>
      <c r="D736" s="71"/>
    </row>
    <row r="737">
      <c r="C737" s="69"/>
      <c r="D737" s="71"/>
    </row>
    <row r="738">
      <c r="C738" s="69"/>
      <c r="D738" s="71"/>
    </row>
    <row r="739">
      <c r="C739" s="69"/>
      <c r="D739" s="71"/>
    </row>
    <row r="740">
      <c r="C740" s="69"/>
      <c r="D740" s="71"/>
    </row>
    <row r="741">
      <c r="C741" s="69"/>
      <c r="D741" s="71"/>
    </row>
    <row r="742">
      <c r="C742" s="69"/>
      <c r="D742" s="71"/>
    </row>
    <row r="743">
      <c r="C743" s="69"/>
      <c r="D743" s="71"/>
    </row>
    <row r="744">
      <c r="C744" s="69"/>
      <c r="D744" s="71"/>
    </row>
    <row r="745">
      <c r="C745" s="69"/>
      <c r="D745" s="71"/>
    </row>
    <row r="746">
      <c r="C746" s="69"/>
      <c r="D746" s="71"/>
    </row>
    <row r="747">
      <c r="C747" s="69"/>
      <c r="D747" s="71"/>
    </row>
    <row r="748">
      <c r="C748" s="69"/>
      <c r="D748" s="71"/>
    </row>
    <row r="749">
      <c r="C749" s="69"/>
      <c r="D749" s="71"/>
    </row>
    <row r="750">
      <c r="C750" s="69"/>
      <c r="D750" s="71"/>
    </row>
    <row r="751">
      <c r="C751" s="69"/>
      <c r="D751" s="71"/>
    </row>
    <row r="752">
      <c r="C752" s="69"/>
      <c r="D752" s="71"/>
    </row>
    <row r="753">
      <c r="C753" s="69"/>
      <c r="D753" s="71"/>
    </row>
    <row r="754">
      <c r="C754" s="69"/>
      <c r="D754" s="71"/>
    </row>
    <row r="755">
      <c r="C755" s="69"/>
      <c r="D755" s="71"/>
    </row>
    <row r="756">
      <c r="C756" s="69"/>
      <c r="D756" s="71"/>
    </row>
    <row r="757">
      <c r="C757" s="69"/>
      <c r="D757" s="71"/>
    </row>
    <row r="758">
      <c r="C758" s="69"/>
      <c r="D758" s="71"/>
    </row>
    <row r="759">
      <c r="C759" s="69"/>
      <c r="D759" s="71"/>
    </row>
    <row r="760">
      <c r="C760" s="69"/>
      <c r="D760" s="71"/>
    </row>
    <row r="761">
      <c r="C761" s="69"/>
      <c r="D761" s="71"/>
    </row>
    <row r="762">
      <c r="C762" s="69"/>
      <c r="D762" s="71"/>
    </row>
    <row r="763">
      <c r="C763" s="69"/>
      <c r="D763" s="71"/>
    </row>
    <row r="764">
      <c r="C764" s="69"/>
      <c r="D764" s="71"/>
    </row>
    <row r="765">
      <c r="C765" s="69"/>
      <c r="D765" s="71"/>
    </row>
    <row r="766">
      <c r="C766" s="69"/>
      <c r="D766" s="71"/>
    </row>
    <row r="767">
      <c r="C767" s="69"/>
      <c r="D767" s="71"/>
    </row>
    <row r="768">
      <c r="C768" s="69"/>
      <c r="D768" s="71"/>
    </row>
    <row r="769">
      <c r="C769" s="69"/>
      <c r="D769" s="71"/>
    </row>
    <row r="770">
      <c r="C770" s="69"/>
      <c r="D770" s="71"/>
    </row>
    <row r="771">
      <c r="C771" s="69"/>
      <c r="D771" s="71"/>
    </row>
    <row r="772">
      <c r="C772" s="69"/>
      <c r="D772" s="71"/>
    </row>
    <row r="773">
      <c r="C773" s="69"/>
      <c r="D773" s="71"/>
    </row>
    <row r="774">
      <c r="C774" s="69"/>
      <c r="D774" s="71"/>
    </row>
    <row r="775">
      <c r="C775" s="69"/>
      <c r="D775" s="71"/>
    </row>
    <row r="776">
      <c r="C776" s="69"/>
      <c r="D776" s="71"/>
    </row>
    <row r="777">
      <c r="C777" s="69"/>
      <c r="D777" s="71"/>
    </row>
    <row r="778">
      <c r="C778" s="69"/>
      <c r="D778" s="71"/>
    </row>
    <row r="779">
      <c r="C779" s="69"/>
      <c r="D779" s="71"/>
    </row>
    <row r="780">
      <c r="C780" s="69"/>
      <c r="D780" s="71"/>
    </row>
    <row r="781">
      <c r="C781" s="69"/>
      <c r="D781" s="71"/>
    </row>
    <row r="782">
      <c r="C782" s="69"/>
      <c r="D782" s="71"/>
    </row>
    <row r="783">
      <c r="C783" s="69"/>
      <c r="D783" s="71"/>
    </row>
    <row r="784">
      <c r="C784" s="69"/>
      <c r="D784" s="71"/>
    </row>
    <row r="785">
      <c r="C785" s="69"/>
      <c r="D785" s="71"/>
    </row>
    <row r="786">
      <c r="C786" s="69"/>
      <c r="D786" s="71"/>
    </row>
    <row r="787">
      <c r="C787" s="69"/>
      <c r="D787" s="71"/>
    </row>
    <row r="788">
      <c r="C788" s="69"/>
      <c r="D788" s="71"/>
    </row>
    <row r="789">
      <c r="C789" s="69"/>
      <c r="D789" s="71"/>
    </row>
    <row r="790">
      <c r="C790" s="69"/>
      <c r="D790" s="71"/>
    </row>
    <row r="791">
      <c r="C791" s="69"/>
      <c r="D791" s="71"/>
    </row>
    <row r="792">
      <c r="C792" s="69"/>
      <c r="D792" s="71"/>
    </row>
    <row r="793">
      <c r="C793" s="69"/>
      <c r="D793" s="71"/>
    </row>
    <row r="794">
      <c r="C794" s="69"/>
      <c r="D794" s="71"/>
    </row>
    <row r="795">
      <c r="C795" s="69"/>
      <c r="D795" s="71"/>
    </row>
    <row r="796">
      <c r="C796" s="69"/>
      <c r="D796" s="71"/>
    </row>
    <row r="797">
      <c r="C797" s="69"/>
      <c r="D797" s="71"/>
    </row>
    <row r="798">
      <c r="C798" s="69"/>
      <c r="D798" s="71"/>
    </row>
    <row r="799">
      <c r="C799" s="69"/>
      <c r="D799" s="71"/>
    </row>
    <row r="800">
      <c r="C800" s="69"/>
      <c r="D800" s="71"/>
    </row>
    <row r="801">
      <c r="C801" s="69"/>
      <c r="D801" s="71"/>
    </row>
    <row r="802">
      <c r="C802" s="69"/>
      <c r="D802" s="71"/>
    </row>
    <row r="803">
      <c r="C803" s="69"/>
      <c r="D803" s="71"/>
    </row>
    <row r="804">
      <c r="C804" s="69"/>
      <c r="D804" s="71"/>
    </row>
    <row r="805">
      <c r="C805" s="69"/>
      <c r="D805" s="71"/>
    </row>
    <row r="806">
      <c r="C806" s="69"/>
      <c r="D806" s="71"/>
    </row>
    <row r="807">
      <c r="C807" s="69"/>
      <c r="D807" s="71"/>
    </row>
    <row r="808">
      <c r="C808" s="69"/>
      <c r="D808" s="71"/>
    </row>
    <row r="809">
      <c r="C809" s="69"/>
      <c r="D809" s="71"/>
    </row>
    <row r="810">
      <c r="C810" s="69"/>
      <c r="D810" s="71"/>
    </row>
    <row r="811">
      <c r="C811" s="69"/>
      <c r="D811" s="71"/>
    </row>
    <row r="812">
      <c r="C812" s="69"/>
      <c r="D812" s="71"/>
    </row>
    <row r="813">
      <c r="C813" s="69"/>
      <c r="D813" s="71"/>
    </row>
    <row r="814">
      <c r="C814" s="69"/>
      <c r="D814" s="71"/>
    </row>
    <row r="815">
      <c r="C815" s="69"/>
      <c r="D815" s="71"/>
    </row>
    <row r="816">
      <c r="C816" s="69"/>
      <c r="D816" s="71"/>
    </row>
    <row r="817">
      <c r="C817" s="69"/>
      <c r="D817" s="71"/>
    </row>
    <row r="818">
      <c r="C818" s="69"/>
      <c r="D818" s="71"/>
    </row>
    <row r="819">
      <c r="C819" s="69"/>
      <c r="D819" s="71"/>
    </row>
    <row r="820">
      <c r="C820" s="69"/>
      <c r="D820" s="71"/>
    </row>
    <row r="821">
      <c r="C821" s="69"/>
      <c r="D821" s="71"/>
    </row>
    <row r="822">
      <c r="C822" s="69"/>
      <c r="D822" s="71"/>
    </row>
    <row r="823">
      <c r="C823" s="69"/>
      <c r="D823" s="71"/>
    </row>
    <row r="824">
      <c r="C824" s="69"/>
      <c r="D824" s="71"/>
    </row>
    <row r="825">
      <c r="C825" s="69"/>
      <c r="D825" s="71"/>
    </row>
    <row r="826">
      <c r="C826" s="69"/>
      <c r="D826" s="71"/>
    </row>
    <row r="827">
      <c r="C827" s="69"/>
      <c r="D827" s="71"/>
    </row>
    <row r="828">
      <c r="C828" s="69"/>
      <c r="D828" s="71"/>
    </row>
    <row r="829">
      <c r="C829" s="69"/>
      <c r="D829" s="71"/>
    </row>
    <row r="830">
      <c r="C830" s="69"/>
      <c r="D830" s="71"/>
    </row>
    <row r="831">
      <c r="C831" s="69"/>
      <c r="D831" s="71"/>
    </row>
    <row r="832">
      <c r="C832" s="69"/>
      <c r="D832" s="71"/>
    </row>
    <row r="833">
      <c r="C833" s="69"/>
      <c r="D833" s="71"/>
    </row>
    <row r="834">
      <c r="C834" s="69"/>
      <c r="D834" s="71"/>
    </row>
    <row r="835">
      <c r="C835" s="69"/>
      <c r="D835" s="71"/>
    </row>
    <row r="836">
      <c r="C836" s="69"/>
      <c r="D836" s="71"/>
    </row>
    <row r="837">
      <c r="C837" s="69"/>
      <c r="D837" s="71"/>
    </row>
    <row r="838">
      <c r="C838" s="69"/>
      <c r="D838" s="71"/>
    </row>
    <row r="839">
      <c r="C839" s="69"/>
      <c r="D839" s="71"/>
    </row>
    <row r="840">
      <c r="C840" s="69"/>
      <c r="D840" s="71"/>
    </row>
    <row r="841">
      <c r="C841" s="69"/>
      <c r="D841" s="71"/>
    </row>
    <row r="842">
      <c r="C842" s="69"/>
      <c r="D842" s="71"/>
    </row>
    <row r="843">
      <c r="C843" s="69"/>
      <c r="D843" s="71"/>
    </row>
    <row r="844">
      <c r="C844" s="69"/>
      <c r="D844" s="71"/>
    </row>
    <row r="845">
      <c r="C845" s="69"/>
      <c r="D845" s="71"/>
    </row>
    <row r="846">
      <c r="C846" s="69"/>
      <c r="D846" s="71"/>
    </row>
    <row r="847">
      <c r="C847" s="69"/>
      <c r="D847" s="71"/>
    </row>
    <row r="848">
      <c r="C848" s="69"/>
      <c r="D848" s="71"/>
    </row>
    <row r="849">
      <c r="C849" s="69"/>
      <c r="D849" s="71"/>
    </row>
    <row r="850">
      <c r="C850" s="69"/>
      <c r="D850" s="71"/>
    </row>
    <row r="851">
      <c r="C851" s="69"/>
      <c r="D851" s="71"/>
    </row>
    <row r="852">
      <c r="C852" s="69"/>
      <c r="D852" s="71"/>
    </row>
    <row r="853">
      <c r="C853" s="69"/>
      <c r="D853" s="71"/>
    </row>
    <row r="854">
      <c r="C854" s="69"/>
      <c r="D854" s="71"/>
    </row>
    <row r="855">
      <c r="C855" s="69"/>
      <c r="D855" s="71"/>
    </row>
    <row r="856">
      <c r="C856" s="69"/>
      <c r="D856" s="71"/>
    </row>
    <row r="857">
      <c r="C857" s="69"/>
      <c r="D857" s="71"/>
    </row>
    <row r="858">
      <c r="C858" s="69"/>
      <c r="D858" s="71"/>
    </row>
    <row r="859">
      <c r="C859" s="69"/>
      <c r="D859" s="71"/>
    </row>
    <row r="860">
      <c r="C860" s="69"/>
      <c r="D860" s="71"/>
    </row>
    <row r="861">
      <c r="C861" s="69"/>
      <c r="D861" s="71"/>
    </row>
    <row r="862">
      <c r="C862" s="69"/>
      <c r="D862" s="71"/>
    </row>
    <row r="863">
      <c r="C863" s="69"/>
      <c r="D863" s="71"/>
    </row>
    <row r="864">
      <c r="C864" s="69"/>
      <c r="D864" s="71"/>
    </row>
    <row r="865">
      <c r="C865" s="69"/>
      <c r="D865" s="71"/>
    </row>
    <row r="866">
      <c r="C866" s="69"/>
      <c r="D866" s="71"/>
    </row>
    <row r="867">
      <c r="C867" s="69"/>
      <c r="D867" s="71"/>
    </row>
    <row r="868">
      <c r="C868" s="69"/>
      <c r="D868" s="71"/>
    </row>
    <row r="869">
      <c r="C869" s="69"/>
      <c r="D869" s="71"/>
    </row>
    <row r="870">
      <c r="C870" s="69"/>
      <c r="D870" s="71"/>
    </row>
    <row r="871">
      <c r="C871" s="69"/>
      <c r="D871" s="71"/>
    </row>
    <row r="872">
      <c r="C872" s="69"/>
      <c r="D872" s="71"/>
    </row>
    <row r="873">
      <c r="C873" s="69"/>
      <c r="D873" s="71"/>
    </row>
    <row r="874">
      <c r="C874" s="69"/>
      <c r="D874" s="71"/>
    </row>
    <row r="875">
      <c r="C875" s="69"/>
      <c r="D875" s="71"/>
    </row>
    <row r="876">
      <c r="C876" s="69"/>
      <c r="D876" s="71"/>
    </row>
    <row r="877">
      <c r="C877" s="69"/>
      <c r="D877" s="71"/>
    </row>
    <row r="878">
      <c r="C878" s="69"/>
      <c r="D878" s="71"/>
    </row>
    <row r="879">
      <c r="C879" s="69"/>
      <c r="D879" s="71"/>
    </row>
    <row r="880">
      <c r="C880" s="69"/>
      <c r="D880" s="71"/>
    </row>
    <row r="881">
      <c r="C881" s="69"/>
      <c r="D881" s="71"/>
    </row>
    <row r="882">
      <c r="C882" s="69"/>
      <c r="D882" s="71"/>
    </row>
    <row r="883">
      <c r="C883" s="69"/>
      <c r="D883" s="71"/>
    </row>
    <row r="884">
      <c r="C884" s="69"/>
      <c r="D884" s="71"/>
    </row>
    <row r="885">
      <c r="C885" s="69"/>
      <c r="D885" s="71"/>
    </row>
    <row r="886">
      <c r="C886" s="69"/>
      <c r="D886" s="71"/>
    </row>
    <row r="887">
      <c r="C887" s="69"/>
      <c r="D887" s="71"/>
    </row>
    <row r="888">
      <c r="C888" s="69"/>
      <c r="D888" s="71"/>
    </row>
    <row r="889">
      <c r="C889" s="69"/>
      <c r="D889" s="71"/>
    </row>
    <row r="890">
      <c r="C890" s="69"/>
      <c r="D890" s="71"/>
    </row>
    <row r="891">
      <c r="C891" s="69"/>
      <c r="D891" s="71"/>
    </row>
    <row r="892">
      <c r="C892" s="69"/>
      <c r="D892" s="71"/>
    </row>
    <row r="893">
      <c r="C893" s="69"/>
      <c r="D893" s="71"/>
    </row>
    <row r="894">
      <c r="C894" s="69"/>
      <c r="D894" s="71"/>
    </row>
    <row r="895">
      <c r="C895" s="69"/>
      <c r="D895" s="71"/>
    </row>
    <row r="896">
      <c r="C896" s="69"/>
      <c r="D896" s="71"/>
    </row>
    <row r="897">
      <c r="C897" s="69"/>
      <c r="D897" s="71"/>
    </row>
    <row r="898">
      <c r="C898" s="69"/>
      <c r="D898" s="71"/>
    </row>
    <row r="899">
      <c r="C899" s="69"/>
      <c r="D899" s="71"/>
    </row>
    <row r="900">
      <c r="C900" s="69"/>
      <c r="D900" s="71"/>
    </row>
    <row r="901">
      <c r="C901" s="69"/>
      <c r="D901" s="71"/>
    </row>
    <row r="902">
      <c r="C902" s="69"/>
      <c r="D902" s="71"/>
    </row>
    <row r="903">
      <c r="C903" s="69"/>
      <c r="D903" s="71"/>
    </row>
    <row r="904">
      <c r="C904" s="69"/>
      <c r="D904" s="71"/>
    </row>
    <row r="905">
      <c r="C905" s="69"/>
      <c r="D905" s="71"/>
    </row>
    <row r="906">
      <c r="C906" s="69"/>
      <c r="D906" s="71"/>
    </row>
    <row r="907">
      <c r="C907" s="69"/>
      <c r="D907" s="71"/>
    </row>
    <row r="908">
      <c r="C908" s="69"/>
      <c r="D908" s="71"/>
    </row>
    <row r="909">
      <c r="C909" s="69"/>
      <c r="D909" s="71"/>
    </row>
    <row r="910">
      <c r="C910" s="69"/>
      <c r="D910" s="71"/>
    </row>
    <row r="911">
      <c r="C911" s="69"/>
      <c r="D911" s="71"/>
    </row>
    <row r="912">
      <c r="C912" s="69"/>
      <c r="D912" s="71"/>
    </row>
    <row r="913">
      <c r="C913" s="69"/>
      <c r="D913" s="71"/>
    </row>
    <row r="914">
      <c r="C914" s="69"/>
      <c r="D914" s="71"/>
    </row>
    <row r="915">
      <c r="C915" s="69"/>
      <c r="D915" s="71"/>
    </row>
    <row r="916">
      <c r="C916" s="69"/>
      <c r="D916" s="71"/>
    </row>
    <row r="917">
      <c r="C917" s="69"/>
      <c r="D917" s="71"/>
    </row>
    <row r="918">
      <c r="C918" s="69"/>
      <c r="D918" s="71"/>
    </row>
    <row r="919">
      <c r="C919" s="69"/>
      <c r="D919" s="71"/>
    </row>
    <row r="920">
      <c r="C920" s="69"/>
      <c r="D920" s="71"/>
    </row>
    <row r="921">
      <c r="C921" s="69"/>
      <c r="D921" s="71"/>
    </row>
    <row r="922">
      <c r="C922" s="69"/>
      <c r="D922" s="71"/>
    </row>
    <row r="923">
      <c r="C923" s="69"/>
      <c r="D923" s="71"/>
    </row>
    <row r="924">
      <c r="C924" s="69"/>
      <c r="D924" s="71"/>
    </row>
    <row r="925">
      <c r="C925" s="69"/>
      <c r="D925" s="71"/>
    </row>
    <row r="926">
      <c r="C926" s="69"/>
      <c r="D926" s="71"/>
    </row>
    <row r="927">
      <c r="C927" s="69"/>
      <c r="D927" s="71"/>
    </row>
    <row r="928">
      <c r="C928" s="69"/>
      <c r="D928" s="71"/>
    </row>
    <row r="929">
      <c r="C929" s="69"/>
      <c r="D929" s="71"/>
    </row>
    <row r="930">
      <c r="C930" s="69"/>
      <c r="D930" s="71"/>
    </row>
    <row r="931">
      <c r="C931" s="69"/>
      <c r="D931" s="71"/>
    </row>
    <row r="932">
      <c r="C932" s="69"/>
      <c r="D932" s="71"/>
    </row>
    <row r="933">
      <c r="C933" s="69"/>
      <c r="D933" s="71"/>
    </row>
    <row r="934">
      <c r="C934" s="69"/>
      <c r="D934" s="71"/>
    </row>
    <row r="935">
      <c r="C935" s="69"/>
      <c r="D935" s="71"/>
    </row>
    <row r="936">
      <c r="C936" s="69"/>
      <c r="D936" s="71"/>
    </row>
    <row r="937">
      <c r="C937" s="69"/>
      <c r="D937" s="71"/>
    </row>
    <row r="938">
      <c r="C938" s="69"/>
      <c r="D938" s="71"/>
    </row>
    <row r="939">
      <c r="C939" s="69"/>
      <c r="D939" s="71"/>
    </row>
    <row r="940">
      <c r="C940" s="69"/>
      <c r="D940" s="71"/>
    </row>
    <row r="941">
      <c r="C941" s="69"/>
      <c r="D941" s="71"/>
    </row>
    <row r="942">
      <c r="C942" s="69"/>
      <c r="D942" s="71"/>
    </row>
    <row r="943">
      <c r="C943" s="69"/>
      <c r="D943" s="71"/>
    </row>
    <row r="944">
      <c r="C944" s="69"/>
      <c r="D944" s="71"/>
    </row>
    <row r="945">
      <c r="C945" s="69"/>
      <c r="D945" s="71"/>
    </row>
    <row r="946">
      <c r="C946" s="69"/>
      <c r="D946" s="71"/>
    </row>
    <row r="947">
      <c r="C947" s="69"/>
      <c r="D947" s="71"/>
    </row>
    <row r="948">
      <c r="C948" s="69"/>
      <c r="D948" s="71"/>
    </row>
    <row r="949">
      <c r="C949" s="69"/>
      <c r="D949" s="71"/>
    </row>
    <row r="950">
      <c r="C950" s="69"/>
      <c r="D950" s="71"/>
    </row>
    <row r="951">
      <c r="C951" s="69"/>
      <c r="D951" s="71"/>
    </row>
    <row r="952">
      <c r="C952" s="69"/>
      <c r="D952" s="71"/>
    </row>
    <row r="953">
      <c r="C953" s="69"/>
      <c r="D953" s="71"/>
    </row>
    <row r="954">
      <c r="C954" s="69"/>
      <c r="D954" s="71"/>
    </row>
    <row r="955">
      <c r="C955" s="69"/>
      <c r="D955" s="71"/>
    </row>
    <row r="956">
      <c r="C956" s="69"/>
      <c r="D956" s="71"/>
    </row>
    <row r="957">
      <c r="C957" s="69"/>
      <c r="D957" s="71"/>
    </row>
    <row r="958">
      <c r="C958" s="69"/>
      <c r="D958" s="71"/>
    </row>
    <row r="959">
      <c r="C959" s="69"/>
      <c r="D959" s="71"/>
    </row>
    <row r="960">
      <c r="C960" s="69"/>
      <c r="D960" s="71"/>
    </row>
    <row r="961">
      <c r="C961" s="69"/>
      <c r="D961" s="71"/>
    </row>
    <row r="962">
      <c r="C962" s="69"/>
      <c r="D962" s="71"/>
    </row>
    <row r="963">
      <c r="C963" s="69"/>
      <c r="D963" s="71"/>
    </row>
    <row r="964">
      <c r="C964" s="69"/>
      <c r="D964" s="71"/>
    </row>
    <row r="965">
      <c r="C965" s="69"/>
      <c r="D965" s="71"/>
    </row>
    <row r="966">
      <c r="C966" s="69"/>
      <c r="D966" s="71"/>
    </row>
    <row r="967">
      <c r="C967" s="69"/>
      <c r="D967" s="71"/>
    </row>
    <row r="968">
      <c r="C968" s="69"/>
      <c r="D968" s="71"/>
    </row>
    <row r="969">
      <c r="C969" s="69"/>
      <c r="D969" s="71"/>
    </row>
    <row r="970">
      <c r="C970" s="69"/>
      <c r="D970" s="71"/>
    </row>
    <row r="971">
      <c r="C971" s="69"/>
      <c r="D971" s="71"/>
    </row>
    <row r="972">
      <c r="C972" s="69"/>
      <c r="D972" s="71"/>
    </row>
    <row r="973">
      <c r="C973" s="69"/>
      <c r="D973" s="71"/>
    </row>
    <row r="974">
      <c r="C974" s="69"/>
      <c r="D974" s="71"/>
    </row>
    <row r="975">
      <c r="C975" s="69"/>
      <c r="D975" s="71"/>
    </row>
    <row r="976">
      <c r="C976" s="69"/>
      <c r="D976" s="71"/>
    </row>
    <row r="977">
      <c r="C977" s="69"/>
      <c r="D977" s="71"/>
    </row>
    <row r="978">
      <c r="C978" s="69"/>
      <c r="D978" s="71"/>
    </row>
    <row r="979">
      <c r="C979" s="69"/>
      <c r="D979" s="71"/>
    </row>
    <row r="980">
      <c r="C980" s="69"/>
      <c r="D980" s="71"/>
    </row>
    <row r="981">
      <c r="C981" s="69"/>
      <c r="D981" s="71"/>
    </row>
    <row r="982">
      <c r="C982" s="69"/>
      <c r="D982" s="71"/>
    </row>
    <row r="983">
      <c r="C983" s="69"/>
      <c r="D983" s="71"/>
    </row>
    <row r="984">
      <c r="C984" s="69"/>
      <c r="D984" s="71"/>
    </row>
    <row r="985">
      <c r="C985" s="69"/>
      <c r="D985" s="71"/>
    </row>
    <row r="986">
      <c r="C986" s="69"/>
      <c r="D986" s="71"/>
    </row>
    <row r="987">
      <c r="C987" s="69"/>
      <c r="D987" s="71"/>
    </row>
    <row r="988">
      <c r="C988" s="69"/>
      <c r="D988" s="71"/>
    </row>
    <row r="989">
      <c r="C989" s="69"/>
      <c r="D989" s="71"/>
    </row>
    <row r="990">
      <c r="C990" s="69"/>
      <c r="D990" s="71"/>
    </row>
    <row r="991">
      <c r="C991" s="69"/>
      <c r="D991" s="71"/>
    </row>
    <row r="992">
      <c r="C992" s="69"/>
      <c r="D992" s="71"/>
    </row>
    <row r="993">
      <c r="C993" s="69"/>
      <c r="D993" s="71"/>
    </row>
    <row r="994">
      <c r="C994" s="69"/>
      <c r="D994" s="71"/>
    </row>
    <row r="995">
      <c r="C995" s="69"/>
      <c r="D995" s="71"/>
    </row>
    <row r="996">
      <c r="C996" s="69"/>
      <c r="D996" s="71"/>
    </row>
    <row r="997">
      <c r="C997" s="69"/>
      <c r="D997" s="71"/>
    </row>
    <row r="998">
      <c r="C998" s="69"/>
      <c r="D998" s="71"/>
    </row>
    <row r="999">
      <c r="C999" s="69"/>
      <c r="D999" s="71"/>
    </row>
    <row r="1000">
      <c r="C1000" s="69"/>
      <c r="D1000" s="71"/>
    </row>
  </sheetData>
  <hyperlinks>
    <hyperlink r:id="rId1" ref="C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 customWidth="1" min="2" max="2" width="42.75"/>
    <col customWidth="1" min="3" max="3" width="15.5"/>
    <col customWidth="1" min="4" max="4" width="16.25"/>
    <col customWidth="1" min="5" max="5" width="16.63"/>
  </cols>
  <sheetData>
    <row r="1">
      <c r="A1" s="1" t="s">
        <v>0</v>
      </c>
      <c r="B1" s="1" t="s">
        <v>28</v>
      </c>
      <c r="C1" s="1" t="s">
        <v>29</v>
      </c>
      <c r="D1" s="1" t="s">
        <v>30</v>
      </c>
      <c r="E1" s="1" t="s">
        <v>31</v>
      </c>
    </row>
    <row r="2">
      <c r="A2" s="8" t="s">
        <v>608</v>
      </c>
      <c r="B2" s="8" t="s">
        <v>1055</v>
      </c>
      <c r="C2" s="8" t="s">
        <v>1056</v>
      </c>
      <c r="D2" s="8" t="s">
        <v>1057</v>
      </c>
      <c r="E2" s="8" t="s">
        <v>1058</v>
      </c>
    </row>
    <row r="3">
      <c r="A3" s="8" t="s">
        <v>57</v>
      </c>
      <c r="B3" s="8" t="s">
        <v>64</v>
      </c>
      <c r="C3" s="8" t="s">
        <v>65</v>
      </c>
      <c r="D3" s="8" t="s">
        <v>66</v>
      </c>
      <c r="E3" s="8" t="s">
        <v>67</v>
      </c>
    </row>
    <row r="4">
      <c r="A4" s="8" t="s">
        <v>588</v>
      </c>
      <c r="B4" s="8" t="s">
        <v>1059</v>
      </c>
      <c r="C4" s="8" t="s">
        <v>1060</v>
      </c>
      <c r="D4" s="8" t="s">
        <v>1061</v>
      </c>
      <c r="E4" s="8" t="s">
        <v>1062</v>
      </c>
    </row>
    <row r="5">
      <c r="A5" s="8" t="s">
        <v>353</v>
      </c>
      <c r="B5" s="8" t="s">
        <v>1063</v>
      </c>
      <c r="C5" s="8" t="s">
        <v>1064</v>
      </c>
      <c r="D5" s="8" t="s">
        <v>1065</v>
      </c>
      <c r="E5" s="8" t="s">
        <v>1060</v>
      </c>
    </row>
    <row r="6">
      <c r="A6" s="8" t="s">
        <v>79</v>
      </c>
      <c r="B6" s="8" t="s">
        <v>1066</v>
      </c>
      <c r="C6" s="8" t="s">
        <v>1067</v>
      </c>
      <c r="D6" s="8" t="s">
        <v>1068</v>
      </c>
      <c r="E6" s="8" t="s">
        <v>1069</v>
      </c>
    </row>
    <row r="7">
      <c r="A7" s="8" t="s">
        <v>458</v>
      </c>
      <c r="B7" s="20" t="s">
        <v>74</v>
      </c>
      <c r="C7" s="20" t="s">
        <v>74</v>
      </c>
      <c r="D7" s="20" t="s">
        <v>74</v>
      </c>
      <c r="E7" s="20" t="s">
        <v>74</v>
      </c>
    </row>
    <row r="8">
      <c r="A8" s="8" t="s">
        <v>379</v>
      </c>
      <c r="B8" s="8" t="s">
        <v>1070</v>
      </c>
      <c r="C8" s="8" t="s">
        <v>1071</v>
      </c>
      <c r="D8" s="8" t="s">
        <v>1072</v>
      </c>
      <c r="E8" s="8" t="s">
        <v>1073</v>
      </c>
    </row>
    <row r="9">
      <c r="A9" s="8" t="s">
        <v>554</v>
      </c>
      <c r="B9" s="8" t="s">
        <v>1074</v>
      </c>
      <c r="C9" s="8" t="s">
        <v>1075</v>
      </c>
      <c r="D9" s="8" t="s">
        <v>1076</v>
      </c>
      <c r="E9" s="8" t="s">
        <v>1077</v>
      </c>
    </row>
    <row r="10">
      <c r="A10" s="8" t="s">
        <v>44</v>
      </c>
      <c r="B10" s="8" t="s">
        <v>1078</v>
      </c>
      <c r="C10" s="8" t="s">
        <v>1079</v>
      </c>
      <c r="D10" s="8" t="s">
        <v>1080</v>
      </c>
      <c r="E10" s="8" t="s">
        <v>1064</v>
      </c>
    </row>
    <row r="11">
      <c r="A11" s="8" t="s">
        <v>415</v>
      </c>
      <c r="B11" s="8" t="s">
        <v>1081</v>
      </c>
      <c r="C11" s="8" t="s">
        <v>1064</v>
      </c>
      <c r="D11" s="8" t="s">
        <v>1082</v>
      </c>
      <c r="E11" s="8" t="s">
        <v>1077</v>
      </c>
    </row>
    <row r="12">
      <c r="A12" s="8" t="s">
        <v>68</v>
      </c>
      <c r="B12" s="20" t="s">
        <v>74</v>
      </c>
      <c r="C12" s="20" t="s">
        <v>74</v>
      </c>
      <c r="D12" s="20" t="s">
        <v>74</v>
      </c>
      <c r="E12" s="20" t="s">
        <v>74</v>
      </c>
    </row>
    <row r="13">
      <c r="A13" s="8" t="s">
        <v>75</v>
      </c>
      <c r="B13" s="20" t="s">
        <v>74</v>
      </c>
      <c r="C13" s="11" t="s">
        <v>47</v>
      </c>
      <c r="D13" s="20" t="s">
        <v>74</v>
      </c>
      <c r="E13" s="11" t="s">
        <v>47</v>
      </c>
    </row>
    <row r="14">
      <c r="A14" s="8" t="s">
        <v>118</v>
      </c>
      <c r="B14" s="11" t="s">
        <v>47</v>
      </c>
      <c r="C14" s="11" t="s">
        <v>47</v>
      </c>
      <c r="D14" s="11" t="s">
        <v>47</v>
      </c>
      <c r="E14" s="11" t="s">
        <v>47</v>
      </c>
    </row>
    <row r="15">
      <c r="A15" s="8" t="s">
        <v>484</v>
      </c>
      <c r="B15" s="20" t="s">
        <v>74</v>
      </c>
      <c r="C15" s="11" t="s">
        <v>47</v>
      </c>
      <c r="D15" s="20" t="s">
        <v>74</v>
      </c>
      <c r="E15" s="11" t="s">
        <v>47</v>
      </c>
    </row>
    <row r="16">
      <c r="A16" s="8" t="s">
        <v>84</v>
      </c>
      <c r="B16" s="11" t="s">
        <v>47</v>
      </c>
      <c r="C16" s="11" t="s">
        <v>47</v>
      </c>
      <c r="D16" s="11" t="s">
        <v>47</v>
      </c>
      <c r="E16" s="11" t="s">
        <v>47</v>
      </c>
    </row>
    <row r="17">
      <c r="A17" s="8" t="s">
        <v>539</v>
      </c>
      <c r="B17" s="20" t="s">
        <v>74</v>
      </c>
      <c r="C17" s="11" t="s">
        <v>47</v>
      </c>
      <c r="D17" s="20" t="s">
        <v>74</v>
      </c>
      <c r="E17" s="11" t="s">
        <v>47</v>
      </c>
    </row>
    <row r="18">
      <c r="A18" s="8" t="s">
        <v>481</v>
      </c>
      <c r="B18" s="20" t="s">
        <v>74</v>
      </c>
      <c r="C18" s="20" t="s">
        <v>74</v>
      </c>
      <c r="D18" s="20" t="s">
        <v>74</v>
      </c>
      <c r="E18" s="20" t="s">
        <v>74</v>
      </c>
    </row>
    <row r="19">
      <c r="A19" s="8" t="s">
        <v>143</v>
      </c>
      <c r="B19" s="11" t="s">
        <v>47</v>
      </c>
      <c r="C19" s="11" t="s">
        <v>47</v>
      </c>
      <c r="D19" s="11" t="s">
        <v>47</v>
      </c>
      <c r="E19" s="11" t="s">
        <v>47</v>
      </c>
    </row>
    <row r="20">
      <c r="A20" s="8" t="s">
        <v>146</v>
      </c>
      <c r="B20" s="8" t="s">
        <v>1083</v>
      </c>
      <c r="C20" s="8" t="s">
        <v>1084</v>
      </c>
      <c r="D20" s="8" t="s">
        <v>1085</v>
      </c>
      <c r="E20" s="8" t="s">
        <v>1086</v>
      </c>
    </row>
    <row r="21">
      <c r="A21" s="8" t="s">
        <v>391</v>
      </c>
      <c r="B21" s="8" t="s">
        <v>1087</v>
      </c>
      <c r="C21" s="8" t="s">
        <v>1088</v>
      </c>
      <c r="D21" s="8" t="s">
        <v>1089</v>
      </c>
      <c r="E21" s="8" t="s">
        <v>1090</v>
      </c>
    </row>
    <row r="22">
      <c r="A22" s="8" t="s">
        <v>157</v>
      </c>
      <c r="B22" s="11" t="s">
        <v>47</v>
      </c>
      <c r="C22" s="11" t="s">
        <v>47</v>
      </c>
      <c r="D22" s="11" t="s">
        <v>47</v>
      </c>
      <c r="E22" s="11" t="s">
        <v>47</v>
      </c>
    </row>
    <row r="23">
      <c r="A23" s="8" t="s">
        <v>160</v>
      </c>
      <c r="B23" s="11" t="s">
        <v>47</v>
      </c>
      <c r="C23" s="11" t="s">
        <v>47</v>
      </c>
      <c r="D23" s="11" t="s">
        <v>47</v>
      </c>
      <c r="E23" s="11" t="s">
        <v>47</v>
      </c>
    </row>
    <row r="24">
      <c r="A24" s="8" t="s">
        <v>328</v>
      </c>
      <c r="B24" s="8" t="s">
        <v>1091</v>
      </c>
      <c r="C24" s="11" t="s">
        <v>47</v>
      </c>
      <c r="D24" s="8" t="s">
        <v>1092</v>
      </c>
      <c r="E24" s="11" t="s">
        <v>47</v>
      </c>
    </row>
    <row r="25">
      <c r="A25" s="8" t="s">
        <v>581</v>
      </c>
      <c r="B25" s="8" t="s">
        <v>1093</v>
      </c>
      <c r="C25" s="11" t="s">
        <v>47</v>
      </c>
      <c r="D25" s="8" t="s">
        <v>375</v>
      </c>
      <c r="E25" s="11" t="s">
        <v>47</v>
      </c>
    </row>
    <row r="26">
      <c r="A26" s="8" t="s">
        <v>576</v>
      </c>
      <c r="B26" s="20" t="s">
        <v>74</v>
      </c>
      <c r="C26" s="20" t="s">
        <v>74</v>
      </c>
      <c r="D26" s="20" t="s">
        <v>74</v>
      </c>
      <c r="E26" s="20" t="s">
        <v>74</v>
      </c>
    </row>
    <row r="27">
      <c r="A27" s="8" t="s">
        <v>388</v>
      </c>
      <c r="B27" s="8" t="s">
        <v>1094</v>
      </c>
      <c r="C27" s="11" t="s">
        <v>47</v>
      </c>
      <c r="D27" s="8" t="s">
        <v>1095</v>
      </c>
      <c r="E27" s="11" t="s">
        <v>47</v>
      </c>
    </row>
    <row r="28">
      <c r="A28" s="8" t="s">
        <v>93</v>
      </c>
      <c r="B28" s="20" t="s">
        <v>74</v>
      </c>
      <c r="C28" s="20" t="s">
        <v>74</v>
      </c>
      <c r="D28" s="20" t="s">
        <v>74</v>
      </c>
      <c r="E28" s="20" t="s">
        <v>74</v>
      </c>
    </row>
    <row r="29">
      <c r="A29" s="8" t="s">
        <v>369</v>
      </c>
      <c r="B29" s="8" t="s">
        <v>1096</v>
      </c>
      <c r="C29" s="11" t="s">
        <v>47</v>
      </c>
      <c r="D29" s="8" t="s">
        <v>1097</v>
      </c>
      <c r="E29" s="11" t="s">
        <v>47</v>
      </c>
    </row>
    <row r="30">
      <c r="A30" s="8" t="s">
        <v>189</v>
      </c>
      <c r="B30" s="11" t="s">
        <v>47</v>
      </c>
      <c r="C30" s="11" t="s">
        <v>47</v>
      </c>
      <c r="D30" s="11" t="s">
        <v>47</v>
      </c>
      <c r="E30" s="11" t="s">
        <v>47</v>
      </c>
    </row>
    <row r="31">
      <c r="A31" s="8" t="s">
        <v>96</v>
      </c>
      <c r="B31" s="8" t="s">
        <v>1098</v>
      </c>
      <c r="C31" s="8" t="s">
        <v>1099</v>
      </c>
      <c r="D31" s="8" t="s">
        <v>1100</v>
      </c>
      <c r="E31" s="8" t="s">
        <v>1101</v>
      </c>
    </row>
    <row r="32">
      <c r="A32" s="8" t="s">
        <v>424</v>
      </c>
      <c r="B32" s="8" t="s">
        <v>1102</v>
      </c>
      <c r="C32" s="20" t="s">
        <v>74</v>
      </c>
      <c r="D32" s="8" t="s">
        <v>1103</v>
      </c>
      <c r="E32" s="20" t="s">
        <v>74</v>
      </c>
    </row>
    <row r="33">
      <c r="A33" s="8" t="s">
        <v>501</v>
      </c>
      <c r="B33" s="20" t="s">
        <v>74</v>
      </c>
      <c r="C33" s="20" t="s">
        <v>74</v>
      </c>
      <c r="D33" s="20" t="s">
        <v>74</v>
      </c>
      <c r="E33" s="20" t="s">
        <v>74</v>
      </c>
    </row>
    <row r="34">
      <c r="A34" s="8" t="s">
        <v>443</v>
      </c>
      <c r="B34" s="8" t="s">
        <v>1104</v>
      </c>
      <c r="C34" s="20" t="s">
        <v>74</v>
      </c>
      <c r="D34" s="8" t="s">
        <v>1105</v>
      </c>
      <c r="E34" s="20" t="s">
        <v>74</v>
      </c>
    </row>
    <row r="35">
      <c r="A35" s="8" t="s">
        <v>101</v>
      </c>
      <c r="B35" s="20" t="s">
        <v>74</v>
      </c>
      <c r="C35" s="20" t="s">
        <v>74</v>
      </c>
      <c r="D35" s="20" t="s">
        <v>74</v>
      </c>
      <c r="E35" s="8" t="s">
        <v>1106</v>
      </c>
    </row>
    <row r="36">
      <c r="A36" s="8" t="s">
        <v>106</v>
      </c>
      <c r="B36" s="20" t="s">
        <v>74</v>
      </c>
      <c r="C36" s="20" t="s">
        <v>74</v>
      </c>
      <c r="D36" s="20" t="s">
        <v>74</v>
      </c>
      <c r="E36" s="20" t="s">
        <v>74</v>
      </c>
    </row>
    <row r="37">
      <c r="A37" s="8" t="s">
        <v>110</v>
      </c>
      <c r="B37" s="8" t="s">
        <v>1107</v>
      </c>
      <c r="C37" s="20" t="s">
        <v>74</v>
      </c>
      <c r="D37" s="20" t="s">
        <v>74</v>
      </c>
      <c r="E37" s="20" t="s">
        <v>74</v>
      </c>
    </row>
    <row r="38">
      <c r="A38" s="8" t="s">
        <v>114</v>
      </c>
      <c r="B38" s="8" t="s">
        <v>1108</v>
      </c>
      <c r="C38" s="20" t="s">
        <v>74</v>
      </c>
      <c r="D38" s="20" t="s">
        <v>74</v>
      </c>
      <c r="E38" s="20" t="s">
        <v>74</v>
      </c>
    </row>
    <row r="39">
      <c r="A39" s="8" t="s">
        <v>530</v>
      </c>
      <c r="B39" s="8" t="s">
        <v>1109</v>
      </c>
      <c r="C39" s="11" t="s">
        <v>47</v>
      </c>
      <c r="D39" s="8" t="s">
        <v>1110</v>
      </c>
      <c r="E39" s="11" t="s">
        <v>47</v>
      </c>
    </row>
    <row r="40">
      <c r="A40" s="8" t="s">
        <v>122</v>
      </c>
      <c r="B40" s="20" t="s">
        <v>74</v>
      </c>
      <c r="C40" s="20" t="s">
        <v>74</v>
      </c>
      <c r="D40" s="20" t="s">
        <v>74</v>
      </c>
      <c r="E40" s="20" t="s">
        <v>74</v>
      </c>
    </row>
    <row r="41">
      <c r="A41" s="8" t="s">
        <v>131</v>
      </c>
      <c r="B41" s="20" t="s">
        <v>74</v>
      </c>
      <c r="C41" s="20" t="s">
        <v>74</v>
      </c>
      <c r="D41" s="20" t="s">
        <v>74</v>
      </c>
      <c r="E41" s="20" t="s">
        <v>74</v>
      </c>
    </row>
    <row r="42">
      <c r="A42" s="8" t="s">
        <v>419</v>
      </c>
      <c r="B42" s="20" t="s">
        <v>74</v>
      </c>
      <c r="C42" s="20" t="s">
        <v>74</v>
      </c>
      <c r="D42" s="20" t="s">
        <v>74</v>
      </c>
      <c r="E42" s="20" t="s">
        <v>74</v>
      </c>
    </row>
    <row r="43">
      <c r="A43" s="8" t="s">
        <v>240</v>
      </c>
      <c r="B43" s="11" t="s">
        <v>47</v>
      </c>
      <c r="C43" s="11" t="s">
        <v>47</v>
      </c>
      <c r="D43" s="11" t="s">
        <v>47</v>
      </c>
      <c r="E43" s="11" t="s">
        <v>47</v>
      </c>
    </row>
    <row r="44">
      <c r="A44" s="8" t="s">
        <v>487</v>
      </c>
      <c r="B44" s="11" t="s">
        <v>47</v>
      </c>
      <c r="C44" s="11" t="s">
        <v>47</v>
      </c>
      <c r="D44" s="11" t="s">
        <v>47</v>
      </c>
      <c r="E44" s="11" t="s">
        <v>47</v>
      </c>
    </row>
    <row r="45">
      <c r="A45" s="8" t="s">
        <v>351</v>
      </c>
      <c r="B45" s="20" t="s">
        <v>74</v>
      </c>
      <c r="C45" s="11" t="s">
        <v>47</v>
      </c>
      <c r="D45" s="20" t="s">
        <v>74</v>
      </c>
      <c r="E45" s="11" t="s">
        <v>47</v>
      </c>
    </row>
    <row r="46">
      <c r="A46" s="8" t="s">
        <v>251</v>
      </c>
      <c r="B46" s="11" t="s">
        <v>47</v>
      </c>
      <c r="C46" s="11" t="s">
        <v>47</v>
      </c>
      <c r="D46" s="11" t="s">
        <v>47</v>
      </c>
      <c r="E46" s="11" t="s">
        <v>47</v>
      </c>
    </row>
    <row r="47">
      <c r="A47" s="8" t="s">
        <v>255</v>
      </c>
      <c r="B47" s="11" t="s">
        <v>47</v>
      </c>
      <c r="C47" s="11" t="s">
        <v>47</v>
      </c>
      <c r="D47" s="11" t="s">
        <v>47</v>
      </c>
      <c r="E47" s="11" t="s">
        <v>47</v>
      </c>
    </row>
    <row r="48">
      <c r="A48" s="8" t="s">
        <v>136</v>
      </c>
      <c r="B48" s="11" t="s">
        <v>47</v>
      </c>
      <c r="C48" s="11" t="s">
        <v>47</v>
      </c>
      <c r="D48" s="11" t="s">
        <v>47</v>
      </c>
      <c r="E48" s="11" t="s">
        <v>47</v>
      </c>
    </row>
    <row r="49">
      <c r="A49" s="8" t="s">
        <v>535</v>
      </c>
      <c r="B49" s="15" t="s">
        <v>1111</v>
      </c>
      <c r="C49" s="15" t="s">
        <v>1112</v>
      </c>
      <c r="D49" s="15" t="s">
        <v>1113</v>
      </c>
      <c r="E49" s="15" t="s">
        <v>1114</v>
      </c>
    </row>
    <row r="50">
      <c r="A50" s="8" t="s">
        <v>266</v>
      </c>
      <c r="B50" s="11" t="s">
        <v>47</v>
      </c>
      <c r="C50" s="11" t="s">
        <v>1115</v>
      </c>
      <c r="D50" s="11" t="s">
        <v>47</v>
      </c>
      <c r="E50" s="11" t="s">
        <v>47</v>
      </c>
    </row>
    <row r="51">
      <c r="A51" s="8" t="s">
        <v>140</v>
      </c>
      <c r="B51" s="20" t="s">
        <v>74</v>
      </c>
      <c r="C51" s="20" t="s">
        <v>74</v>
      </c>
      <c r="D51" s="20" t="s">
        <v>74</v>
      </c>
      <c r="E51" s="20" t="s">
        <v>74</v>
      </c>
    </row>
    <row r="52">
      <c r="A52" s="8" t="s">
        <v>153</v>
      </c>
      <c r="B52" s="8" t="s">
        <v>1116</v>
      </c>
      <c r="C52" s="8" t="s">
        <v>1117</v>
      </c>
      <c r="D52" s="8" t="s">
        <v>1118</v>
      </c>
      <c r="E52" s="8" t="s">
        <v>1119</v>
      </c>
    </row>
    <row r="53">
      <c r="A53" s="8" t="s">
        <v>278</v>
      </c>
      <c r="B53" s="20" t="s">
        <v>74</v>
      </c>
      <c r="C53" s="20" t="s">
        <v>74</v>
      </c>
      <c r="D53" s="20" t="s">
        <v>74</v>
      </c>
      <c r="E53" s="20" t="s">
        <v>74</v>
      </c>
    </row>
    <row r="54">
      <c r="A54" s="8" t="s">
        <v>162</v>
      </c>
      <c r="B54" s="20" t="s">
        <v>74</v>
      </c>
      <c r="C54" s="20" t="s">
        <v>74</v>
      </c>
      <c r="D54" s="20" t="s">
        <v>74</v>
      </c>
      <c r="E54" s="20" t="s">
        <v>74</v>
      </c>
    </row>
    <row r="55">
      <c r="A55" s="8" t="s">
        <v>543</v>
      </c>
      <c r="B55" s="8" t="s">
        <v>1120</v>
      </c>
      <c r="C55" s="8" t="s">
        <v>1101</v>
      </c>
      <c r="D55" s="8" t="s">
        <v>1121</v>
      </c>
      <c r="E55" s="8" t="s">
        <v>1117</v>
      </c>
    </row>
    <row r="56">
      <c r="A56" s="8" t="s">
        <v>291</v>
      </c>
      <c r="B56" s="11" t="s">
        <v>47</v>
      </c>
      <c r="C56" s="11" t="s">
        <v>47</v>
      </c>
      <c r="D56" s="11" t="s">
        <v>47</v>
      </c>
      <c r="E56" s="11" t="s">
        <v>47</v>
      </c>
    </row>
    <row r="57">
      <c r="A57" s="8" t="s">
        <v>584</v>
      </c>
      <c r="B57" s="20" t="s">
        <v>74</v>
      </c>
      <c r="C57" s="20" t="s">
        <v>74</v>
      </c>
      <c r="D57" s="20" t="s">
        <v>74</v>
      </c>
      <c r="E57" s="20" t="s">
        <v>74</v>
      </c>
    </row>
    <row r="58">
      <c r="A58" s="8" t="s">
        <v>166</v>
      </c>
      <c r="B58" s="8" t="s">
        <v>1122</v>
      </c>
      <c r="C58" s="20" t="s">
        <v>74</v>
      </c>
      <c r="D58" s="20" t="s">
        <v>74</v>
      </c>
      <c r="E58" s="20" t="s">
        <v>74</v>
      </c>
    </row>
    <row r="59">
      <c r="A59" s="8" t="s">
        <v>522</v>
      </c>
      <c r="B59" s="20" t="s">
        <v>74</v>
      </c>
      <c r="C59" s="20" t="s">
        <v>74</v>
      </c>
      <c r="D59" s="20" t="s">
        <v>74</v>
      </c>
      <c r="E59" s="20" t="s">
        <v>74</v>
      </c>
    </row>
    <row r="60">
      <c r="A60" s="8" t="s">
        <v>495</v>
      </c>
      <c r="B60" s="8" t="s">
        <v>1123</v>
      </c>
      <c r="C60" s="20" t="s">
        <v>74</v>
      </c>
      <c r="D60" s="20" t="s">
        <v>74</v>
      </c>
      <c r="E60" s="20" t="s">
        <v>74</v>
      </c>
    </row>
    <row r="61">
      <c r="A61" s="8" t="s">
        <v>171</v>
      </c>
      <c r="B61" s="8" t="s">
        <v>1124</v>
      </c>
      <c r="C61" s="8" t="s">
        <v>1125</v>
      </c>
      <c r="D61" s="11" t="s">
        <v>47</v>
      </c>
      <c r="E61" s="11" t="s">
        <v>47</v>
      </c>
    </row>
    <row r="62">
      <c r="A62" s="8" t="s">
        <v>472</v>
      </c>
      <c r="B62" s="20" t="s">
        <v>74</v>
      </c>
      <c r="C62" s="8" t="s">
        <v>1126</v>
      </c>
      <c r="D62" s="20" t="s">
        <v>74</v>
      </c>
      <c r="E62" s="8" t="s">
        <v>1126</v>
      </c>
    </row>
    <row r="63">
      <c r="A63" s="8" t="s">
        <v>324</v>
      </c>
      <c r="B63" s="8" t="s">
        <v>1127</v>
      </c>
      <c r="C63" s="11" t="s">
        <v>47</v>
      </c>
      <c r="D63" s="8" t="s">
        <v>1128</v>
      </c>
      <c r="E63" s="11" t="s">
        <v>47</v>
      </c>
    </row>
    <row r="64">
      <c r="A64" s="8" t="s">
        <v>175</v>
      </c>
      <c r="B64" s="8" t="s">
        <v>1129</v>
      </c>
      <c r="C64" s="8" t="s">
        <v>1130</v>
      </c>
      <c r="D64" s="8" t="s">
        <v>396</v>
      </c>
      <c r="E64" s="8" t="s">
        <v>1131</v>
      </c>
    </row>
    <row r="65">
      <c r="A65" s="8" t="s">
        <v>384</v>
      </c>
      <c r="B65" s="8" t="s">
        <v>1132</v>
      </c>
      <c r="C65" s="8" t="s">
        <v>1133</v>
      </c>
      <c r="D65" s="8" t="s">
        <v>1134</v>
      </c>
      <c r="E65" s="8" t="s">
        <v>1135</v>
      </c>
    </row>
    <row r="66">
      <c r="A66" s="8" t="s">
        <v>179</v>
      </c>
      <c r="B66" s="8" t="s">
        <v>1136</v>
      </c>
      <c r="C66" s="8" t="s">
        <v>74</v>
      </c>
      <c r="D66" s="8" t="s">
        <v>1093</v>
      </c>
      <c r="E66" s="20" t="s">
        <v>74</v>
      </c>
    </row>
    <row r="67">
      <c r="A67" s="8" t="s">
        <v>184</v>
      </c>
      <c r="B67" s="8" t="s">
        <v>1137</v>
      </c>
      <c r="C67" s="20" t="s">
        <v>74</v>
      </c>
      <c r="D67" s="20" t="s">
        <v>74</v>
      </c>
      <c r="E67" s="20" t="s">
        <v>74</v>
      </c>
    </row>
    <row r="68">
      <c r="A68" s="8" t="s">
        <v>345</v>
      </c>
    </row>
    <row r="69">
      <c r="A69" s="8" t="s">
        <v>433</v>
      </c>
      <c r="B69" s="8" t="s">
        <v>1138</v>
      </c>
      <c r="C69" s="20" t="s">
        <v>74</v>
      </c>
      <c r="D69" s="20" t="s">
        <v>74</v>
      </c>
      <c r="E69" s="20" t="s">
        <v>74</v>
      </c>
    </row>
    <row r="70">
      <c r="A70" s="8" t="s">
        <v>191</v>
      </c>
      <c r="B70" s="20" t="s">
        <v>74</v>
      </c>
      <c r="C70" s="20" t="s">
        <v>74</v>
      </c>
      <c r="D70" s="20" t="s">
        <v>74</v>
      </c>
      <c r="E70" s="20" t="s">
        <v>74</v>
      </c>
    </row>
    <row r="71">
      <c r="A71" s="8" t="s">
        <v>593</v>
      </c>
      <c r="B71" s="8" t="s">
        <v>1139</v>
      </c>
      <c r="C71" s="20" t="s">
        <v>74</v>
      </c>
      <c r="D71" s="20" t="s">
        <v>74</v>
      </c>
      <c r="E71" s="20" t="s">
        <v>74</v>
      </c>
    </row>
    <row r="72">
      <c r="A72" s="8" t="s">
        <v>630</v>
      </c>
      <c r="B72" s="8" t="s">
        <v>1140</v>
      </c>
      <c r="C72" s="11" t="s">
        <v>47</v>
      </c>
      <c r="D72" s="8" t="s">
        <v>1141</v>
      </c>
      <c r="E72" s="11" t="s">
        <v>47</v>
      </c>
    </row>
    <row r="73">
      <c r="A73" s="8" t="s">
        <v>361</v>
      </c>
      <c r="B73" s="20" t="s">
        <v>74</v>
      </c>
      <c r="C73" s="20" t="s">
        <v>74</v>
      </c>
      <c r="D73" s="20" t="s">
        <v>74</v>
      </c>
      <c r="E73" s="20" t="s">
        <v>74</v>
      </c>
    </row>
    <row r="74">
      <c r="A74" s="8" t="s">
        <v>572</v>
      </c>
      <c r="B74" s="8" t="s">
        <v>1142</v>
      </c>
      <c r="C74" s="20" t="s">
        <v>74</v>
      </c>
      <c r="D74" s="8" t="s">
        <v>1143</v>
      </c>
      <c r="E74" s="20" t="s">
        <v>74</v>
      </c>
    </row>
    <row r="75">
      <c r="A75" s="8" t="s">
        <v>439</v>
      </c>
      <c r="B75" s="8" t="s">
        <v>1144</v>
      </c>
      <c r="C75" s="11" t="s">
        <v>47</v>
      </c>
      <c r="D75" s="8" t="s">
        <v>1145</v>
      </c>
      <c r="E75" s="11" t="s">
        <v>47</v>
      </c>
    </row>
    <row r="76">
      <c r="A76" s="8" t="s">
        <v>620</v>
      </c>
      <c r="B76" s="8" t="s">
        <v>1146</v>
      </c>
      <c r="C76" s="11" t="s">
        <v>47</v>
      </c>
      <c r="D76" s="8" t="s">
        <v>1147</v>
      </c>
      <c r="E76" s="11" t="s">
        <v>47</v>
      </c>
    </row>
    <row r="77">
      <c r="A77" s="8" t="s">
        <v>564</v>
      </c>
      <c r="B77" s="8" t="s">
        <v>1148</v>
      </c>
      <c r="C77" s="11" t="s">
        <v>47</v>
      </c>
      <c r="D77" s="8" t="s">
        <v>1149</v>
      </c>
      <c r="E77" s="11" t="s">
        <v>47</v>
      </c>
    </row>
    <row r="78">
      <c r="A78" s="8" t="s">
        <v>347</v>
      </c>
      <c r="B78" s="8" t="s">
        <v>1150</v>
      </c>
      <c r="C78" s="20" t="s">
        <v>74</v>
      </c>
      <c r="D78" s="20" t="s">
        <v>74</v>
      </c>
      <c r="E78" s="20" t="s">
        <v>74</v>
      </c>
    </row>
    <row r="79">
      <c r="A79" s="8" t="s">
        <v>195</v>
      </c>
      <c r="B79" s="8" t="s">
        <v>1151</v>
      </c>
      <c r="C79" s="11" t="s">
        <v>47</v>
      </c>
      <c r="D79" s="8" t="s">
        <v>1152</v>
      </c>
      <c r="E79" s="11" t="s">
        <v>47</v>
      </c>
    </row>
    <row r="80">
      <c r="A80" s="8" t="s">
        <v>199</v>
      </c>
      <c r="B80" s="8" t="s">
        <v>1153</v>
      </c>
      <c r="C80" s="8" t="s">
        <v>1154</v>
      </c>
      <c r="D80" s="8" t="s">
        <v>1155</v>
      </c>
      <c r="E80" s="8" t="s">
        <v>1154</v>
      </c>
    </row>
    <row r="81">
      <c r="A81" s="8" t="s">
        <v>394</v>
      </c>
      <c r="B81" s="11" t="s">
        <v>47</v>
      </c>
      <c r="C81" s="11" t="s">
        <v>47</v>
      </c>
      <c r="D81" s="11" t="s">
        <v>47</v>
      </c>
      <c r="E81" s="11" t="s">
        <v>47</v>
      </c>
    </row>
    <row r="82">
      <c r="A82" s="8" t="s">
        <v>332</v>
      </c>
      <c r="B82" s="20" t="s">
        <v>74</v>
      </c>
      <c r="C82" s="20" t="s">
        <v>74</v>
      </c>
      <c r="D82" s="20" t="s">
        <v>74</v>
      </c>
      <c r="E82" s="20" t="s">
        <v>74</v>
      </c>
    </row>
    <row r="83">
      <c r="A83" s="8" t="s">
        <v>203</v>
      </c>
      <c r="B83" s="8" t="s">
        <v>1156</v>
      </c>
      <c r="C83" s="20" t="s">
        <v>74</v>
      </c>
      <c r="D83" s="20" t="s">
        <v>74</v>
      </c>
      <c r="E83" s="20" t="s">
        <v>74</v>
      </c>
    </row>
    <row r="84">
      <c r="A84" s="8" t="s">
        <v>207</v>
      </c>
      <c r="B84" s="20" t="s">
        <v>74</v>
      </c>
      <c r="C84" s="11" t="s">
        <v>47</v>
      </c>
      <c r="D84" s="20" t="s">
        <v>74</v>
      </c>
      <c r="E84" s="11" t="s">
        <v>47</v>
      </c>
    </row>
    <row r="85">
      <c r="A85" s="8" t="s">
        <v>448</v>
      </c>
      <c r="B85" s="8" t="s">
        <v>1157</v>
      </c>
      <c r="C85" s="20" t="s">
        <v>74</v>
      </c>
      <c r="D85" s="20" t="s">
        <v>74</v>
      </c>
      <c r="E85" s="20" t="s">
        <v>74</v>
      </c>
    </row>
    <row r="86">
      <c r="A86" s="8" t="s">
        <v>211</v>
      </c>
      <c r="B86" s="20" t="s">
        <v>74</v>
      </c>
      <c r="C86" s="20" t="s">
        <v>74</v>
      </c>
      <c r="D86" s="20" t="s">
        <v>74</v>
      </c>
      <c r="E86" s="20" t="s">
        <v>74</v>
      </c>
    </row>
    <row r="87">
      <c r="A87" s="8" t="s">
        <v>491</v>
      </c>
      <c r="B87" s="20" t="s">
        <v>74</v>
      </c>
      <c r="C87" s="20" t="s">
        <v>74</v>
      </c>
      <c r="D87" s="20" t="s">
        <v>74</v>
      </c>
      <c r="E87" s="20" t="s">
        <v>74</v>
      </c>
    </row>
    <row r="88">
      <c r="A88" s="8" t="s">
        <v>423</v>
      </c>
    </row>
    <row r="89">
      <c r="A89" s="8" t="s">
        <v>214</v>
      </c>
      <c r="B89" s="20" t="s">
        <v>74</v>
      </c>
      <c r="C89" s="20" t="s">
        <v>74</v>
      </c>
      <c r="D89" s="20" t="s">
        <v>74</v>
      </c>
      <c r="E89" s="20" t="s">
        <v>74</v>
      </c>
    </row>
    <row r="90">
      <c r="A90" s="8" t="s">
        <v>430</v>
      </c>
      <c r="B90" s="8" t="s">
        <v>1158</v>
      </c>
      <c r="C90" s="20" t="s">
        <v>74</v>
      </c>
      <c r="D90" s="20" t="s">
        <v>74</v>
      </c>
      <c r="E90" s="20" t="s">
        <v>74</v>
      </c>
    </row>
    <row r="91">
      <c r="A91" s="8" t="s">
        <v>406</v>
      </c>
      <c r="B91" s="8" t="s">
        <v>1159</v>
      </c>
      <c r="C91" s="11" t="s">
        <v>47</v>
      </c>
      <c r="D91" s="8" t="s">
        <v>1160</v>
      </c>
      <c r="E91" s="8" t="s">
        <v>1161</v>
      </c>
    </row>
    <row r="92">
      <c r="A92" s="8" t="s">
        <v>1162</v>
      </c>
      <c r="B92" s="20" t="s">
        <v>74</v>
      </c>
      <c r="C92" s="20" t="s">
        <v>74</v>
      </c>
      <c r="D92" s="20" t="s">
        <v>74</v>
      </c>
      <c r="E92" s="20" t="s">
        <v>74</v>
      </c>
    </row>
    <row r="93">
      <c r="A93" s="8" t="s">
        <v>452</v>
      </c>
      <c r="B93" s="8" t="s">
        <v>1163</v>
      </c>
      <c r="C93" s="20" t="s">
        <v>74</v>
      </c>
      <c r="D93" s="20" t="s">
        <v>74</v>
      </c>
      <c r="E93" s="20" t="s">
        <v>74</v>
      </c>
    </row>
    <row r="94">
      <c r="A94" s="8" t="s">
        <v>218</v>
      </c>
      <c r="B94" s="8" t="s">
        <v>1164</v>
      </c>
      <c r="C94" s="20" t="s">
        <v>74</v>
      </c>
      <c r="D94" s="20" t="s">
        <v>74</v>
      </c>
      <c r="E94" s="20" t="s">
        <v>74</v>
      </c>
    </row>
    <row r="95">
      <c r="A95" s="8" t="s">
        <v>221</v>
      </c>
      <c r="B95" s="20" t="s">
        <v>74</v>
      </c>
      <c r="C95" s="20" t="s">
        <v>74</v>
      </c>
      <c r="D95" s="20" t="s">
        <v>74</v>
      </c>
      <c r="E95" s="20" t="s">
        <v>74</v>
      </c>
    </row>
    <row r="96">
      <c r="A96" s="8" t="s">
        <v>456</v>
      </c>
      <c r="B96" s="11" t="s">
        <v>47</v>
      </c>
      <c r="C96" s="11" t="s">
        <v>47</v>
      </c>
      <c r="D96" s="11" t="s">
        <v>47</v>
      </c>
      <c r="E96" s="11" t="s">
        <v>47</v>
      </c>
    </row>
    <row r="97">
      <c r="A97" s="8" t="s">
        <v>476</v>
      </c>
      <c r="B97" s="20" t="s">
        <v>74</v>
      </c>
      <c r="C97" s="20" t="s">
        <v>74</v>
      </c>
      <c r="D97" s="20" t="s">
        <v>74</v>
      </c>
      <c r="E97" s="20" t="s">
        <v>74</v>
      </c>
    </row>
    <row r="98">
      <c r="A98" s="8" t="s">
        <v>463</v>
      </c>
    </row>
    <row r="99">
      <c r="A99" s="8" t="s">
        <v>464</v>
      </c>
      <c r="B99" s="11" t="s">
        <v>47</v>
      </c>
      <c r="C99" s="11" t="s">
        <v>47</v>
      </c>
      <c r="D99" s="11" t="s">
        <v>47</v>
      </c>
      <c r="E99" s="11" t="s">
        <v>47</v>
      </c>
    </row>
    <row r="100">
      <c r="A100" s="8" t="s">
        <v>465</v>
      </c>
    </row>
    <row r="101">
      <c r="A101" s="23" t="s">
        <v>467</v>
      </c>
      <c r="B101" s="36"/>
      <c r="C101" s="36"/>
      <c r="D101" s="36"/>
      <c r="E101" s="36"/>
    </row>
    <row r="102">
      <c r="A102" s="23" t="s">
        <v>469</v>
      </c>
      <c r="B102" s="36"/>
      <c r="C102" s="36"/>
      <c r="D102" s="36"/>
      <c r="E102" s="36"/>
    </row>
    <row r="103">
      <c r="A103" s="23" t="s">
        <v>470</v>
      </c>
      <c r="B103" s="36"/>
      <c r="C103" s="36"/>
      <c r="D103" s="36"/>
      <c r="E103" s="36"/>
    </row>
    <row r="104">
      <c r="A104" s="23" t="s">
        <v>471</v>
      </c>
      <c r="B104" s="36"/>
      <c r="C104" s="36"/>
      <c r="D104" s="36"/>
      <c r="E104" s="36"/>
    </row>
    <row r="105">
      <c r="A105" s="45" t="s">
        <v>597</v>
      </c>
      <c r="B105" s="23" t="s">
        <v>1165</v>
      </c>
      <c r="C105" s="23" t="s">
        <v>1166</v>
      </c>
      <c r="D105" s="23" t="s">
        <v>1167</v>
      </c>
      <c r="E105" s="23" t="s">
        <v>1168</v>
      </c>
    </row>
    <row r="106">
      <c r="A106" s="23" t="s">
        <v>613</v>
      </c>
      <c r="B106" s="20" t="s">
        <v>74</v>
      </c>
      <c r="C106" s="20" t="s">
        <v>74</v>
      </c>
      <c r="D106" s="20" t="s">
        <v>74</v>
      </c>
      <c r="E106" s="20" t="s">
        <v>74</v>
      </c>
    </row>
    <row r="107">
      <c r="A107" s="23" t="s">
        <v>340</v>
      </c>
      <c r="B107" s="26" t="s">
        <v>1169</v>
      </c>
      <c r="C107" s="25" t="s">
        <v>1170</v>
      </c>
      <c r="D107" s="25" t="s">
        <v>47</v>
      </c>
      <c r="E107" s="26" t="s">
        <v>1171</v>
      </c>
    </row>
    <row r="108">
      <c r="A108" s="23" t="s">
        <v>560</v>
      </c>
      <c r="B108" s="20" t="s">
        <v>74</v>
      </c>
      <c r="C108" s="20" t="s">
        <v>74</v>
      </c>
      <c r="D108" s="20" t="s">
        <v>74</v>
      </c>
      <c r="E108" s="20" t="s">
        <v>74</v>
      </c>
    </row>
    <row r="109">
      <c r="A109" s="23" t="s">
        <v>225</v>
      </c>
      <c r="B109" s="23" t="s">
        <v>1172</v>
      </c>
      <c r="C109" s="20" t="s">
        <v>74</v>
      </c>
      <c r="D109" s="20" t="s">
        <v>74</v>
      </c>
      <c r="E109" s="20" t="s">
        <v>74</v>
      </c>
    </row>
    <row r="110">
      <c r="A110" s="23" t="s">
        <v>229</v>
      </c>
      <c r="B110" s="23" t="s">
        <v>1173</v>
      </c>
      <c r="C110" s="23" t="s">
        <v>1174</v>
      </c>
      <c r="D110" s="23" t="s">
        <v>1175</v>
      </c>
      <c r="E110" s="23" t="s">
        <v>1176</v>
      </c>
    </row>
    <row r="111">
      <c r="A111" s="23" t="s">
        <v>624</v>
      </c>
      <c r="B111" s="23" t="s">
        <v>1177</v>
      </c>
      <c r="C111" s="23" t="s">
        <v>1178</v>
      </c>
      <c r="D111" s="23" t="s">
        <v>1179</v>
      </c>
      <c r="E111" s="23" t="s">
        <v>1180</v>
      </c>
    </row>
    <row r="112">
      <c r="A112" s="23" t="s">
        <v>499</v>
      </c>
      <c r="B112" s="36"/>
      <c r="C112" s="36"/>
      <c r="D112" s="36"/>
      <c r="E112" s="36"/>
    </row>
    <row r="113">
      <c r="A113" s="23" t="s">
        <v>525</v>
      </c>
      <c r="B113" s="23" t="s">
        <v>1181</v>
      </c>
      <c r="C113" s="23" t="s">
        <v>1182</v>
      </c>
      <c r="D113" s="23" t="s">
        <v>1183</v>
      </c>
      <c r="E113" s="23" t="s">
        <v>1135</v>
      </c>
    </row>
    <row r="114">
      <c r="A114" s="23" t="s">
        <v>235</v>
      </c>
      <c r="B114" s="23" t="s">
        <v>1184</v>
      </c>
      <c r="C114" s="23" t="s">
        <v>1185</v>
      </c>
      <c r="D114" s="23" t="s">
        <v>1186</v>
      </c>
      <c r="E114" s="23" t="s">
        <v>1187</v>
      </c>
    </row>
    <row r="115">
      <c r="A115" s="23" t="s">
        <v>242</v>
      </c>
      <c r="B115" s="23" t="s">
        <v>1188</v>
      </c>
      <c r="C115" s="25" t="s">
        <v>1189</v>
      </c>
      <c r="D115" s="23" t="s">
        <v>1188</v>
      </c>
      <c r="E115" s="23" t="s">
        <v>1190</v>
      </c>
    </row>
    <row r="116">
      <c r="A116" s="25" t="s">
        <v>515</v>
      </c>
      <c r="B116" s="23" t="s">
        <v>1191</v>
      </c>
      <c r="C116" s="23" t="s">
        <v>1135</v>
      </c>
      <c r="D116" s="23" t="s">
        <v>1192</v>
      </c>
      <c r="E116" s="23" t="s">
        <v>1135</v>
      </c>
    </row>
    <row r="117">
      <c r="A117" s="23" t="s">
        <v>520</v>
      </c>
      <c r="B117" s="36"/>
      <c r="C117" s="36"/>
      <c r="D117" s="36"/>
      <c r="E117" s="36"/>
    </row>
    <row r="118">
      <c r="A118" s="23" t="s">
        <v>401</v>
      </c>
      <c r="B118" s="25" t="s">
        <v>1193</v>
      </c>
      <c r="C118" s="25" t="s">
        <v>1176</v>
      </c>
      <c r="D118" s="23" t="s">
        <v>1194</v>
      </c>
      <c r="E118" s="23" t="s">
        <v>1195</v>
      </c>
    </row>
    <row r="119">
      <c r="A119" s="23" t="s">
        <v>247</v>
      </c>
      <c r="B119" s="20" t="s">
        <v>74</v>
      </c>
      <c r="C119" s="20" t="s">
        <v>74</v>
      </c>
      <c r="D119" s="20" t="s">
        <v>74</v>
      </c>
      <c r="E119" s="20" t="s">
        <v>74</v>
      </c>
    </row>
    <row r="120">
      <c r="A120" s="23" t="s">
        <v>257</v>
      </c>
      <c r="B120" s="20" t="s">
        <v>74</v>
      </c>
      <c r="C120" s="20" t="s">
        <v>74</v>
      </c>
      <c r="D120" s="20" t="s">
        <v>74</v>
      </c>
      <c r="E120" s="20" t="s">
        <v>74</v>
      </c>
    </row>
    <row r="121">
      <c r="A121" s="23" t="s">
        <v>336</v>
      </c>
      <c r="B121" s="26" t="s">
        <v>1196</v>
      </c>
      <c r="C121" s="20" t="s">
        <v>74</v>
      </c>
      <c r="D121" s="26" t="s">
        <v>1197</v>
      </c>
      <c r="E121" s="20" t="s">
        <v>74</v>
      </c>
    </row>
    <row r="122">
      <c r="A122" s="23" t="s">
        <v>357</v>
      </c>
      <c r="B122" s="20" t="s">
        <v>74</v>
      </c>
      <c r="C122" s="20" t="s">
        <v>74</v>
      </c>
      <c r="D122" s="20" t="s">
        <v>74</v>
      </c>
      <c r="E122" s="20" t="s">
        <v>74</v>
      </c>
    </row>
    <row r="123">
      <c r="A123" s="23" t="s">
        <v>510</v>
      </c>
      <c r="B123" s="20" t="s">
        <v>74</v>
      </c>
      <c r="C123" s="20" t="s">
        <v>74</v>
      </c>
      <c r="D123" s="20" t="s">
        <v>74</v>
      </c>
      <c r="E123" s="20" t="s">
        <v>74</v>
      </c>
    </row>
    <row r="124">
      <c r="A124" s="26" t="s">
        <v>261</v>
      </c>
      <c r="B124" s="20" t="s">
        <v>74</v>
      </c>
      <c r="C124" s="20" t="s">
        <v>74</v>
      </c>
      <c r="D124" s="20" t="s">
        <v>74</v>
      </c>
      <c r="E124" s="20" t="s">
        <v>74</v>
      </c>
    </row>
    <row r="125">
      <c r="A125" s="23" t="s">
        <v>550</v>
      </c>
      <c r="B125" s="36"/>
      <c r="C125" s="36"/>
      <c r="D125" s="36"/>
      <c r="E125" s="36"/>
    </row>
    <row r="126">
      <c r="A126" s="26" t="s">
        <v>551</v>
      </c>
      <c r="B126" s="36"/>
      <c r="C126" s="36"/>
      <c r="D126" s="36"/>
      <c r="E126" s="36"/>
    </row>
    <row r="127">
      <c r="A127" s="26" t="s">
        <v>553</v>
      </c>
      <c r="B127" s="36"/>
      <c r="C127" s="36"/>
      <c r="D127" s="36"/>
      <c r="E127" s="36"/>
    </row>
    <row r="128">
      <c r="A128" s="26" t="s">
        <v>365</v>
      </c>
      <c r="B128" s="20" t="s">
        <v>74</v>
      </c>
      <c r="C128" s="26" t="s">
        <v>1198</v>
      </c>
      <c r="D128" s="26">
        <v>0.0</v>
      </c>
      <c r="E128" s="20" t="s">
        <v>74</v>
      </c>
    </row>
    <row r="129">
      <c r="A129" s="26" t="s">
        <v>559</v>
      </c>
      <c r="B129" s="36"/>
      <c r="C129" s="36"/>
      <c r="D129" s="36"/>
      <c r="E129" s="36"/>
    </row>
    <row r="130">
      <c r="A130" s="26" t="s">
        <v>269</v>
      </c>
      <c r="B130" s="20" t="s">
        <v>74</v>
      </c>
      <c r="C130" s="20" t="s">
        <v>74</v>
      </c>
      <c r="D130" s="20" t="s">
        <v>74</v>
      </c>
      <c r="E130" s="20" t="s">
        <v>74</v>
      </c>
    </row>
    <row r="131">
      <c r="A131" s="23" t="s">
        <v>273</v>
      </c>
      <c r="B131" s="20" t="s">
        <v>74</v>
      </c>
      <c r="C131" s="20" t="s">
        <v>74</v>
      </c>
      <c r="D131" s="20" t="s">
        <v>74</v>
      </c>
      <c r="E131" s="20" t="s">
        <v>74</v>
      </c>
    </row>
    <row r="132">
      <c r="A132" s="8" t="s">
        <v>568</v>
      </c>
      <c r="B132" s="8">
        <v>0.0</v>
      </c>
      <c r="C132" s="8" t="s">
        <v>1199</v>
      </c>
      <c r="D132" s="8">
        <v>0.0</v>
      </c>
      <c r="E132" s="8" t="s">
        <v>1200</v>
      </c>
    </row>
    <row r="133">
      <c r="A133" s="8" t="s">
        <v>282</v>
      </c>
      <c r="B133" s="20" t="s">
        <v>74</v>
      </c>
      <c r="C133" s="20" t="s">
        <v>74</v>
      </c>
      <c r="D133" s="20" t="s">
        <v>74</v>
      </c>
      <c r="E133" s="20" t="s">
        <v>74</v>
      </c>
    </row>
    <row r="134">
      <c r="A134" s="8" t="s">
        <v>286</v>
      </c>
      <c r="B134" s="8" t="s">
        <v>1201</v>
      </c>
      <c r="C134" s="20" t="s">
        <v>74</v>
      </c>
      <c r="D134" s="8" t="s">
        <v>1202</v>
      </c>
      <c r="E134" s="20" t="s">
        <v>74</v>
      </c>
    </row>
    <row r="135">
      <c r="A135" s="8" t="s">
        <v>296</v>
      </c>
      <c r="B135" s="8" t="s">
        <v>1203</v>
      </c>
      <c r="C135" s="8" t="s">
        <v>1204</v>
      </c>
      <c r="D135" s="8">
        <v>26800.0</v>
      </c>
      <c r="E135" s="20" t="s">
        <v>74</v>
      </c>
    </row>
    <row r="136">
      <c r="A136" s="8" t="s">
        <v>301</v>
      </c>
      <c r="B136" s="20" t="s">
        <v>74</v>
      </c>
      <c r="C136" s="20" t="s">
        <v>74</v>
      </c>
      <c r="D136" s="20" t="s">
        <v>74</v>
      </c>
      <c r="E136" s="20" t="s">
        <v>74</v>
      </c>
    </row>
    <row r="137">
      <c r="A137" s="8" t="s">
        <v>546</v>
      </c>
      <c r="B137" s="20" t="s">
        <v>74</v>
      </c>
      <c r="C137" s="20" t="s">
        <v>74</v>
      </c>
      <c r="D137" s="20" t="s">
        <v>74</v>
      </c>
      <c r="E137" s="20" t="s">
        <v>74</v>
      </c>
    </row>
    <row r="138">
      <c r="A138" s="8" t="s">
        <v>592</v>
      </c>
    </row>
    <row r="139">
      <c r="A139" s="8" t="s">
        <v>305</v>
      </c>
      <c r="B139" s="20" t="s">
        <v>74</v>
      </c>
      <c r="C139" s="20" t="s">
        <v>74</v>
      </c>
      <c r="D139" s="20" t="s">
        <v>74</v>
      </c>
      <c r="E139" s="20" t="s">
        <v>74</v>
      </c>
    </row>
    <row r="140">
      <c r="A140" s="8" t="s">
        <v>310</v>
      </c>
      <c r="B140" s="8" t="s">
        <v>1205</v>
      </c>
      <c r="C140" s="8" t="s">
        <v>1205</v>
      </c>
      <c r="D140" s="20" t="s">
        <v>74</v>
      </c>
      <c r="E140" s="20" t="s">
        <v>74</v>
      </c>
    </row>
    <row r="141">
      <c r="A141" s="8" t="s">
        <v>601</v>
      </c>
    </row>
    <row r="142">
      <c r="A142" s="8" t="s">
        <v>373</v>
      </c>
      <c r="B142" s="8" t="s">
        <v>1206</v>
      </c>
      <c r="C142" s="8" t="s">
        <v>1101</v>
      </c>
      <c r="D142" s="20" t="s">
        <v>74</v>
      </c>
      <c r="E142" s="8" t="s">
        <v>1101</v>
      </c>
    </row>
    <row r="143">
      <c r="A143" s="23" t="s">
        <v>604</v>
      </c>
    </row>
    <row r="144">
      <c r="A144" s="8" t="s">
        <v>605</v>
      </c>
    </row>
    <row r="145">
      <c r="A145" s="8" t="s">
        <v>606</v>
      </c>
    </row>
    <row r="146">
      <c r="A146" s="8" t="s">
        <v>315</v>
      </c>
      <c r="B146" s="20" t="s">
        <v>74</v>
      </c>
      <c r="C146" s="20" t="s">
        <v>74</v>
      </c>
      <c r="D146" s="20" t="s">
        <v>74</v>
      </c>
      <c r="E146" s="20" t="s">
        <v>74</v>
      </c>
    </row>
    <row r="147">
      <c r="A147" s="8" t="s">
        <v>410</v>
      </c>
      <c r="B147" s="20" t="s">
        <v>74</v>
      </c>
      <c r="C147" s="20" t="s">
        <v>74</v>
      </c>
      <c r="D147" s="20" t="s">
        <v>74</v>
      </c>
      <c r="E147" s="20" t="s">
        <v>74</v>
      </c>
    </row>
    <row r="148">
      <c r="A148" s="8" t="s">
        <v>505</v>
      </c>
      <c r="B148" s="20" t="s">
        <v>74</v>
      </c>
      <c r="C148" s="20" t="s">
        <v>74</v>
      </c>
      <c r="D148" s="20" t="s">
        <v>74</v>
      </c>
      <c r="E148" s="20" t="s">
        <v>74</v>
      </c>
    </row>
    <row r="149">
      <c r="A149" s="8" t="s">
        <v>320</v>
      </c>
      <c r="B149" s="20" t="s">
        <v>74</v>
      </c>
      <c r="C149" s="20" t="s">
        <v>74</v>
      </c>
      <c r="D149" s="20" t="s">
        <v>74</v>
      </c>
      <c r="E149" s="20" t="s">
        <v>74</v>
      </c>
    </row>
    <row r="150">
      <c r="A150" s="8" t="s">
        <v>397</v>
      </c>
      <c r="B150" s="20" t="s">
        <v>74</v>
      </c>
      <c r="C150" s="20" t="s">
        <v>74</v>
      </c>
      <c r="D150" s="20" t="s">
        <v>74</v>
      </c>
      <c r="E150" s="20" t="s">
        <v>74</v>
      </c>
    </row>
  </sheetData>
  <drawing r:id="rId1"/>
</worksheet>
</file>