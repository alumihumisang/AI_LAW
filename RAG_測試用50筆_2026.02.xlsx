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0" yWindow="-110" windowWidth="19420" windowHeight="10420" tabRatio="209" firstSheet="0" activeTab="0" autoFilterDateGrouping="1"/>
  </bookViews>
  <sheets>
    <sheet xmlns:r="http://schemas.openxmlformats.org/officeDocument/2006/relationships" name="2025.10.13" sheetId="1" state="visible" r:id="rId1"/>
    <sheet xmlns:r="http://schemas.openxmlformats.org/officeDocument/2006/relationships" name="2025.07.04" sheetId="2" state="visible" r:id="rId2"/>
  </sheets>
  <definedNames/>
  <calcPr calcId="191029" fullCalcOnLoad="1"/>
</workbook>
</file>

<file path=xl/styles.xml><?xml version="1.0" encoding="utf-8"?>
<styleSheet xmlns="http://schemas.openxmlformats.org/spreadsheetml/2006/main">
  <numFmts count="0"/>
  <fonts count="13">
    <font>
      <name val="新細明體"/>
      <family val="2"/>
      <color theme="1"/>
      <sz val="11"/>
      <scheme val="minor"/>
    </font>
    <font>
      <name val="新細明體"/>
      <charset val="136"/>
      <family val="1"/>
      <b val="1"/>
      <sz val="11"/>
    </font>
    <font>
      <name val="新細明體"/>
      <charset val="136"/>
      <family val="3"/>
      <sz val="9"/>
      <scheme val="minor"/>
    </font>
    <font>
      <name val="Arial"/>
      <family val="2"/>
      <color theme="1"/>
      <sz val="10"/>
    </font>
    <font>
      <name val="微軟正黑體"/>
      <charset val="136"/>
      <family val="2"/>
      <color theme="1"/>
      <sz val="10"/>
    </font>
    <font>
      <name val="Segoe UI Symbol"/>
      <family val="2"/>
      <color theme="1"/>
      <sz val="10"/>
    </font>
    <font>
      <name val="Arial"/>
      <charset val="136"/>
      <family val="2"/>
      <color theme="1"/>
      <sz val="10"/>
    </font>
    <font>
      <name val="新細明體"/>
      <charset val="136"/>
      <family val="1"/>
      <color theme="1"/>
      <sz val="11"/>
      <scheme val="minor"/>
    </font>
    <font>
      <name val="MS Mincho"/>
      <charset val="128"/>
      <family val="3"/>
      <color theme="1"/>
      <sz val="11"/>
    </font>
    <font>
      <name val="新細明體"/>
      <charset val="136"/>
      <family val="2"/>
      <color theme="1"/>
      <sz val="10"/>
    </font>
    <font>
      <name val="新細明體"/>
      <charset val="136"/>
      <family val="1"/>
      <b val="1"/>
      <color theme="1"/>
      <sz val="11"/>
      <scheme val="minor"/>
    </font>
    <font>
      <name val="新細明體"/>
      <charset val="136"/>
      <family val="1"/>
      <b val="1"/>
      <color theme="1"/>
      <sz val="10"/>
      <scheme val="minor"/>
    </font>
    <font>
      <name val="新細明體"/>
      <charset val="136"/>
      <family val="1"/>
      <color theme="1"/>
      <sz val="10"/>
      <scheme val="minor"/>
    </font>
  </fonts>
  <fills count="8">
    <fill>
      <patternFill/>
    </fill>
    <fill>
      <patternFill patternType="gray125"/>
    </fill>
    <fill>
      <patternFill patternType="solid">
        <fgColor rgb="FF00FF00"/>
        <bgColor indexed="64"/>
      </patternFill>
    </fill>
    <fill>
      <patternFill patternType="solid">
        <fgColor theme="0"/>
        <bgColor indexed="64"/>
      </patternFill>
    </fill>
    <fill>
      <patternFill patternType="solid">
        <fgColor rgb="FFFFFF00"/>
        <bgColor indexed="64"/>
      </patternFill>
    </fill>
    <fill>
      <patternFill patternType="solid">
        <fgColor theme="4" tint="0.7999816888943144"/>
        <bgColor indexed="64"/>
      </patternFill>
    </fill>
    <fill>
      <patternFill patternType="solid">
        <fgColor theme="6" tint="0.7999816888943144"/>
        <bgColor indexed="64"/>
      </patternFill>
    </fill>
    <fill>
      <patternFill patternType="solid">
        <fgColor rgb="FFFFFFFF"/>
        <bgColor indexed="64"/>
      </patternFill>
    </fill>
  </fills>
  <borders count="21">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right/>
      <top style="thin">
        <color indexed="64"/>
      </top>
      <bottom/>
      <diagonal/>
    </border>
    <border>
      <left style="medium">
        <color rgb="FF000000"/>
      </left>
      <right style="medium">
        <color rgb="FFCCCCCC"/>
      </right>
      <top style="medium">
        <color rgb="FFCCCCCC"/>
      </top>
      <bottom/>
      <diagonal/>
    </border>
    <border>
      <left style="medium">
        <color rgb="FF000000"/>
      </left>
      <right style="medium">
        <color rgb="FFCCCCCC"/>
      </right>
      <top/>
      <bottom/>
      <diagonal/>
    </border>
    <border>
      <left style="medium">
        <color rgb="FF000000"/>
      </left>
      <right style="medium">
        <color rgb="FFCCCCCC"/>
      </right>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000000"/>
      </left>
      <right style="medium">
        <color rgb="FFCCCCCC"/>
      </right>
      <top/>
      <bottom style="medium">
        <color rgb="FF000000"/>
      </bottom>
      <diagonal/>
    </border>
    <border>
      <left style="medium">
        <color rgb="FF000000"/>
      </left>
      <right style="medium">
        <color rgb="FFCCCCCC"/>
      </right>
      <top style="medium">
        <color rgb="FF000000"/>
      </top>
      <bottom/>
      <diagonal/>
    </border>
    <border>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000000"/>
      </left>
      <right style="medium">
        <color rgb="FFCCCCCC"/>
      </right>
      <top style="medium">
        <color rgb="FF000000"/>
      </top>
      <bottom style="medium">
        <color rgb="FF000000"/>
      </bottom>
      <diagonal/>
    </border>
    <border>
      <left style="medium">
        <color rgb="FF000000"/>
      </left>
      <right/>
      <top/>
      <bottom/>
      <diagonal/>
    </border>
    <border>
      <left style="medium">
        <color rgb="FFCCCCCC"/>
      </left>
      <right/>
      <top/>
      <bottom/>
      <diagonal/>
    </border>
    <border>
      <left style="medium">
        <color rgb="FF000000"/>
      </left>
      <right style="medium">
        <color rgb="FFCCCCCC"/>
      </right>
      <top style="medium">
        <color rgb="FFCCCCCC"/>
      </top>
      <bottom style="medium">
        <color rgb="FF000000"/>
      </bottom>
      <diagonal/>
    </border>
  </borders>
  <cellStyleXfs count="1">
    <xf numFmtId="0" fontId="0" fillId="0" borderId="0"/>
  </cellStyleXfs>
  <cellXfs count="4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3" fillId="2" borderId="2" applyAlignment="1" pivotButton="0" quotePrefix="0" xfId="0">
      <alignment horizontal="center" vertical="center" wrapText="1"/>
    </xf>
    <xf numFmtId="0" fontId="3" fillId="0" borderId="2" applyAlignment="1" pivotButton="0" quotePrefix="0" xfId="0">
      <alignment wrapText="1"/>
    </xf>
    <xf numFmtId="0" fontId="6" fillId="0" borderId="2" applyAlignment="1" pivotButton="0" quotePrefix="0" xfId="0">
      <alignment wrapText="1"/>
    </xf>
    <xf numFmtId="0" fontId="1" fillId="0" borderId="0" applyAlignment="1" pivotButton="0" quotePrefix="0" xfId="0">
      <alignment horizontal="center" vertical="top" wrapText="1"/>
    </xf>
    <xf numFmtId="0" fontId="6" fillId="3" borderId="2" applyAlignment="1" pivotButton="0" quotePrefix="0" xfId="0">
      <alignment wrapText="1"/>
    </xf>
    <xf numFmtId="0" fontId="3" fillId="3" borderId="2" applyAlignment="1" pivotButton="0" quotePrefix="0" xfId="0">
      <alignment wrapText="1"/>
    </xf>
    <xf numFmtId="0" fontId="0" fillId="0" borderId="0" applyAlignment="1" pivotButton="0" quotePrefix="0" xfId="0">
      <alignment horizontal="right" vertical="center"/>
    </xf>
    <xf numFmtId="0" fontId="0" fillId="0" borderId="0" applyAlignment="1" pivotButton="0" quotePrefix="0" xfId="0">
      <alignment horizontal="right" vertical="center" wrapText="1"/>
    </xf>
    <xf numFmtId="0" fontId="0" fillId="3" borderId="0" applyAlignment="1" pivotButton="0" quotePrefix="0" xfId="0">
      <alignment wrapText="1"/>
    </xf>
    <xf numFmtId="0" fontId="6" fillId="4" borderId="2" applyAlignment="1" pivotButton="0" quotePrefix="0" xfId="0">
      <alignment wrapText="1"/>
    </xf>
    <xf numFmtId="0" fontId="10" fillId="0" borderId="0" applyAlignment="1" pivotButton="0" quotePrefix="0" xfId="0">
      <alignment horizontal="right" vertical="center"/>
    </xf>
    <xf numFmtId="0" fontId="10" fillId="0" borderId="0" applyAlignment="1" pivotButton="0" quotePrefix="0" xfId="0">
      <alignment wrapText="1"/>
    </xf>
    <xf numFmtId="0" fontId="1" fillId="5" borderId="3" applyAlignment="1" pivotButton="0" quotePrefix="0" xfId="0">
      <alignment horizontal="center" vertical="top"/>
    </xf>
    <xf numFmtId="0" fontId="0" fillId="5" borderId="0" applyAlignment="1" pivotButton="0" quotePrefix="0" xfId="0">
      <alignment wrapText="1"/>
    </xf>
    <xf numFmtId="0" fontId="3" fillId="2" borderId="3" applyAlignment="1" pivotButton="0" quotePrefix="0" xfId="0">
      <alignment horizontal="center" vertical="center" wrapText="1"/>
    </xf>
    <xf numFmtId="0" fontId="6" fillId="6" borderId="0" applyAlignment="1" pivotButton="0" quotePrefix="0" xfId="0">
      <alignment wrapText="1"/>
    </xf>
    <xf numFmtId="0" fontId="3" fillId="6" borderId="0" applyAlignment="1" pivotButton="0" quotePrefix="0" xfId="0">
      <alignment wrapText="1"/>
    </xf>
    <xf numFmtId="0" fontId="12" fillId="0" borderId="2" applyAlignment="1" pivotButton="0" quotePrefix="0" xfId="0">
      <alignment wrapText="1"/>
    </xf>
    <xf numFmtId="0" fontId="1" fillId="0" borderId="12" applyAlignment="1" pivotButton="0" quotePrefix="0" xfId="0">
      <alignment horizontal="center" vertical="top"/>
    </xf>
    <xf numFmtId="0" fontId="11" fillId="0" borderId="13" applyAlignment="1" pivotButton="0" quotePrefix="0" xfId="0">
      <alignment horizontal="center" vertical="center" wrapText="1"/>
    </xf>
    <xf numFmtId="0" fontId="0" fillId="0" borderId="14" pivotButton="0" quotePrefix="0" xfId="0"/>
    <xf numFmtId="0" fontId="1" fillId="5" borderId="15" applyAlignment="1" pivotButton="0" quotePrefix="0" xfId="0">
      <alignment horizontal="center" vertical="top"/>
    </xf>
    <xf numFmtId="0" fontId="0" fillId="5" borderId="16" applyAlignment="1" pivotButton="0" quotePrefix="0" xfId="0">
      <alignment wrapText="1"/>
    </xf>
    <xf numFmtId="0" fontId="0" fillId="0" borderId="16" pivotButton="0" quotePrefix="0" xfId="0"/>
    <xf numFmtId="0" fontId="12" fillId="0" borderId="11" applyAlignment="1" pivotButton="0" quotePrefix="0" xfId="0">
      <alignment vertical="center" wrapText="1"/>
    </xf>
    <xf numFmtId="0" fontId="12" fillId="0" borderId="5" applyAlignment="1" pivotButton="0" quotePrefix="0" xfId="0">
      <alignment vertical="center" wrapText="1"/>
    </xf>
    <xf numFmtId="0" fontId="12" fillId="0" borderId="10" applyAlignment="1" pivotButton="0" quotePrefix="0" xfId="0">
      <alignment vertical="center" wrapText="1"/>
    </xf>
    <xf numFmtId="0" fontId="12" fillId="7" borderId="5" applyAlignment="1" pivotButton="0" quotePrefix="0" xfId="0">
      <alignment vertical="center" wrapText="1"/>
    </xf>
    <xf numFmtId="0" fontId="12" fillId="7" borderId="6" applyAlignment="1" pivotButton="0" quotePrefix="0" xfId="0">
      <alignment vertical="center" wrapText="1"/>
    </xf>
    <xf numFmtId="0" fontId="12" fillId="7" borderId="7" applyAlignment="1" pivotButton="0" quotePrefix="0" xfId="0">
      <alignment vertical="center" wrapText="1"/>
    </xf>
    <xf numFmtId="0" fontId="12" fillId="7" borderId="8" applyAlignment="1" pivotButton="0" quotePrefix="0" xfId="0">
      <alignment vertical="center" wrapText="1"/>
    </xf>
    <xf numFmtId="0" fontId="12" fillId="7" borderId="9" applyAlignment="1" pivotButton="0" quotePrefix="0" xfId="0">
      <alignment vertical="center" wrapText="1"/>
    </xf>
    <xf numFmtId="0" fontId="12" fillId="7" borderId="4" applyAlignment="1" pivotButton="0" quotePrefix="0" xfId="0">
      <alignment vertical="center" wrapText="1"/>
    </xf>
    <xf numFmtId="0" fontId="12" fillId="7" borderId="10" applyAlignment="1" pivotButton="0" quotePrefix="0" xfId="0">
      <alignment vertical="center" wrapText="1"/>
    </xf>
    <xf numFmtId="0" fontId="12" fillId="7" borderId="11" applyAlignment="1" pivotButton="0" quotePrefix="0" xfId="0">
      <alignment vertical="center" wrapText="1"/>
    </xf>
    <xf numFmtId="0" fontId="0" fillId="0" borderId="5" pivotButton="0" quotePrefix="0" xfId="0"/>
    <xf numFmtId="0" fontId="0" fillId="0" borderId="6" pivotButton="0" quotePrefix="0" xfId="0"/>
    <xf numFmtId="0" fontId="12" fillId="7" borderId="2" applyAlignment="1" pivotButton="0" quotePrefix="0" xfId="0">
      <alignment vertical="center" wrapText="1"/>
    </xf>
    <xf numFmtId="0" fontId="0" fillId="0" borderId="8" pivotButton="0" quotePrefix="0" xfId="0"/>
    <xf numFmtId="0" fontId="0" fillId="0" borderId="9" pivotButton="0" quotePrefix="0" xfId="0"/>
    <xf numFmtId="0" fontId="12" fillId="7" borderId="20" applyAlignment="1" pivotButton="0" quotePrefix="0" xfId="0">
      <alignment vertical="center" wrapText="1"/>
    </xf>
    <xf numFmtId="0" fontId="0" fillId="0" borderId="10" pivotButton="0" quotePrefix="0" xfId="0"/>
    <xf numFmtId="0" fontId="12" fillId="7" borderId="17" applyAlignment="1" pivotButton="0" quotePrefix="0" xfId="0">
      <alignment vertical="center" wrapText="1"/>
    </xf>
    <xf numFmtId="0" fontId="12" fillId="0" borderId="17" applyAlignment="1" pivotButton="0" quotePrefix="0" xfId="0">
      <alignment vertical="center" wrapText="1"/>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tabSelected="1" topLeftCell="A43" zoomScaleNormal="100" workbookViewId="0">
      <pane xSplit="2" topLeftCell="C1" activePane="topRight" state="frozen"/>
      <selection pane="topRight" activeCell="D3" sqref="D3"/>
    </sheetView>
  </sheetViews>
  <sheetFormatPr baseColWidth="8" defaultRowHeight="30" customHeight="1" outlineLevelCol="0"/>
  <cols>
    <col width="9" customWidth="1" style="23" min="2" max="2"/>
    <col width="56.375" customWidth="1" style="26" min="3" max="3"/>
    <col width="56.375" customWidth="1" min="4" max="4"/>
    <col hidden="1" width="36.875" customWidth="1" min="5" max="5"/>
    <col width="9.625" bestFit="1" customWidth="1" min="6" max="6"/>
    <col width="14.25" customWidth="1" style="2" min="7" max="7"/>
  </cols>
  <sheetData>
    <row r="1" ht="30" customHeight="1">
      <c r="A1" s="22" t="inlineStr">
        <is>
          <t>類別</t>
        </is>
      </c>
      <c r="B1" s="21" t="inlineStr">
        <is>
          <t>case_id</t>
        </is>
      </c>
      <c r="C1" s="24" t="inlineStr">
        <is>
          <t>律師輸入</t>
        </is>
      </c>
      <c r="D1" s="15" t="inlineStr">
        <is>
          <t>RAG+gemma3:27b (2026.02版)</t>
        </is>
      </c>
      <c r="E1" s="17" t="inlineStr">
        <is>
          <t>gpt-4o-mini-2024-07-18
3000筆
run: 20241217</t>
        </is>
      </c>
      <c r="F1" s="6" t="inlineStr">
        <is>
          <t xml:space="preserve">評分
</t>
        </is>
      </c>
      <c r="G1" s="6" t="inlineStr">
        <is>
          <t>註</t>
        </is>
      </c>
    </row>
    <row r="2" ht="30" customHeight="1">
      <c r="A2" s="31" t="inlineStr">
        <is>
          <t>單純原被告各一</t>
        </is>
      </c>
      <c r="B2" s="23" t="n">
        <v>1</v>
      </c>
      <c r="C2" s="25" t="inlineStr">
        <is>
          <t>一、事故發生緣由: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二、原告受傷情形:
原告因此車禍受有左膝挫傷、半月軟骨受傷等傷害。原告於105年5月2日、7日、7月16日、8月13日、8月29日至醫院門診就診，105年8月2日進行核磁共振造影檢查。根據醫院開立的診斷證明書，原告需休養1個月。
三、請求賠償的事實根據: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is>
      </c>
      <c r="D2" s="16" t="inlineStr">
        <is>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（一）醫療復健費用：190元
原告主張醫療復健費用190元。
（二）車輛修復費用：181,144元
原告主張車輛修復費用181,144元。
（三）交通費用：4,500元
原告主張交通費用4,500元。
（四）工作收入損失：33,000元
原告主張休養期間工作收入損失33,000元。
（五）慰撫金：99,000元
原告主張慰撫金99,000元。
（六）綜上所陳，被告應賠償原告之損害，包含醫療復健費用190元、車輛修復費用181,144元、交通費用4,500元、工作收入損失33,000元、慰撫金99,000元，總計317,834元，並自起訴狀副本送達翌日起至清償日止，按年息5%計算之利息。</t>
        </is>
      </c>
      <c r="E2" s="18" t="inlineStr">
        <is>
          <t>一、緣被告於民國105年4月12日13時27分許，駕駛租賃小客車沿新北市○○區○○路往富國路方向行駛，行經福營路342號前時，欲繞越前方由原告所駕駛併排於路邊臨時停車後適欲起駛之車輛，因閃避對向來車，疏未注意車前狀況及兩車並行之間隔，追撞原告駕駛車輛左後車尾，致原告受有左膝挫傷、半月軟骨受傷等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（一）醫療復健費用：190元
原告因本次事故受有左膝挫傷、半月軟骨受傷等傷害，為治療上開傷勢而就醫，支出醫療復健費用190元。
（二）車輛修復費用：181,144元
原告因本次事故導致所駕駛之車輛受損，修復費用包括工資費用88,774元和零件費用92,370元，共計181,144元。
（三）交通費用：4,500元
原告因傷不良於行，上下班須搭乘計程車，支出交通費用4,500元。
（四）休養期間工作收入損失：33,000元
原告因本次車禍受傷，依醫囑需休養1個月，無法工作，造成工作收入損失33,000元。
（五）慰撫金：99,000元
原告因本次車禍造成身體傷害，不僅造成身體上的痛苦，更因傷勢影響日常生活及工作，承受巨大精神壓力，爰向被告請求慰撫金99,000元。
（六）綜上所陳，被告應賠償原告之損害，包含醫療復健費用190元、車輛修復費用181,144元、交通費用4,500元、休養期間工作收入損失33,000元及慰撫金99,000元，總計317,834元，並自起訴狀副本送達翌日起至清償日止，按年息5%計算之利息。</t>
        </is>
      </c>
      <c r="F2" s="9" t="n"/>
      <c r="H2" s="2" t="inlineStr">
        <is>
          <t xml:space="preserve">
</t>
        </is>
      </c>
    </row>
    <row r="3" ht="30" customHeight="1">
      <c r="A3" s="38" t="n"/>
      <c r="B3" s="23" t="n">
        <v>2</v>
      </c>
      <c r="C3" s="25" t="inlineStr">
        <is>
          <t>一、事故發生緣由: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
三、請求賠償的事實根據: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綜上所述，原告依侵權行為之法律關係，請求被告賠償上述各項損失，總計396,697元及法定利息。原告請求自起訴狀繕本送達翌日起至清償日止，按週年利率5%計算之利息。原告認為被告應對此次事故負全部責任，故請求全額賠償。</t>
        </is>
      </c>
      <c r="D3" s="16" t="inlineStr">
        <is>
          <t>一、緣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（一）醫療費用：11,067元
原告因系爭傷害支出醫療費用11,067元。
（二）交通費用：380元
原告因就醫支出交通費用380元。
（三）工作損失：24,400元
原告因系爭事故受有不能工作之損失24,400元。原告需休養復健4至8週，影響其工作能力。
（四）機車維修費用：10,850元
原告4. 機車維修費用：系爭機車因事故受損支出修復費用共計10,850元，有估價單為證
（五）預估醫療費用：50,000元
原告主張因系爭事故而需支出未來開刀醫療費用50,000元。
（六）精神慰撫金：300,000元
原告6. 精神慰撫金：原告因系爭傷害多次就醫，造成生活上的不便，請求精神慰撫金300,000元
（七）綜上所陳，被告應賠償原告之損害，包含醫療費用11,067元、交通費用380元、工作損失24,400元、機車維修費用10,850元、預估醫療費用50,000元、精神慰撫金300,000元，總計396,697元，並自起訴狀副本送達翌日起至清償日止，按年息5%計算之利息。</t>
        </is>
      </c>
      <c r="E3" s="19" t="inlineStr">
        <is>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
（二）交通費用：380元
原告因就醫支出交通費用380元，有停車費用收據為證。
（三）工作損失：24,400元
原告因系爭事故受有不能工作之損失24,400元，有診斷證明書及薪資表為證。根據亞東醫院診斷證明書顯示，原告需休養復健4至8週，並需門診複查，影響其工作能力。
（四）機車維修費用：10,850元
系爭機車因事故受損，支出修復費用共計10,850元，有估價單為證。
（五）預估醫療費用：50,000元
原告主張因系爭事故而需支出未來開刀醫療費用50,000元。
（六）慰撫金：300,000元
原告因系爭傷害多次就醫，造成生活上的不便，並影響其工作。原告在事故發生後，需要持續就醫治療，並進行復健，對其日常生活和工作能力造成顯著影響，爰請求精神慰撫金300,000元。
（七）綜上所陳，被告應賠償原告之損害，包含醫療費用11,067元、交通費用380元、工作損失24,400元、機車維修費用10,850元、預估醫療費用50,000元及慰撫金300,000元，總計396,697元，並自起訴狀副本送達翌日起至清償日止，按年息5%計算之利息。</t>
        </is>
      </c>
      <c r="F3" s="9" t="n"/>
      <c r="H3" s="2" t="n"/>
    </row>
    <row r="4" ht="30" customHeight="1">
      <c r="A4" s="38" t="n"/>
      <c r="B4" s="23" t="n">
        <v>3</v>
      </c>
      <c r="C4" s="25" t="inlineStr">
        <is>
          <t>一、事故發生緣由:
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二、原告受傷情形:
原告因為被告引起的這場車禍受有頭部外傷、腦部創傷性腦損傷、創傷性蜘蛛膜下出血、視力模糊、視神經受損、外斜視、垂直性斜視等傷害，其後並有壓力後創傷症候群、憂鬱症、適應性失眠症等後遺症。
三、請求賠償的事實根據:
（一）醫療費用部分合計8萬3,016元
1、住院開刀醫療費用
原告因系爭車禍於112年10月27日經急診入院，並於同日接受顱內監測器放置手術，後來於000年00月00日出院，期間之手術及住診費用共計支出新臺幣5萬3,122元，有基隆長庚紀念醫院（以下簡稱基隆長庚）復健科費用收據可以證明。
2、復健科、腦神經外科、神經科診療費用
原告於系爭車禍發生時因頭部遭受撞擊而有頭部外傷、創傷性蜘蛛膜下出血等傷勢，並進而造成創傷性腦損傷，須接受復健治療，因此支出有一般性高壓氧治療費用共1萬0500元；神經科診療費用2次共802元、腦神經外科診療費用8次共3,520元，合計共1萬4,822元，有基隆長庚復健科之診斷證明書，與復健科、腦神經外科、神經科費用收據可以證明。
3、眼科診療費用
原告因系爭車禍致視神經受損視力模糊，有外斜視、垂直斜視之傷勢，須至基隆長庚眼科回診接受治療，共二次支出有診療費1,280元。且因視神經受損，原告平日間為聚焦看清物體，眼部肌肉須特別用力，導致眼睛較一般人更容易感到疲勞，原告因而另至基隆市瑞光眼科看診2次接受治療，支出有看診費400元，以上費用合計1,680元，此有基隆長庚眼科診斷證明書、費用收據，與瑞光眼科費用收據可以證明。
4、整形外科診療費用
原告因系爭車禍而人車倒地，臉部與路面發生摩擦，致有臉部擦傷、上唇肥厚性疤痕色素沉澱，因而於112年12月20日、113年1月24日、113年5月28日三度至基隆長庚接受治療，支出有看診費用1萬1,832元，以及證明前開損害所用之診斷及證明書費100元，共計1萬1,932元，此有基隆長庚之整形外科診斷證明書與費用收據可以證明。
5、精神科與中醫診所診療費用
原告因系爭車禍腦部受傷，致有壓力後創傷症候群、憂鬱症、適應性失眠症等症狀。平日除常有偏頭痛之症狀，夜間更因患有憂鬱症而失眠無法正常入睡，即便入睡後亦常於半夜驚醒，故原告於113年2月14日至基隆長庚精神科看診接受治療，支出有診用510元；113年4月26日至000年0月0日間。五度至基隆陳字斌中醫診所接受睡眠障礙症之治療並接受中醫藥劑調養，因而支出有看診費850元，以及證明前開損害所用之診斷及證明書費100元，共計1,460元，此有基隆長庚與陳字斌中醫診所之診斷書與醫療費用收據可以證明。
（二）交通費部分215元
原告於113年5月28日因須至基隆長庚醫院整形外科回診，來回一共支出計程車交通費用215元。
（三）看護費用部分共計52萬5,000元
本件原告因系爭車禍受傷入院接受手術開刀治療後，112年12月18日經基隆長庚診斷「出院後宜休養3個月以上，並需專人24小時照護」；113年4月25日回診後，醫師認為因原告「創傷後視力及記憶力恢復不全，情緒不穩定，需專人長時間陪護照顧至少2個月」；113年6月13日回診後，醫師仍認「須專人長時間陪護照顧至少2個月以上」，此有歷次之診斷證明書可證明。從而原告共計有7個月之時間需由專人照護陪伴，又雖原告並未聘僱看護照顧，而是由其婆婆與配偶輪流代為照顧，然而依照最高法院94年度台上字第1543號裁判意旨，縱原告因親屬關係而無現實之看護費支出，仍應比照一般看護情形，認定原告受有相當於看護費之損害，故原告參考基隆長庚紀念醫院112年招募全日看護工照顧服務員之徵人啟事作為行情價標準，認為一般長時間專人照顧服務員，每日薪資約為2,500至3,000元之間，而本件原告因系爭車禍受傷在家休養，診斷證明書並載明須專人24小時照護，原告因未實際聘僱看護而是由婆婆代為照顧，因此僅以最低價2,500元計算每日看護費用，請求7個月共計52萬5,000元【計算式：2,500元×30日×7個月＝52萬5,000元】。
（四）無法家務勞動之損失部分共計18萬9,080元
原告雖然是家庭主婦，並無現實之工作收入資料可為參考，然依最高法院92年度台上字第1626號判決意旨，原告於家中處理家務之勞動能力，應能以另僱他人代勞而支出之報酬予以評價，故原告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依行政院勞動部公布於112年1月1日起實施之基本工資為每月2萬6,400元；113年1月1日起實施之基本工資為每月2萬7,470元作為基準計算，原告此7個月無法從事家務勞動之工作損失應為18萬9,080元【計算式：2萬6,400元×3月＋2萬7,470元×4月=18萬9,080元】。
（五）慰撫金部分130萬元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1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130萬元。</t>
        </is>
      </c>
      <c r="D4" s="16" t="inlineStr">
        <is>
          <t>一、緣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（一）醫療費用：83,016元
原告（一）醫療費用部分合計83,016元
（二）交通費用：215元
原告於113年5月28日因須至基隆長庚醫院整形外科回診，來回一共支出計程車交通費用215元。
（三）看護費用：525,000元
原告（三）看護費用部分共計525,000元
（四）無法家務勞動之損失：189,080元
原告雖然是家庭主婦，並無現實之工作收入資料可為參考，故其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原告因受傷無法從事家務勞動，計算方式如下：前3個月依據112年1月1日起實施之基本工資為每月26,400元；後4個月依據113年1月1日起實施之基本工資為每月27,470元，故原告此7個月無法從事家務勞動之工作損失應為189,080元(26,400元×3月＋27,470元×4月=189,080元)。
（五）慰撫金：1,300,000元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1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1,300,000元。
（八）綜上所陳，被告應賠償原告之損害，包含醫療費用83,016元、交通費用215元、看護費用525,000元、無法家務勞動之損失189,080元、慰撫金1,300,000元，總計2,097,311元，並自起訴狀副本送達翌日起至清償日止，按年息5%計算之利息。</t>
        </is>
      </c>
      <c r="E4" s="18" t="inlineStr">
        <is>
          <t>一、緣被告於民國112年10月27日15時許，駕駛車牌號碼000-0000號自用小客車，沿基隆市安樂區麥金路直行往基金一路方向行駛，行經麥金路與安國橋路口欲右轉時，本應注意轉彎車應讓直行車先行，以避免危險或交通事故之發生，而當時為具自然光線之日間、柏油路面未積水、無障礙物且視距良好，並無不能注意之情事，竟疏於注意，即貿然右轉彎，因而與直行至該路口之原告發生碰撞，導致原告遭被告駕駛之汽車撞擊倒地，受有頭部外傷、腦部創傷性腦損傷、創傷性蜘蛛膜下出血、視力模糊、視神經受損、外斜視、垂直性斜視等傷害，其後並有壓力後創傷症候群、憂鬱症、適應性失眠症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（一）醫療費用：83,016元
1. 住院開刀醫療費用：53,122元
原告因本次事故於112年10月27日經急診入院，並於同日接受顱內監測器放置手術，後來於000年00月00日出院，期間之手術及住診費用共計支出53,122元，有基隆長庚紀念醫院（以下簡稱基隆長庚）復健科費用收據可稽。
2. 復健科、腦神經外科、神經科診療費用：14,822元
原告因頭部遭受撞擊而有頭部外傷、創傷性蜘蛛膜下出血等傷勢，並進而造成創傷性腦損傷，須接受復健治療，支出一般性高壓氧治療費用10,500元；神經科診療費用2次共802元、腦神經外科診療費用8次共3,520元，合計14,822元，有基隆長庚復健科之診斷證明書，與復健科、腦神經外科、神經科費用收據可稽。
3. 眼科診療費用：1,680元
原告因本次事故致視神經受損視力模糊，有外斜視、垂直斜視之傷勢，須至基隆長庚眼科回診接受治療共二次，支出診療費1,280元。且因視神經受損，平日間為聚焦看清物體，眼部肌肉須特別用力，導致眼睛較一般人更容易感到疲勞，另至基隆市瑞光眼科看診2次，支出看診費400元，以上費用合計1,680元，有基隆長庚眼科診斷證明書、費用收據，與瑞光眼科費用收據可稽。
4. 整形外科診療費用：11,932元
原告因本次事故而人車倒地，臉部與路面發生摩擦，致有臉部擦傷、上唇肥厚性疤痕色素沉澱，於112年12月20日、113年1月24日、113年5月28日三度至基隆長庚接受治療，支出看診費用11,832元，以及證明前開損害所用之診斷及證明書費100元，共計11,932元，有基隆長庚之整形外科診斷證明書與費用收據可稽。
5. 精神科與中醫診所診療費用：1,460元
原告因本次事故腦部受傷，致有壓力後創傷症候群、憂鬱症、適應性失眠症等症狀，於113年2月14日至基隆長庚精神科看診支出診療費510元；113年4月26日至000年0月0日間五度至基隆陳字斌中醫診所接受睡眠障礙症之治療並接受中醫藥劑調養，支出看診費850元，以及證明前開損害所用之診斷及證明書費100元，共計1,460元，有基隆長庚與陳字斌中醫診所之診斷書與醫療費用收據可稽。
（二）交通費用：215元
原告於113年5月28日因須至基隆長庚醫院整形外科回診，來回支出計程車交通費用215元。
（三）看護費用：525,000元
原告因本次事故受傷入院接受手術開刀治療後，112年12月18日經基隆長庚診斷「出院後宜休養3個月以上，並需專人24小時照護」；113年4月25日回診後，醫師認原告「創傷後視力及記憶力恢復不全，情緒不穩定，需專人長時間陪護照顧至少2個月」；113年6月13日回診後，醫師仍認「須專人長時間陪護照顧至少2個月以上」，此有歷次之診斷證明書可稽。原告共計有7個月之時間需由專人照護陪伴，依照最高法院94年度台上字第1543號裁判意旨，縱原告因親屬關係而無現實之看護費支出，仍應比照一般看護情形，認定原告受有相當於看護費之損害，以基隆長庚紀念醫院112年招募全日看護工照顧服務員之徵人啟事作為行情價標準，一般長時間專人照顧服務員每日薪資以2,500元計算，共計525,000元。
（四）無法家務勞動之損失：189,080元
原告因本次事故受傷，自112年10月27日起至113年5月26日止，共計7個月無法從事家務勞動，依行政院勞動部公布之基本工資計算，受有189,080元之損失。
（五）慰撫金：1,300,000元
原告因本次事故受有腦部創傷性腦損傷等傷害，經緊急手術後住院將近1個月，出院後亦因創傷性腦損傷、憂鬱症、記憶力衰退、視力受損造成生活諸多不便，且需定期回診接受治療，對於身心靈造成莫大痛苦。考量原告擔任家庭主婦，尚有二名未成年子女須扶養照顧，因本次事故致無法照顧未成年子女與從事家務勞動，爰請求慰撫金1,300,000元。
（六）綜上所陳，被告應賠償原告之損害，包含醫療費用83,016元、交通費用215元、看護費用525,000元、無法家務勞動之損失189,080元及慰撫金1,300,000元，總計2,097,311元。</t>
        </is>
      </c>
      <c r="F4" s="9" t="n"/>
    </row>
    <row r="5" ht="30" customHeight="1">
      <c r="A5" s="38" t="n"/>
      <c r="B5" s="23" t="n">
        <v>4</v>
      </c>
      <c r="C5" s="25" t="inlineStr">
        <is>
          <t>一、事故發生緣由:
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二、原告受傷情形:
原告因本件車禍事故受有左肩、左前臂、左手擦傷、左踝擦挫傷等傷害。
三、請求賠償的事實根據:
原告主張因本件車禍受傷至淡水馬偕紀念醫院、祐民聯合診所就醫，支出醫療費用5萬4,741元，並且在111年9月27日購買藥品支出1,890元，以上有淡水馬偕紀念醫院醫療費用收據、祐民聯合診所醫療費用收據可以證明，而後至112年仍需要雷射除疤、中醫調養門診、來往醫院交通費用、自費醫材等預估醫療費用18萬元，並且有113年3月29日美仕媞時尚醫美診所1萬8,444元醫療收據可以證明原告後續預估的醫療費用有後續治療之必要及實際支出。
原告主張因受到系爭傷害，馬偕紀念醫院乙種診斷證明書上記載「患者甲○○於本院民國111年8月7日急診診1次…因患者甲○○左側足踝慢性傷口遲未癒合，為進一步治療，於本院自民國111年9月7日入院，於民國111年9月8日接受清創及人工真皮植皮手術，術後使用負壓照護系統。需專人照護一個月。」，因此原告因本件事故自111年9月7日至111年9月13日共7日住院治療，出院後需專人照護一個月，於111年9月13日至111年10月13日期間，以一般醫院全日看護之收費行情為2,000元以上計算，一共支出看護費用7萬4,000元（即每日2,000元×37日＝7萬4,000元）。
原告主張本件事故發生前原告受僱康舒科技股份有限公司，每個月月薪7萬2,800元，因本件車禍受傷導致3個月期間無法工作，因此請求受有3個月不能工作之薪資損害大約共42萬元，有診斷證明書、110年度綜合所得稅各類所得資料清單、健保櫃檯個人投保紀錄等可以作為證據。
原告主張因本件事故，衣褲毀損支出購置費用1,580元、因鞋子毀損支出購置費用1,393元；其機車因毀損而支出修理費用合計2萬0,900元。
原告因本件事故受有左肩、左前臂、左手擦傷、左踝擦挫傷等傷害，並且經過持續回診之情形，精神上受有相當痛苦；而原告為大學畢業，原任職於康舒科技股份有限公司，月薪7萬2,800元，請求鈞院衡量原告所受傷勢、本件事故發生原因及兩造財產資力等一切情狀，命被告支付精神慰撫金99萬元，以填補原告所受非財產上損害。</t>
        </is>
      </c>
      <c r="D5" s="16" t="inlineStr">
        <is>
          <t>一、緣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（一）醫療費用：54,741元
原告主張因本件車禍受傷至淡水馬偕紀念醫院、祐民聯合診所就醫，支出醫療費用54,741元，並且在111年9月27日購買藥品支出1,890元，以上有淡水馬偕紀念醫院醫療費用收據、祐民聯合診所醫療費用收據可以證明，而後至112年仍需要雷射除疤、中醫調養門診、來往醫院交通費用、自費醫材等預估醫療費用180,000元，並且有113年3月29日美仕媞時尚醫美診所18,444元醫療收據可以證明原告後續預估的醫療費用有後續治療之必要及實際支出。
（二）看護費用：74,000元
原告主張因受到系爭傷害，馬偕紀念醫院乙種診斷證明書上記載「患者甲○○於本院民國111年8月7日急診診1次…因患者甲○○左側足踝慢性傷口遲未癒合，為進一步治療，於本院自民國111年9月7日入院，於民國111年9月8日接受清創及人工真皮植皮手術，術後使用負壓照護系統。需專人照護一個月。」，因此原告因本件事故自111年9月7日至111年9月13日共7日住院治療，出院後需專人照護一個月，於111年9月13日至111年10月13日期間，以一般醫院全日看護之收費行情為2,000元以上計算，一共支出看護費用74,000元（即每日2,000元×37日＝74,000元）。
（三）工作損失：420,000元
原告主張本件事故發生前原告受僱康舒科技股份有限公司。有相關證明文件可資佐證。
（四）財物損失：3,973元
原告因本次事故受有財物損失3,973元。
（五）精神慰撫金：990,000元
原告因本件事故受有左肩、左前臂、左手擦傷、左踝擦挫傷等傷害，並且經過持續回診之情形，精神上受有相當痛苦；而原告為大學畢業，原任職於康舒科技股份有限公司，月薪72,800元，請求鈞院衡量原告所受傷勢、本件事故發生原因及兩造財產資力等一切情狀，命被告支付精神慰撫金990,000元，以填補原告所受非財產上損害。
（六）綜上所陳，被告應賠償原告之損害，包含醫療費用54,741元、看護費用74,000元、工作損失420,000元、財物損失3,973元、精神慰撫金990,000元，總計1,542,714元，並自起訴狀副本送達翌日起至清償日止，按年息5%計算之利息。</t>
        </is>
      </c>
      <c r="E5" s="18" t="inlineStr">
        <is>
          <t>一、緣被告於民國111年8月7日下午18時14分許，駕駛車號000-0000自用小客車，沿新北市淡水區淡金路往臺北方向行駛，行至該路段欲右轉進入中正東路一段時，應注意轉彎車應禮讓直行車先行，竟未注意即貿然右轉，致訴外人葉銘倫騎乘車號000-0000普通重型機車搭載原告，同向行駛在被告車輛之右側，因閃避不及遭被告所駕之自用小客車碰撞而人車倒地。被告之行為涉及過失，經臺灣士林地方法院112年度交易字第44號刑事判處拘役50日，上訴後，經鈞院刑事庭112年度交上易字第199號判決上訴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（一）醫療費用：234,185元
1. 已支出醫療費用：56,741元
原告因本次事故受有左肩、左前臂、左手擦傷、左踝擦挫傷等傷害，至淡水馬偕紀念醫院、祐民聯合診所就醫，支出醫療費用54,741元，及購買藥品支出1,890元。
2. 預估醫療費用：177,444元
原告後續需進行雷射除疤、中醫調養門診、來往醫院交通費用、自費醫材等治療，預估費用177,444元，有113年3月29日美仕媞時尚醫美診所18,444元醫療收據可稽。
（二）看護費用：74,000元
依馬偕紀念醫院乙種診斷證明書記載，原告於111年9月7日至111年9月13日住院治療，出院後需專人照護一個月，以每日2,000元計算，共計37日，總計74,000元。
（三）工作損失：420,000元
原告原任職於康舒科技股份有限公司，每月薪資72,800元，因本次事故受傷導致3個月無法工作，損失薪資共計420,000元。
（四）財物損失：26,873元
1. 衣褲毀損：1,580元
2. 鞋子毀損：1,393元
3. 機車修理費用：20,900元
（五）慰撫金：990,000元
原告因本次事故受有左肩、左前臂、左手擦傷、左踝擦挫傷等傷害，經持續回診，且原告為大學畢業，原任職於康舒科技股份有限公司，月薪72,800元，爰請求慰撫金990,000元。
（六）綜上所陳，被告應賠償原告之損害，包含醫療費用234,185元、看護費用74,000元、工作損失420,000元、財物損失26,873元及慰撫金990,000元，總計1,745,058元。</t>
        </is>
      </c>
      <c r="F5" s="9" t="n"/>
    </row>
    <row r="6" ht="30" customHeight="1">
      <c r="A6" s="38" t="n"/>
      <c r="B6" s="23" t="n">
        <v>5</v>
      </c>
      <c r="C6" s="25" t="inlineStr">
        <is>
          <t>一、事故發生緣由:
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二、原告受傷情形:
原告因為此次交通事故受有左側脛骨遠端骨折、左側腓骨外踝骨折、左側腎臟撕裂、左下眼瞼及鼻淚管撕裂、舌部撕裂、左耳鼓膜破損、左側第4第5第6第7肋骨骨折等傷害。
三、請求賠償的事實根據:
原告主張其因被告之侵權行為自車禍發生後先後至北港馬祖醫院、嘉義長庚醫院、北港仁一醫院就診，支出醫療費用225,086元，此有醫療費用單據83紙可為證據。並且因為前揭傷害，支出購買東洋參、大七厘散、韓國人參、龜鹿二仙膠、健步丸等身體恢復營養補充費用合計65,000元。又自車禍發生後，於111年7月10日至長庚醫療財團法人嘉義長庚紀念醫院就診，於111年7月11日轉入加護病房治療，於111年7月12日轉入普通病房，於000年0月00日出院，原告於111年7月10日起至111年7月25日住院期間，需專人全日看護照顧。另原告出院後至111年8月29日，需半日看護照顧其日常生活起居，有彰化基督教醫療財團法人彰化基督教醫院鑑定報告書、看護費用收據、長照人員服務證明可為證據。又看護工作較一般工作之時間為長，且須隨時注意傷患之病情反應，是原告主張以其實際支出之看護費用每日2,800元計算原告就看護費用部分請求之金額為92,400元（計算式：2,800元×16日＝44,800元，2,800元×34日×1/2＝47,600元，合計為92,400元）。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萬元，名下有1部自小客車，請求鈞院衡量原告所受傷勢、本件事故發生原因及兩造財產資力等一切情狀，命被告支付精神慰撫金100萬元，以填補原告所受精神痛苦。</t>
        </is>
      </c>
      <c r="D6" s="16" t="inlineStr">
        <is>
          <t>一、緣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（一）醫療費用：225,086元
原告主張其因被告之侵權行為自車禍發生後先後至北港馬祖醫院、嘉義長庚醫院、北港仁一醫院就診。有相關證明文件可資佐證。
（二）看護費用：92,400元
原告又看護工作較一般工作之時間為長，且須隨時注意傷患之病情反應，是原告主張以其實際支出之看護費用每日2,800元計算原告就看護費用部分請求之金額為92,400元（計算式：2,800元×16日＝44,800元，2,800元×34日×1/2＝47,600元，合計為92,400元）
（三）工作損失：950,400元
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50,000元，名下有1部自小客車，請求鈞院衡量原告所受傷勢、本件事故發生原因及兩造財產資力等一切情狀，命被告支付精神慰撫金1,000,000元，以填補原告所受精神痛苦。
（四）綜上所陳，被告應賠償原告之損害，包含醫療費用225,086元、看護費用92,400元、工作損失950,400元，總計1,267,886元，並自起訴狀副本送達翌日起至清償日止，按年息5%計算之利息。</t>
        </is>
      </c>
      <c r="E6" s="18" t="inlineStr">
        <is>
          <t>一、緣被告於民國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（一）醫療費用：225,086元
原告因本次事故受有左側脛骨遠端骨折、左側腓骨外踝骨折、左側腎臟撕裂、左下眼瞼及鼻淚管撕裂、舌部撕裂、左耳鼓膜破損、左側第4第5第6第7肋骨骨折等傷害，先後至北港馬祖醫院、嘉義長庚醫院、北港仁一醫院就診，支出醫療費用225,086元，有醫療費用單據83紙可稽。
（二）營養補充費用：65,000元
原告因前揭傷害，支出購買東洋參、大七厘散、韓國人參、龜鹿二仙膠、健步丸等身體恢復營養補充費用65,000元。
（三）看護費用：92,400元
原告於111年7月10日至111年7月25日住院期間，需專人全日看護照顧，出院後至111年8月29日，需半日看護照顧其日常生活起居，以每日2,800元計算，共計92,400元（計算式：2,800元×16日＋2,800元×34日×1/2＝92,400元）。
（四）工作損失：950,400元
原告因本次車禍受傷，3年無法工作，以每月薪資4萬元計算，共計950,400元。
（五）慰撫金：1,000,000元
原告因本次車禍受有前揭傷害，歷經手術治療及多次門診治療，其身體及精神均受有相當之痛苦。考量原告所受傷勢、本件事故發生原因及兩造財產資力等一切情狀，爰請求慰撫金1,000,000元。
（六）綜上所陳，被告應賠償原告之損害，包含醫療費用225,086元、營養補充費用65,000元、看護費用92,400元、工作損失950,400元及慰撫金1,000,000元，總計2,332,886元。</t>
        </is>
      </c>
      <c r="F6" s="9" t="n"/>
    </row>
    <row r="7" ht="30" customHeight="1">
      <c r="A7" s="38" t="n"/>
      <c r="B7" s="23" t="n">
        <v>6</v>
      </c>
      <c r="C7" s="25" t="inlineStr">
        <is>
          <t>一、事故發生緣由:
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二、原告受傷情形:
原告因為系爭事故而受有左側踝部挫傷及擦傷、左側手肘挫傷及擦傷、左側髖擦傷、左側膝部擦傷、頭部外傷合併左後枕部挫傷、頭部外傷症候群等傷害。
三、請求賠償的事實根據:
（一）機車維修費用6,900元
原告所有的機車因系爭車禍受損而需要更換全新零件，經機車行估計維修價格為6,900元，此有龍騎士車業有限公司估價單可佐證。
（二）（台北馬偕紀念醫院）醫療費用5,371元
原告因系爭車禍事故受有左側踝部挫傷及擦傷、左側手肘挫傷及擦傷、左側髖擦傷、左側膝部擦傷、頭部外傷合併左後枕部挫傷、頭部外傷症候群等傷害，除於事故發生當日先送往台北馬偕紀念醫院急診治療，再陸續至該院骨科、神經外科、一般外科門診追蹤治療，共花費5,371元，此均有台北馬偕紀念醫院急診醫學科、骨科、神經外科診斷證明書暨原告傷勢照片、醫療費用收據可作為證據。
（三）（和睦家診所）醫療費用暨交通費用9,895元
原告因右肩擦挫傷勢，乃再自107年5月26日起至同年11月3日止搭乘計程車前往和睦家診所家醫科就診治療，共花費9,895元，此均有和睦家診所家醫科診斷證明書暨醫療費用收據、計程車乘車證明可作為證據。
（四）傷口包紮所需醫療器材費用2,145元
原告因系爭車禍事故導致身體部位多處擦傷須購買如敷料等醫療用品加以包紮，乃陸續支出相關醫療器材費用共2,145元，此分別有承泰藥局、華康藥局、吉杏展業股份有限公司馬偕門市部、雅登藥局、日揚藥局所開立之統一發票可作為證據。
（五）（全昌堂中醫診所）醫療費用9,225元
原告另因左側手部、膝部挫傷與頭痛、偏頭痛等徵狀，乃自107年5月30日起至109年1月17日止前往全昌堂中醫診所就診治療，共花費9,225元，此均有全昌堂中醫診所內科診斷證明書暨醫療費用收據可作為證據。
（六）（新光吳火獅紀念醫院）醫療費用1,870元
原告且因偏頭痛徵狀，又陸續於108年7月23日、30日暨同年8月27日至新光吳火獅紀念醫院神經內科門診治療，共花費1,870元，此均有新光吳火獅紀念醫院神經內科診斷證明書暨醫療費用收據可作為證據。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萬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t>
        </is>
      </c>
      <c r="D7" s="16" t="inlineStr">
        <is>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（一）機車維修費用：6,900元
原告所有的機車因系爭車禍受損而需要更換全新零件，經機車行估計維修價格為6,900元，此有龍騎士車業有限公司估價單可佐證。
（二）醫療費用（台北馬偕紀念醫院）：5,371元
原告因系爭車禍事故受有左側踝部挫傷及擦傷、左側手肘挫傷及擦傷、左側髖擦傷、左側膝部擦傷、頭部外傷合併左後枕部挫傷、頭部外傷症候群等傷害。有相關證明文件可資佐證。
（三）醫療費用暨交通費用（和睦家診所）：9,895元
原告因右肩擦挫傷勢。有相關證明文件可資佐證。
（四）傷口包紮所需醫療器材費用：2,145元
原告因系爭車禍事故導致身體部位多處擦傷須購買如敷料等醫療用品加以包紮。有相關證明文件可資佐證。
（五）醫療費用（全昌堂中醫診所）：9,225元
原告另因左側手部、膝部挫傷與頭痛、偏頭痛等徵狀。有相關證明文件可資佐證。
（六）醫療費用（新光吳火獅紀念醫院）：1,870元
原告且因偏頭痛徵狀。有相關證明文件可資佐證。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30,000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
（九）綜上所陳，被告應賠償原告之損害，包含機車維修費用6,900元、醫療費用（台北馬偕紀念醫院）5,371元、醫療費用暨交通費用（和睦家診所）9,895元、傷口包紮所需醫療器材費用2,145元、醫療費用（全昌堂中醫診所）9,225元、醫療費用（新光吳火獅紀念醫院）1,870元、因傷不能工作之薪資損失141,092元、精神慰撫金623,502元，總計800,000元，並自起訴狀副本送達翌日起至清償日止，按年息5%計算之利息。</t>
        </is>
      </c>
      <c r="E7" s="18" t="inlineStr">
        <is>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且被告因本次事故涉犯過失傷害罪，業經鈞院108年度審交簡字第308號判決有期徒刑3月，足證被告對本次事故之發生確實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（一）機車維修費用：6,900元
原告所有之機車因本次事故受損而需要更換全新零件，經機車行估計維修價格為6,900元，此有龍騎士車業有限公司估價單可佐。
（二）醫療費用：26,366元
1. 台北馬偕紀念醫院醫療費用：5,371元
原告因本次事故受有左側踝部挫傷及擦傷、左側手肘挫傷及擦傷、左側髖擦傷、左側膝部擦傷、頭部外傷合併左後枕部挫傷、頭部外傷症候群等傷害，於事故發生當日及後續至該院骨科、神經外科、一般外科門診追蹤治療，共花費5,371元。
2. 和睦家診所醫療費用暨交通費用：9,895元
原告因右肩擦挫傷勢，自107年5月26日起至同年11月3日止搭乘計程車前往和睦家診所家醫科就診治療，共花費9,895元。
3. 全昌堂中醫診所醫療費用：9,225元
原告因左側手部、膝部挫傷與頭痛、偏頭痛等徵狀，自107年5月30日起至109年1月17日止前往全昌堂中醫診所就診治療，共花費9,225元。
4. 新光吳火獅紀念醫院醫療費用：1,870元
原告因偏頭痛徵狀，於108年7月23日、30日暨同年8月27日至新光吳火獅紀念醫院神經內科門診治療，共花費1,870元。
（三）醫療器材費用：2,145元
原告因本次事故導致身體部位多處擦傷須購買敷料等醫療用品加以包紮，支出相關醫療器材費用2,145元。
（四）薪資損失：141,092元
原告於本次事故發生前原任職遠東國際專利商標事務所，每月薪資35,273元，因被告過失傷害行為致遭解雇，經休養四個月後始任職於新光吳火獅紀念醫院擔任行政工作，每月薪資3萬元，故請求四個月薪資損失141,092元。
（五）慰撫金：623,502元
原告因本次事故受傷後，每當外出時均擔憂會再度遭恣意由巷弄間竄出之車輛撞擊，導致身心經常處於緊繃不安之狀態。且因頭部遭受強力撞擊需定期回醫院門診追蹤治療、長期服用止痛藥、抗癲癇藥物抑制偏頭痛，更於事故發生後5日遽遭原任職遠東國際專利商標事務所解雇，造成原告身心所承受之痛苦深鉅。且被告始終未對原告表示過關心或慰問之意，毫無任何誠意可言，爰請求慰撫金623,502元。
（六）綜上所陳，被告應賠償原告之損害，包含機車維修費用6,900元、醫療費用26,366元、醫療器材費用2,145元、薪資損失141,092元及慰撫金623,502元，總計800,005元。</t>
        </is>
      </c>
      <c r="F7" s="9" t="n"/>
    </row>
    <row r="8" ht="30" customHeight="1">
      <c r="A8" s="38" t="n"/>
      <c r="B8" s="23" t="n">
        <v>7</v>
      </c>
      <c r="C8" s="25" t="inlineStr">
        <is>
          <t>一、事故發生緣由:
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二、原告受傷情形:
原告受有頭部挫傷、頭暈、噁心想吐、頸部挫傷、疑腦震盪、背部拉傷、耳鳴等傷害，另受有急性壓力疾患、創傷性壓力症候群、急性壓力反應、適應障礙症併焦慮及憂鬱情緒等症狀（下稱系爭身心症狀）。
三、請求賠償的事實根據:
原告主張因本件車禍所受傷害，因而致臺大竹分院生醫醫院就醫支出醫療費用10,740元；並且原告因本件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原告主張其所有系爭車輛因本件事故受損、需以計程車代步，請求被告給付9,442元。
原告因本件事故所受傷害而於111年2月14日起至112年1月31日止期間，不能工作而受有薪資損失320,372元。
系爭車輛於106年8月出廠，在車況正常、保養情形良好下，經過新竹區汽車商業同業公會於111年4月28日鑑定之合理市價為33萬元，又原告於111年4月23日將系爭車輛以價金20萬元出賣予訴外人王其能，因此原告主張向被告請求賠償系爭車輛因本件事故所導致交易價值減損為13萬元。
原告主張系爭嬰兒車因本件事故受損致無法使用而需購買新品，而系爭嬰兒車經扣除折舊後之損害為10,850元。
原告主張因本件車禍而受有支出系爭車輛拖吊費1,171元。
原告因本件車禍受有頭部挫傷、頭暈、噁心想吐、頸部挫傷、疑腦震盪、背部拉傷等傷害，造成原告身心因此承受重大痛苦，並導致系爭身心症狀。又原告為碩士畢業，任職高中老師、月收入約8萬元，請求鈞院斟酌兩造經濟、身分地位，及被告前揭過失肇事及侵害情節、致原告受有前開傷害之程度、對原告所造成之痛苦等一切情狀，命被告賠償精神慰撫金300,000元。</t>
        </is>
      </c>
      <c r="D8" s="16" t="inlineStr">
        <is>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（一）醫療費用：10,740元
原告主張因本件車禍所受傷害。有相關證明文件可資佐證。
（二）看護費用：880,000元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（三）代步交通費：9,442元
原告主張其所有系爭車輛因本件事故受損、需以計程車代步，請求被告給付9,442元。
（四）薪資損失：320,372元
原告因本件事故所受傷害而於111年2月14日起至112年1月31日止期間，不能工作而受有薪資損失320,372元。
（五）車輛交易價值減損：130,000元
系爭車輛於106年8月出廠，在車況正常、保養情形良好下，經過新竹區汽車商業同業公會於111年4月28日鑑定之合理市價為330,000元，又原告於111年4月23日將系爭車輛以價金200,000元出賣予訴外人王其能，因此原告主張向被告請求賠償系爭車輛因本件事故所導致交易價值減損為130,000元。
（六）嬰兒車損壞：10,850元
原告主張系爭嬰兒車因本件事故受損致無法使用而需購買新品，而系爭嬰兒車經扣除折舊後之損害為10,850元。
（七）拖吊費：1,171元
原告主張因本件車禍而受有支出系爭車輛拖吊費1,171元。
（八）精神慰撫金：300,000元
原告因本件車禍受有頭部挫傷、頭暈、噁心想吐、頸部挫傷、疑腦震盪、背部拉傷等傷害，造成原告身心因此承受重大痛苦，並導致系爭身心症狀。又原告為碩士畢業，任職高中老師、月收入約80,000元，請求鈞院斟酌兩造經濟、身分地位，及被告前揭過失肇事及侵害情節、致原告受有前開傷害之程度、對原告所造成之痛苦等一切情狀，命被告賠償精神慰撫金300,000元。
（九）綜上所陳，被告應賠償原告之損害，包含醫療費用10,740元、看護費用880,000元、代步交通費9,442元、薪資損失320,372元、車輛交易價值減損130,000元、嬰兒車損壞10,850元、拖吊費1,171元、精神慰撫金300,000元，總計1,662,575元，並自起訴狀副本送達翌日起至清償日止，按年息5%計算之利息。</t>
        </is>
      </c>
      <c r="E8" s="18" t="inlineStr">
        <is>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致原告受有頭部挫傷、頭暈、噁心想吐、頸部挫傷、疑腦震盪、背部拉傷、耳鳴等傷害，並罹患急性壓力疾患、創傷性壓力症候群、急性壓力反應、適應障礙症併焦慮及憂鬱情緒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（一）醫療費用：210,740元
1. 已支出醫療費用：10,740元
原告因本次事故受傷，於臺大竹分院生醫醫院就醫支出醫療費用10,740元。
2. 未來醫療費用：200,000元
原告因本次事故罹患系爭身心症狀，需以自費之經顱磁刺激（eTMS）進行治療，費用為200,000元，有臺大竹分院生醫醫院111年3月30日及111年7月20日診斷證明書、平衡身心診所111年12月15日診斷證明書可稽。
（二）看護費用：880,000元
原告因本次事故受傷，自111年2月14日起至112年1月31日止期間，需由家屬擔任全日看護，以每日2,500元計算，共計880,000元。
（三）車輛損害：143,442元
1. 車輛交易價值減損：130,000元
原告所有之系爭車輛經新竹區汽車商業同業公會鑑定之合理市價為330,000元，原告以200,000元出售予訴外人王其能，損失交易價值130,000元。
2. 嬰兒車損害：10,850元
原告之系爭嬰兒車因本次事故受損致無法使用，經扣除折舊後之損害為10,850元。
（四）代步費用：1,171元
原告因本次事故支出車輛拖吊費1,171元。
（五）工作損失：320,372元
原告因本次事故自111年2月14日起至112年1月31日止期間，不能工作而受有薪資損失320,372元。
（六）慰撫金：300,000元
原告因本次事故受有頭部挫傷、頭暈、噁心想吐、頸部挫傷、疑腦震盪、背部拉傷等傷害，並罹患急性壓力疾患、創傷性壓力症候群、急性壓力反應、適應障礙症併焦慮及憂鬱情緒等症狀，造成原end告身心承受重大痛苦。考量原告為碩士畢業，任職高中老師、月收入約8萬元，及被告前揭過失肇事及侵害情節、致原告受有前開傷害之程度、對原告所造成之痛苦等一切情狀，爰請求慰撫金300,000元。
（七）綜上所陳，被告應賠償原告之損害，包含醫療費用210,740元、看護費用880,000元、車輛損害143,442元、代步費用1,171元、工作損失320,372元及慰撫金300,000元，總計1,855,725元。</t>
        </is>
      </c>
      <c r="F8" s="9" t="n"/>
    </row>
    <row r="9" ht="30" customHeight="1" thickBot="1">
      <c r="A9" s="39" t="n"/>
      <c r="B9" s="23" t="n">
        <v>8</v>
      </c>
      <c r="C9" s="25" t="inlineStr">
        <is>
          <t>一、事故發生緣由:
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二、原告受傷情形:
本件事故使原告受有右鎖骨骨折、四肢多處挫傷、右側遠端鎖骨骨折、右側股骨外髁軟骨骨折、右臂神經叢損傷及右上肢失去功能等重傷害（下稱系爭傷害）。
三、請求賠償的事實根據:
原告主張自系爭車禍發生已支出聯合醫院醫療費用460元、臺大醫院醫療費用8萬1,356元、長庚醫院醫療費用2,290元、高雄義大醫院108年11月22日至109年4月24日醫療費用47萬6,103元、高雄義大醫院109年7月17日至111年12月16日醫療費用5萬3,804元、高雄義大醫院112年3月10日至112年6月9日醫療費用4,280元、義大癌治療醫院112年9月1日醫療費用50元、義大癌治療醫院112年11月24日醫療費用50元，以上均有門診收據可證，以及原告因有持續復健需求，故支出物理矯正治療費用4萬5,500元，並有永春物理治療所治療收據可證。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萬1,600元。原告前往高雄義大醫院就醫支出之交通費用、高速公路過路費用、油資共4萬9,299元。系爭車禍導致機車受損，修理費用為5萬0,250元，且均為零件費用，此有山維修估價單為證。另查原告住院起至出院後，共需專人協助生活照料至少3個月已如上述，是原告因系爭事故不能工作之日數應為前開醫囑所載之期間即系爭事故發生日108年9月12日至109年3月7日，共計176日，又原告於系爭事故發生前之平均每月薪資為4萬9,791元，因此原告因系爭傷害後無法工作，而受有176日薪資損失即29萬2,160元（計算式：1,660元×176日＝29萬2,160元）。另外原告因本件事故經醫院鑑定勞動能力減損76%，查原告係00年0月00日出生，其勞動能力減損應自事發翌日（即108年9月13日）起算至其法定退休年齡65歲（即152年4月23日），共計43年7月10日。是依每月3萬元勞動能力減損76％計算，原告每月減損勞動能力之損失為2萬2,800元（計算式：3萬元×76％＝2萬2,800元），依霍夫曼式計算法扣除中間利息（首期給付不扣除中間利息）其勞動力減損金額為新臺幣633萬9,232元。並且原告至少需復健5年，未來需支出復健費用51萬元。原告另請求其支出診斷證明書費用、影印費用、鑑定報告書費用共計1萬2,966元。查本件原告於事發時為21歲，職業為工程師，卻因被告之過失行為致受有系爭傷害，右臂神經叢損傷與右上肢失去功能，目前右上肢嚴重萎縮且領有身心障礙手冊，已嚴重影響生活及未來職涯，已如前述，足見原告身心確受有相當程度痛苦，因此請求慰撫金50萬元。</t>
        </is>
      </c>
      <c r="D9" s="16" t="inlineStr">
        <is>
          <t>一、緣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（一）醫療費用：512,473元
原告因本次事故受傷就醫，支出醫療費用512,473元。
（二）交通費及機車修理費：49,299元
原告前往高雄義大醫院就醫支出之交通費用、高速公路過路費用、油資共49,299元。系爭車禍導致機車受損。
（三）看護費用：391,600元
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391,600元
（四）勞動能力減損：6,339,232元
原告是依每月30,000元勞動能力減損76％計算，原告每月減損勞動能力之損失為22,800元（計算式：30,000元×76％＝22,800元），依霍夫曼式計算法扣除中間利息（首期給付不扣除中間利息）其勞動力減損金額為新臺幣6,339,232元
（五）復健費用：510,000元
並且原告至少需復健5年，未來需支出復健費用510,000元。
（六）診斷證明書、影印費及鑑定報告書費用：12,966元
原告因本次事故受有診斷證明書、影印費及鑑定報告書費用12,966元。
（七）綜上所陳，被告應賠償原告之損害，包含醫療費用512,473元、交通費及機車修理費49,299元、看護費用391,600元、勞動能力減損6,339,232元、復健費用510,000元、診斷證明書、影印費及鑑定報告書費用12,966元，總計7,815,570元，並自起訴狀副本送達翌日起至清償日止，按年息5%計算之利息。</t>
        </is>
      </c>
      <c r="E9" s="18" t="inlineStr">
        <is>
          <t xml:space="preserve">一、緣被告於民國108年9月12日上午8時36分許，騎乘車牌號碼000-000號普通重型機車，沿新北市中和區華中橋行駛時，本應注意變換車道時應讓直行車先行，並注意安全距離，竟疏未注意而貿然變換車道，致擦撞右側原告所騎乘之車牌000-0000號普通重型機車，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（一）醫療費用：614,329元
1. 聯合醫院醫療費用：460元
2. 臺大醫院醫療費用：81,356元
3. 長庚醫院醫療費用：2,290元
4. 高雄義大醫院醫療費用：576,187元（包含108年11月22日至109年4月24日之476,103元、109年7月17日至111年12月16日之53,804元、112年3月10日至112年6月9日之4,280元）
（二）復健費用：45,500元
原告因本次事故受有右鎖骨骨折、四肢多處挫傷、右側遠端鎖骨骨折、右側股骨外髁軟骨骨折、右臂神經叢損傷及右上肢失去功能等重傷害，需持續復健，支出物理矯正治療費用45,500元。
（三）看護費用：391,600元
原告因傷害導致生活無法自理，自108年9月12日至109年3月7日共計178日，由專人及家人照護，以全日照護費用每日2,200元計算，共計391,600元。
（四）交通費用：49,299元
原告前往高雄義大醫院就醫所支出之交通費用、高速公路過路費用、油資共計49,299元。
（五）車輛修理費用：50,250元
原告所騎乘之機車因本次事故受損，修理費用為50,250元。
（六）不能工作損失：292,160元
原告因本次事故自108年9月12日至109年3月7日共計176日無法工作，依其事故發生日之平均每月薪資49,791元計算，共受有292,160元之薪資損失。
（七）勞動能力減損：6,339,232元
原告因本次事故經醫院鑑定勞動能力減損76%，自事發翌日即108年9月13日起算至其法定退休年齡65歲即152年4月23日止，共計43年7月10日。依每月3萬元勞動能力減損76%計算，每月減損22,800元，扣除中間利息後之勞動力減損金額為6,339,232元。
（八）未來復健費用：510,000元
原告因本次事故需持續復健5年，預計支出復健費用510,000元。
（九）其他費用：12,966元
原告支出診斷證明書費用、影印費用、鑑定報告書費用共計12,966元。
（十）慰撫金：500,000元
查原告於事發時為21歲，職業為工程師，因本次事故受有右上肢嚴重萎縮，且領有身心障礙手冊，已嚴重影響其生活及未來職涯，且需持續復健5年，身心確受有相當程度痛苦，爰請求慰撫金500,000元。
（十一）綜上所陳，被告應賠償原告之損害，包含醫療費用614,329元、復健費用45,500元、看護費用391,600元、交通費用49,299元、車輛修理費用50,250元、不能工作損失292,160元、勞動能力減損6,339,232元、未來復健費用510,000元、其他費用12,966元及慰撫金500,000元，總計8,493,236元。
</t>
        </is>
      </c>
      <c r="F9" s="9" t="n"/>
    </row>
    <row r="10" ht="30" customHeight="1">
      <c r="A10" s="40" t="inlineStr">
        <is>
          <t>數名原告</t>
        </is>
      </c>
      <c r="B10" s="23" t="n">
        <v>9</v>
      </c>
      <c r="C10" s="25" t="inlineStr">
        <is>
          <t>一、事故發生緣由：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二、原告受傷情形：
原告乙○○因而受有頭部挫傷合併顏面多處擦傷及牙齒斷裂、下腹部挫傷合併恥骨之兩側下分枝斷裂（骨折）、右側卵巢巧克力囊腫破裂致腹膜炎等傷害，丙○○因而受有顱腦損傷、顱內出血、顏面骨骨折等傷害。
三、請求賠償的事實根據：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t>
        </is>
      </c>
      <c r="D10" s="16" t="inlineStr">
        <is>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（一）原告乙○○之損害：
1. 醫藥費用：38,706元
原告因本次事故受傷就醫，支出醫藥費用共新台幣38,706元。
2. 不能工作損失：69,728元
原告乙○○因本次事故受有不能工作損失69,728元。
3. 精神慰撫金：300,000元
原告因被告之侵權行為導致顱內出血及顏面骨折，有頭疼、頭暈且記憶力減退之後遺症等現象，均影響生活、工作及女生外貌甚鉅，導致原告精神痛苦不堪，為此爰請求精神賠償300,000元。
（二）原告丙○○之損害：
1. 醫藥費用：274,874元
原告丙○○1. 醫藥費用：共274,874元
2. 不能工作損失：180,942元
原告因傷無法工作期間達6個月以上，以其92年度綜合所得稅各類所得資料可知其每月工作所得為30,157元，以6個月計，則損失約180,942元。
3. 精神慰撫金：2,000,000元
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三）綜上所陳，被告應賠償原告之損害，就原告乙○○部分，包含醫藥費用38,706元、不能工作損失69,728元、精神慰撫金300,000元；就原告丙○○部分，包含醫藥費用274,874元、不能工作損失180,942元、精神慰撫金2,000,000元，總計2,864,250元，並自起訴狀副本送達翌日起至清償日止，按年息5%計算之利息。</t>
        </is>
      </c>
      <c r="E10" s="18" t="inlineStr">
        <is>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所駕駛之自小客車車頭與由原告乙○○所騎乘、後方搭載原告丙○○之UWL-1855號輕型機車發生對撞，致原告乙○○、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醫療費用：38,706元
原告丙○○因本次事故受有顱腦損傷、顱內出血、顏面骨骨折等傷害，支出醫療費用38,706元。
2. 工作損失：69,728元
原告丙○○因傷至少2個月不能工作，以92年、93年度扣繳憑單給付總額之平均數1個月34,860元計算，共損失69,728元。
3. 慰撫金：300,000元
原告丙○○因本次事故導致顱內出血及顏面骨折，有頭疼、頭暈且記憶力減退之後遺症，嚴重影響生活、工作及外貌，導致精神痛苦不堪，爰請求慰撫金300,000元。
（二）原告乙○○部分：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原告乙○○因傷無法工作期間達6個月以上，以其92年度綜合所得稅各類所得資料可知其每月工作所得為30,157元，以6個月計算，共損失180,942元。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因而使原告極其痛苦，爰請求慰撫金2,000,000元。
（三）綜上所陳，被告應賠償原告丙○○之損害，包含醫療費用38,706元、工作損失69,728元及慰撫金300,000元，總計408,434元；應賠償原告乙○○之損害，包含醫療費用274,874元、工作損失180,942元及慰撫金2,000,000元，總計2,455,816元。</t>
        </is>
      </c>
      <c r="F10" s="9" t="n"/>
    </row>
    <row r="11" ht="30" customHeight="1">
      <c r="A11" s="41" t="n"/>
      <c r="B11" s="23" t="n">
        <v>10</v>
      </c>
      <c r="C11" s="25" t="inlineStr">
        <is>
          <t>一、事故發生緣由:
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二、原告受傷情形:
原告甲父因系爭事故受有脾臟重度撕裂傷合併腹內出血及休克、左側第6至第9肋骨骨折、左小腿及左腳踝大面積傷口、左側肺挫傷併少量血胸等傷害。
原告甲母因系爭事故受有四肢及臉部多處挫傷及擦傷。
原告甲因系爭事故受有左膝挫傷、擦傷及左手第五掌骨閉鎖性骨折之傷害。
三、請求賠償的事實根據: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t>
        </is>
      </c>
      <c r="D11" s="16" t="inlineStr">
        <is>
          <t>一、緣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
（一）綜上所陳，被告應賠償原告之損害，就原告甲父部分，包含醫療費用53,715元、看護費用152,500元、交通費用965元、工作收入損失335,070元、精神慰撫金800,000元、B車受損修理費用7,977元、財物損失6,250元；就原告甲母部分，包含精神慰撫金50,000元；就原告甲部分，包含精神慰撫金150,000元，總計1,553,477元，並自起訴狀副本送達翌日起至清償日止，按年息5%計算之利息。</t>
        </is>
      </c>
      <c r="E11" s="18" t="inlineStr">
        <is>
          <t>一、緣被告於民國110年2月16日下午5時許，駕駛車牌號碼0000-00號自用小客車，自基隆市中正區碧砂漁港駛出欲右轉往中正路方向行駛之際，本應注意行駛在閃紅燈之支線道車應暫停讓幹線道車先行，竟疏未注意而貿然前行，與原告甲父騎乘之車牌號碼000-000號普通重型機車發生碰撞，致原告甲父、甲母及甲受有身體傷害，並造成原告甲父所有之車輛及其他財物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（一）原告甲父部分：
1. 醫療費用：53,715元
原告甲父因本次事故受有脾臟重度撕裂傷合併腹內出血及休克、左側第6至第9肋骨骨折、左小腿及左腳踝大面積傷口、左側肺挫傷併少量血胸等傷害，為此赴衛生福利部基隆醫院、長庚財團法人基隆長庚紀念醫院就醫，支出醫療費用53,715元。
2. 看護費用：152,500元
原告甲父因受傷住院期間需專人全日照顧，術後需休養3個月，以每日看護費用2,500元計算，共計152,500元。
3. 交通費用：965元
原告甲父因就醫需求，於110年2月16日搭乘救護車及多次搭乘計程車往返住家及醫院，支出交通費用965元。
4. 工作收入損失：335,070元
原告甲父因受傷需休養3個月，依其110年度全年薪資折算之日薪3,723元計算，共計損失335,070元。
5. 財物損失：14,227元
原告甲父所有之機車受損需支出修理費用7,977元，且因本次事故造成其手機、眼鏡、手錶、安全帽及衣服破損，受有價值6,250元之損害，共計14,227元。
6. 慰撫金：800,000元
原告甲父因本次事故受有嚴重傷害，需進入加護病房治療並接受多次手術，且出院後仍需長期休養，身體機能無法回復，迄今仍覺身體不適，爰請求慰撫金800,000元。
（二）原告甲母部分：
慰撫金：50,000元
原告甲母因本次事故受有四肢及臉部多處挫傷及擦傷，造成破相及永久影響外觀，爰請求慰撫金50,000元。
（三）原告甲部分：
慰撫金：150,000元
原告甲因本次事故受有左膝挫傷、擦傷及左手第五掌骨閉鎖性骨折之傷害，經多次回診治療，左手掌需以外物固定而無法彎曲，生活學業均受影響，且有永久影響左手握力與日常生活功能之虞，爰請求慰撫金150,000元。
（四）綜上所陳，被告應賠償原告甲父之損害，包含醫療費用53,715元、看護費用152,500元、交通費用965元、工作收入損失335,070元、財物損失14,227元及慰撫金800,000元，總計1,356,477元；應賠償原告甲母慰撫金50,000元；應賠償原告甲慰撫金150,000元。</t>
        </is>
      </c>
      <c r="F11" s="9" t="n"/>
    </row>
    <row r="12" ht="30" customHeight="1">
      <c r="A12" s="41" t="n"/>
      <c r="B12" s="23" t="n">
        <v>11</v>
      </c>
      <c r="C12" s="25" t="inlineStr">
        <is>
          <t>一、事故發生緣由:
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二、原告受傷情形:
本件事故使原告林肜宇受有頭部、左側手肘、膝部、足部、雙側手部挫擦傷、左側第六肋骨及肩胛骨閉肩胛性骨折等傷害（下稱系爭傷害），並造成系爭機車受損。
另外原告吳彩雲則受有左側肩膀、手部、髖部及足部挫擦傷等傷害（下稱系爭傷勢）。
三、請求賠償的事實根據:
原告林肜宇主張因治療系爭傷害，支出醫療暨醫療耗材費用共2萬0185元，並提出新北市立聯合醫院急診醫療費用收據、固的診所自費醫療明細收據暨藥品明細收據、臺北榮民總醫院門診醫療費用明細收據暨急診醫療費用明細收據等作為證據。
並且根據臺北榮民總醫院111年10月28日診斷證明書記載：「病人因上述病症於111年8月5日、8月10日、8月24日、9月7日、9月28日、10月28日至本院門診，傷後需專人照顧兩個月及宜繼續門診治療追蹤複查。」顯示其需專人看護2個月，以每日看護2200元計算，費用為13萬2000元。
又因系爭傷害有2個月不能工作，事故發生前每月薪資為16萬2000元，故請求被告賠償其休養期間不能工作之損失為32萬4000元。
且因本件車禍足部受傷，回診必須搭乘計程車，已支付就醫交通費用1335元，並提出計程車乘車為證。
系爭機車受損修復費用一共7970元(均為零件)，有必榮機車材料行開立之估價單當作證據。
其因系爭傷害需要定期就醫回診，生活受到相當程度影響，受有相當之精神痛苦，故請求精神慰撫金20萬元。
原告吳彩雲主張因治療系爭傷勢，支出醫療費用3200元，並有新北市立聯合醫院急診醫療費用收據及臺北榮民總醫院門診醫療費用明細收據等作為證據。
其主張本件車禍發生前，任職於台鼎有限公司，每月收入薪資為3萬元，因系爭傷勢需休養3日無法工作，故向公司請假3日，以每月薪資3萬元計算受有薪資損失3000元，並有銀行存摺明細乙份作為證據。
其因系爭傷勢同樣需要就醫回診，承受身體不適及工作上受到相當程度影響，受有相當之精神痛苦，故請求精神慰撫金5萬元。</t>
        </is>
      </c>
      <c r="D12" s="16" t="inlineStr">
        <is>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（一）原告林肜宇之損害：
1. 醫療費用：20,185元
原告林肜宇主張因治療系爭傷害支出醫療暨醫療耗材費用共20,185元，並提出新北市立聯合醫院急診醫療費用收據、固的診所自費醫療明細收據暨藥品明細收據、臺北榮民總醫院門診醫療費用明細收據暨急診醫療費用明細收據等作為證據
2. 看護費用：132,000元
原告因系爭傷害需專人照顧兩個月，以每日看護2,200元計算，費用為132,000元。臺北榮民總醫院診斷證明書記載：「病人因上述病症於111年8月5日、8月10日、8月24日、9月7日、9月28日、10月28日至本院門診，傷後需專人照顧兩個月」。
3. 喪失工作能力損失：324,000元
原告因系爭傷害需休養2個月不能工作，事故發生前每月薪資為162,000元，故請求被告賠償其休養期間不能工作之損失為324,000元。
4. 就醫交通費用：1,335元
原告因系爭車禍足部受傷。
5. 車輛修復費用：7,970元
原告林肜宇系爭機車受損修復費用一共7,970元(均為零件)，有必榮機車材料行開立之估價單當作證據
6. 精神慰撫金：300,000元 (假設此為原告請求項，原文未提及，但依據常見法律訴訟案例推斷)
原告因本次車禍身心受創，請求精神慰撫金300,000元。
（二）原告乙（未提及姓名，故稱乙）之損害：
由於原始描述僅提及原告林肜宇之損害，並未提及另一位原告的損害內容，故無法輸出另一位原告的損害項目。
**注意事項：**
*   由於原文中未明確說明是否有另一位原告，以及該原告的損害內容，故本輸出僅針對林肜宇的損害進行了詳細列舉。
*   精神慰撫金部分，原文中並未明確提及，為使輸出更完整，根據常見法律訴訟案例推斷，將此項目加入到林肜宇的損害項目中，若原文無此請求，則請移除此項目。
*   所有說明段落均基於原始描述的原文進行了引用和描述，力求完整、準確地反映原文內容。
*   所有金額均按照原文的格式進行了呈現，並未進行任何調整或修改。
*   若有其他未明確提及的損害項目，則無法進行輸出。
（三）綜上所陳，被告應賠償原告之損害，就原告林肜宇部分，包含醫療費用20,185元、看護費用132,000元、薪資損失324,000元、就醫交通費用1,335元、車輛修復費用7,970元、精神慰撫金300,000元；就原告吳彩雲部分，無相關損害項目可供請求，總計785,490元，並自起訴狀副本送達翌日起至清償日止，按年息5%計算之利息。</t>
        </is>
      </c>
      <c r="E12" s="18" t="inlineStr">
        <is>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均人車倒地。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（一）原告林肜宇之損害：
1. 醫療費用：20,185元
原告林肜宇因本次事故受有頭部、左側手肘、膝部、足部、雙側手部挫擦傷、左側第六肋骨及肩胛骨閉肩胛性骨折等傷害，為治療上開傷勢而就醫，支出醫療暨醫療耗材費用20,185元。
2. 看護費用：132,000元
依臺北榮民總醫院111年10月28日診斷證明書記載，原告林肜宇需專人照顧2個月，以每日看護2,200元計算，共計132,000元。
3. 工作損失：324,000元
原告林肜宇因本次事故受傷，需休養2個月無法工作，依其事故發生前每月薪資162,000元計算，共計324,000元。
4. 交通費用：1,335元
原告林肜宇因足部受傷就醫需搭乘計程車，支出交通費用1,335元。
5. 車輛修復費用：7,970元
原告林肜宇所騎乘之機車因本次事故受損，修復費用為7,970元。
6. 慰撫金：200,000元
原告林肜宇因本次事故受有上開傷害，需定期就醫回診，生活受到相當程度影響，受有相當之精神痛苦，爰請求慰撫金200,000元。
（二）原告吳彩雲之損害：
1. 醫療費用：3,200元
原告吳彩雲因本次事故受有左側肩膀、手部、髖部及足部挫擦傷等傷害，為治療上開傷勢而就醫，支出醫療費用3,200元。
2. 工作損失：3,000元
原告吳彩雲任職於台鼎有限公司，每月薪資30,000元，因本次事故需請假3日無法工作，受有薪資損失3,000元。
3. 慰撫金：50,000元
原告吳彩雲因本次事故受有上開傷害，需就醫回診，承受身體不適及工作上受到相當程度影響，受有相當之精神痛苦，爰請求慰撫金50,000元。
（三）綜上所陳，被告應賠償原告林肜宇之損害，包含醫療費用20,185元、看護費用132,000元、工作損失324,000元、交通費用1,335元、車輛修復費用7,970元及慰撫金200,000元，總計685,490元；應賠償原告吳彩雲之損害，包含醫療費用3,200元、工作損失3,000元及慰撫金50,000元，總計56,200元。兩原告之請求金額合計741,690元，並自起訴狀副本送達翌日起至清償日止，按年息5%計算之利息。</t>
        </is>
      </c>
      <c r="F12" s="9" t="n"/>
    </row>
    <row r="13" ht="30" customHeight="1">
      <c r="A13" s="41" t="n"/>
      <c r="B13" s="23" t="n">
        <v>12</v>
      </c>
      <c r="C13" s="25" t="inlineStr">
        <is>
          <t>一、事故發生緣由:
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二、原告受傷情形:
甲○○受有左側鎖骨骨折、左肘、左手、右膝、雙腳小腿擦傷、胸部挫傷等傷害；乙○○受有右足、左下背、左大腿挫傷之傷害。
三、請求賠償的事實根據:
原告甲○○主張為此支出醫療費用167,384元（含轉診救護車費用），甲○○提出中科院石園聯合診所門診醫療費用明細收據可為證據。又甲○○主張111年11月23日國軍桃園總醫院防護民眾診療服務處診斷證明書記載「甲○○111年11月12日受傷急診入院，同日接受骨折復位及內固定手術，翌日出院，須休養3個月及專人照顧1個月。而甲○○因骨折型態為粉碎性骨折，術後一個月應禁止大幅度上臂活動，且因劇烈疼痛，需全日專人照顧」等情，因此甲○○以專人照顧1個月，每日2,500元，請求看護費用75,000元。甲○○因本次交通事故請假共3個月又4日，請求工作損失245,935元。另外甲○○之機車因拖吊支出機車拖吊費2,000元，此有免用統一發票1紙為證據。甲○○並主張系爭機車因被告之過失行為受損，經折舊後之價額為87,175元，再扣除變賣機車之24,000元，認被告應賠償63,175元。而甲○○的安全帽、藍芽通訊器、衣服、外套、手機架、大風鏡等物品因此次事故毀損，請求被告賠償財產損失共17,740元。查甲○○因被告之過失行為而有如上所述之傷害，住院兩次共3日，門診達20餘次，精神自受有相當痛苦，請求精神慰撫金35萬元。 另查乙○○因本次事故受有多處挫傷，並且飽受驚嚇，不敢騎車上路，身體似未完全康復，請求被告給付精神慰撫金5萬元。</t>
        </is>
      </c>
      <c r="D13" s="16" t="inlineStr">
        <is>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（一）原告甲○○之損害：
1. 醫療費用：167,384元
原告甲○○主張為此支出醫療費用167,384元（含轉診救護車費用），甲○○提出中科院石園聯合診所門診醫療費用明細收據可為證據
2. 看護費用：75,000元
原告甲○○而甲○○因骨折型態為粉碎性骨折，術後一個月應禁止大幅度上臂活動，且因劇烈疼痛，需全日專人照顧」等情，因此甲○○以專人照顧1個月，每日2,500元，請求看護費用75,000元
3. 工作損失：245,935元
原告甲○○甲○○因本次交通事故請假共3個月又4日，請求工作損失245,935元
4. 機車拖吊費：2,000元
原告甲○○之機車因事故受損需拖吊。有相關證明文件可資佐證。
5. 機車價額損失：63,175元
原告甲○○系爭機車因被告之過失行為受損，經折舊後之價額為87,175元，扣除變賣機車之24,000元後，認被告應賠償63,175元。
6. 財產損失：17,740元
原告甲○○的安全帽、藍芽通訊器、衣服、外套、手機架、大風鏡等物品因此次事故毀損，請求被告賠償財產損失共17,740元。
7. 精神慰撫金：350,000元
原告甲○○因被告之過失行為而有如上所述之傷害，住院兩次共3日，門診達20餘次，精神自受有相當痛苦，請求精神慰撫金350,000元。
（二）原告乙○○之損害：
1. 醫療費用：未提供
由於原始描述中未提及原告乙○○的醫療費用等具體損害，故無法生成相關損害項目。
（三）綜上所陳，被告應賠償原告之損害，就原告甲○○部分，包含醫療費用167,384元、看護費用75,000元、工作損失245,935元、機車拖吊費2,000元、機車價額損失63,175元、財產損失17,740元、精神慰撫金350,000元；就原告乙○○部分，包含無，總計921,234元，並自起訴狀副本送達翌日起至清償日止，按年息5%計算之利息。</t>
        </is>
      </c>
      <c r="E13" s="19" t="inlineStr">
        <is>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致原告甲○○受有左側鎖骨骨折、左肘、左手、右膝、雙腳小腿擦傷、胸部挫傷等傷害，原告乙○○受有右足、左下背、左大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（一）醫療費用：167,384元
原告甲○○因本次事故受傷，支出醫療費用167,384元（含轉診救護車費用），有中科院石園聯合診所門診醫療費用明細收據可稽。
（二）看護費用：75,000元
依國軍桃園總醫院防護民眾診療服務處診斷證明書記載，原告甲○○因骨折型態為粉碎性骨折，術後一個月應禁止大幅度上臂活動，且因劇烈疼痛，需全日專人照顧，故以專人照顧1個月，每日2,500元計算，共計75,000元。
（三）工作損失：245,935元
原告甲○○因本次交通事故請假共3個月又4日，計算工作損失為245,935元。
（四）車輛損害：63,175元
原告甲○○所有之NME-3378號牌普通重型機車因本次事故受損，經折舊後之價額為87,175元，再扣除變賣機車之24,000元，故請求63,175元。
（五）財物損失：17,740元
原告甲○○之安全帽、藍芽通訊器、衣服、外套、手機架、大風鏡等物品因本次事故毀損，損失金額為17,740元。
（六）慰撫金：
1. 原告甲○○：350,000元
原告甲○○因本次事故受有如上所述之傷害，住院兩次共3日，門診達20餘次，精神上受有相當痛苦，爰請求慰撫金350,000元。
2. 原告乙○○：50,000元
原告乙○○因本次事故受有多處挫傷，並且飽受驚嚇，不敢騎車上路，身體似未完全康復，爰請求慰撫金50,000元。
（七）綜上所陳，被告應賠償原告甲○○之損害，包含醫療費用167,384元、看護費用75,000元、工作損失245,935元、車輛損害63,175元、財物損失17,740元及慰撫金350,000元，總計919,234元；應賠償原告乙○○之損害為慰撫金50,000元。</t>
        </is>
      </c>
      <c r="F13" s="9" t="n"/>
    </row>
    <row r="14" ht="30" customHeight="1">
      <c r="A14" s="41" t="n"/>
      <c r="B14" s="23" t="n">
        <v>13</v>
      </c>
      <c r="C14" s="25" t="inlineStr">
        <is>
          <t>一、事故發生緣由:
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二、原告受傷情形:
原告陳慶華因此受有左肩及右小腿挫傷之傷害，原告朱庭慧則受有頭部外傷合併右眼瞼撕裂傷、牙齦挫傷等傷害。
三、請求賠償的事實根據:
（一）原告陳慶華部分：
1. 醫療費用1,036元：
原告陳慶華因本次車禍所受傷害，前往淡水馬偕醫院治療，支出醫療費用1,036 元，並有醫療費用單據為證。
2. 車損修理費用413,300元：
系爭自小客車因本次車禍嚴重受損，需支出修復費用預估為413,300元，並有鑫都材料行所出具之修復估價單為證。
3. 精神慰撫金30萬元：
原告陳慶華為大學畢業，於事故發生時為28歲，職業為甜點師，月收入約為3 萬8千元，而被告於本次車禍後拒絕承認肇事責任，亦不賠償原告損害，甚且誣指原告陳慶華肇事逃逸，更加深原告痛苦，爰請求被告給付精神慰撫金30萬元。
（二）原告朱庭慧部分：
1. 醫療費用4,862元：
原告朱庭慧因本次車禍所受傷害，前往淡水馬偕醫院急診及後續門診治療，合計支出醫療費用4,862 元。
2. 薪資損失3,225元：
原告朱庭慧因本次車禍受傷，向任職公司請假，而遭扣薪共3,225元。
3. 精神慰撫金30萬元：
原告為大學畢業，於事故發生時為27歲，職業為未婚聯誼顧問，月收入約為5 至6 萬元原告朱庭慧因本次車禍受傷，於臉上留下疤痕，身心恐懼，經常失眠，且因此自信受創，業績下降，被告事後拒絕承認肇事責任，亦不賠償原告損害，經檢察官起訴後仍毫無悔意，更加深原告痛苦，爰請求被告給付精神慰撫金30萬元。</t>
        </is>
      </c>
      <c r="D14" s="16" t="inlineStr">
        <is>
          <t>一、緣被告於民國106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（一）原告陳慶華之損害：
1. 醫療費用：1,036元
原告陳慶華因本次車禍受傷就醫，支出醫療費用1,036元。
2. 薪資損失：3,225元
原告陳慶華因本次車禍無法工作，損失薪資3,225元。
（二）原告朱庭慧之損害：
1. 醫療費用：4,862元
原告朱庭慧因本次車禍受傷就醫，支出醫療費用4,862元。
2. 車損修理費用：413,300元
系爭自小客車因本次車禍嚴重受損。
3. 精神慰撫金：300,000元
原告朱庭慧因本次車禍，故請求精神慰撫金300,000元。
4. 精神慰撫金：300,000元
原告陳慶華因本次車禍，故請求精神慰撫金300,000元。
（三）綜上所陳，被告應賠償原告之損害，就原告陳慶華部分，包含醫療費用1,036元、薪資損失3,225元、精神慰撫金300,000元；就原告朱庭慧部分，包含醫療費用4,862元、車損修理費用413,300元、精神慰撫金300,000元，總計1,022,423元，並自起訴狀副本送達翌日起至清償日止，按年息5%計算之利息。</t>
        </is>
      </c>
      <c r="E14" s="18" t="inlineStr">
        <is>
          <t>一、事實概述：
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陳慶華及原告朱庭慧人車倒地受傷。被告前揭過失傷害行為，經鈞院刑事庭以107年度交易字第100號判決判處拘役55日，嗣經臺灣高等法院以107年度交上易字第483號判決駁回上訴而確定，足證被告具有過失。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（一）原告陳慶華之損害：
1. 醫療費用：1,036元
原告陳慶華因本次事故受傷就醫，支出醫療費用1,036元。
2. 車損修理費用：413,300元
原告陳慶華因本次事故車輛受損，支出修復費用413,300元。
3. 精神慰撫金：300,000元
原告陳慶華因被告拒絕承認肇事責任並誣指其肇事逃逸，承受精神痛苦，請求精神慰撫金300,000元。
（二）原告朱庭慧之損害：
1. 醫療費用：4,862元
原告朱庭慧因本次事故受傷就醫，支出醫療費用4,862元。
2. 薪資損失：3,225元
原告朱庭慧因本次事故請假，遭受薪資扣減3,225元。
3. 精神慰撫金：300,000元
原告朱庭慧因臉部留疤、自信受創且被告拒絕賠償，承受精神痛苦，請求精神慰撫金300,000元。
四、結論：綜上所陳，被告應賠償原告陳慶華之損害，包含醫療費用1,036元、車損修理費用413,300元、精神慰撫金300,000元；原告朱庭慧之損害包含醫療費用4,862元、薪資損失3,225元、精神慰撫金300,000元，總計1,027,285元，並自起訴狀副本送達翌日起至清償日止，按年息5%計算之利息。</t>
        </is>
      </c>
      <c r="F14" s="9" t="n"/>
    </row>
    <row r="15" ht="30" customHeight="1">
      <c r="A15" s="41" t="n"/>
      <c r="B15" s="23" t="n">
        <v>14</v>
      </c>
      <c r="C15" s="25" t="inlineStr">
        <is>
          <t>一、事故發生緣由:
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下稱系爭機車，李承祐當時係騎系爭機車搭載賴秀雲，沿黎明路由東往西方向行駛）擦撞之車禍事故（下稱系爭車禍事故）。
二、原告受傷情形:
因本件事故導致賴秀雲受有右肘、右足、右側胸壁挫傷、右足撕裂傷等傷害；李承祐受有腰椎椎間盤突出之傷害。
三、請求賠償的事實根據:
原告賴秀雲主張因系爭車禍事故受有上開傷害，而前往臺中榮民總醫院（下稱臺中榮總）就醫花費9,160元，於高堂中醫診所花費4萬4628元，花費蕭永明骨科診所診療費1萬5350元、新奇美診所診療費4,100元。
並且因系爭車禍事故受傷，支出紗布及藥水衍生損失4,050元，並有發票及收據為證。
其因系爭車禍事故受傷，受有不能工作之損失總計10週，金額合計6萬2970元，並有臺中榮總診斷證明書、員工薪資單為證。
並因系爭車禍事故而導致系爭機車損壞，維修之零件金額為1萬8200元，工資金額為1萬800元，零件經計算折舊後，加計工資之維修費用結果為1萬2620元，，有系爭機車維修估價單為證。
而賴秀雲之眼鏡架因系爭車禍事故損壞，損失4,250元。
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萬1225元。
賴秀雲更因系爭車禍事故受傷後，受有勞動力減損2萬3622元。
末查賴秀雲為國小畢業，目前已退休，無收入，系爭車禍事故發生前月薪約2萬6000元，無存款、無汽車及不動產，因系爭車禍事故受有右肘、右足、右側胸壁挫傷、右足撕裂傷等傷害，造成精神痛苦，爰請求精神慰撫金30萬元。
原告李承祐主張因系爭車禍事故受有上開傷害，前往臺中榮總就診花費醫藥費用9,290元、高堂聯合中醫診所醫藥費用1萬2000元以及蕭永明骨科診所醫藥費用2萬3150元。
另外李承祐因傷復健需要購買護腰莢1,242元。
而李承祐因上開傷害而不良於行，需支出就醫之交通費用1萬9755元。
李承祐並主張系爭車禍事故經其送交臺中市車輛行車事故鑑定委員會、臺中市車輛行車事故鑑定覆議委員會進行鑑定、覆議，支出鑑價費用5,000元，請求被告應給付一半即2,500元，並有鑑價費之統一發票為證。
李承祐另外主張因受有上開傷害而無法上班，受有薪資損失57萬6000元。
李承祐因系爭車禍事故經鑑定勞動能力減損12%，其係00年00月00日生，迄至110年12月13日發生車禍時，為45歲，經扣除李承祐前所主張不能工作損失之期間後，至自112年2月起算至李承祐65歲強制退休之年齡止，原告可工作之期間應為18年9月又21日；又李承祐於系爭車禍事故時並無工作，是以最低基本工資作為計算之標準，而依照行政院勞動部公布之110年最低基本工資為每月2萬4000元，則李承祐每月之勞動能力減損之金額應為2,880元，依霍夫曼式計算法扣除中間利息（首期給付不扣除中間利息）核計其金額為新臺幣45萬8897元。
查李承祐為高職肄業，目前為自由職業，無固定收入，無存款、有汽機車各1部，無不動產，因系爭車禍事故受有腰椎椎間盤突出之傷害，受有精神上痛苦，爰請求精神慰撫金30萬元。</t>
        </is>
      </c>
      <c r="D15" s="16" t="inlineStr">
        <is>
          <t>一、緣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下稱系爭機車，李承祐當時係騎系爭機車搭載賴秀雲，沿黎明路由東往西方向行駛）擦撞之車禍事故（下稱系爭車禍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（一）原告賴文傑之損害：
1. 醫療費用：99,276元
原告賴文傑因本次事故受傷就醫，支出醫療費用99,276元。
2. 慰撫金：300,000元
原告賴文傑因本次車禍，故請求精神慰撫金300,000元。
（二）原告陳姿吟之損害：
1. 醫療費用：89,394元
原告陳姿吟因本次事故受傷就醫，支出醫療費用89,394元。
2. 慰撫金：300,000元
原告陳姿吟因本次車禍，故請求精神慰撫金300,000元。
3. 勞動能力減損：200,000元
原告陳姿吟因本次車禍造成勞動能力減損，請求減損賠償200,000元。
（三）綜上所陳，被告應賠償原告之損害，就原告賴秀雲部分，包含醫療費用99,276元、精神慰撫金300,000元；就原告李承祐部分，包含醫療費用89,394元、精神慰撫金300,000元、勞動能力減損200,000元，總計988,670元，並自起訴狀副本送達翌日起至清償日止，按年息5%計算之利息。</t>
        </is>
      </c>
      <c r="E15" s="18" t="inlineStr">
        <is>
          <t>一、緣被告於110年12月13日10時1分許，駕駛車號00-0000號自用小客車，沿臺中市西屯區港隆街由凱旋路往黎明路方向行駛至黎明路岔路口時，因疏於注意減速讓幹道車優先通行，即貿然行駛，致與原告李承祐所騎車號000-0000普通重型機車發生擦撞，致原告賴秀雲受有右肘、右足、右側胸壁挫傷、右足撕裂傷等傷害，原告李承祐受有腰椎椎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（一）原告賴秀雲之損害：
1. 醫療費用：59,038元
原告賴秀雲因本次事故受傷，前往臺中榮民總醫院就醫花費9,160元，高堂中醫診所花費44,628元，蕭永明骨科診所診療費1,535元，新奇美診所診療費4,100元。
2. 醫療用品費用：4,050元
原告賴秀雲因本次事故受傷，支出紗布及藥水費用4,050元。
3. 不能工作損失：62,970元
原告賴秀雲因本次事故受傷，不能工作10週，受有薪資損失62,970元。
4. 車輛修復費用：12,620元
原告賴秀雲所騎乘之機車因本次事故受損，維修零件費用18,200元，工資金額10,800元，零件經計算折舊後，加計工資之維修費用為12,620元。
5. 眼鏡架損失：4,250元
原告賴秀雲之眼鏡架因本次事故損壞，損失4,250元。
6. 交通費用：21,225元
原告賴秀雲因本次事故受傷就醫需搭乘計程車，支出交通費用21,225元。
7. 勞動力減損：23,622元
原告賴秀雲因本次事故受傷，受有勞動力減損23,622元。
8. 慰撫金：300,000元
原告賴秀雲年滿71歲，因本次事故受有右肘、右足、右側胸壁挫傷、右足撕裂傷等傷害，造成身體及精神上之痛苦，爰請求慰撫金300,000元。
（二）原告李承祐之損害：
1. 醫療費用：32,440元
原告李承祐因本次事故受傷，前往臺中榮民總醫院就診花費9,290元，高堂聯合中醫診所醫藥費用12,000元，蕭永明骨科診所醫藥費用23,150元。
2. 醫療用品費用：1,242元
原告李承祐因本次事故受傷，需購買護腰莢1,242元。
3. 交通費用：19,755元
原告李承祐因傷復健需就醫，支出交通費用19,755元。
4. 鑑價費用：2,500元
原告李承祐因本次事故支出鑑價費用5,000元，請求被告給付一半即2,500元。
5. 薪資損失：576,000元
原告李承祐因本次事故受傷無法上班，受有薪資損失576,000元。
6. 勞動能力減損：458,897元
原告李承祐經鑑定勞動能力減損12%，自110年12月13日起算至65歲退休時止，勞動能力減損458,897元。
7. 慰撫金：300,000元
原告李承祐因本次事故受有腰椎椎間盤突出之傷害，造成身體及精神上之痛苦，爰請求慰撫金300,000元。
（三）綜上所陳，被告應賠償原告賴秀雲之損害，包含醫療費用59,038元、醫療用品費用4,050元、不能工作損失62,970元、車輛修復費用12,620元、眼鏡架損失4,250元、交通費用21,225元、勞動力減損23,622元及慰撫金300,000元，總計488,775元；應賠償原告李承祐之損害，包含醫療費用32,440元、醫療用品費用1,242元、交通費用19,755元、鑑價費用2,500元、薪資損失576,000元、勞動能力減損458,897元及慰撫金300,000元，總計1,390,834元。兩原告請求賠償總計1,879,609元。</t>
        </is>
      </c>
      <c r="F15" s="9" t="n"/>
    </row>
    <row r="16" ht="30" customHeight="1" thickBot="1">
      <c r="A16" s="42" t="n"/>
      <c r="B16" s="23" t="n">
        <v>15</v>
      </c>
      <c r="C16" s="25" t="inlineStr">
        <is>
          <t>一、事故發生緣由:
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訴外人王惠滿，另一原告王惠華，沿同向行駛於上揭被告所駕駛車輛前方，嗣被告所駕上揭車輛竟自後追撞系爭車輛(下稱系爭事故)。
二、原告受傷情形:
系爭事故導致原告陳皆宏因而受有頭痛之傷害；原告王惠滿受有腦震盪之傷害。
三、請求賠償的事實根據:
原告陳皆宏為治療系爭事故所生之傷勢，前往廣福診所醫院治療，合計醫療費用支出466元。系爭事故後，因系爭車輛經拖吊，當日即有返家之交通費用1,855元支出。原告陳皆宏於治療系爭傷勢期間支出交通費用700元。系爭車輛於修復期間，故而無法使用，故而上下班、快出會議拜訪客戶、接送小孩、數次前往調解、法院之交通費用12,820元。末原告陳皆宏因系爭車輛無法使用，故而有以租賃代步，期間一個月之費用為34,000元。系爭車輛因系爭事故致交易價格減損，經原告向第三方鑑定單位鑑定後，系爭車輛事故發生前價值約950,000元，修復後之價值為840,000元，顯見其市場交易之價值貶損為100,000元。原告陳皆宏因本件系爭事故，前後前往調解至須請假而有工作損失3,000元，嗣因此遭公司非自願離職，為此請求損失5,000元；上合計8,000元。系爭車輛受損後，原告被迫接受無法用車之不便、需另外於住家與公司重新設定、已規劃之行程取消，及額外支出心力安撫親戚家人，故請求精神慰撫金10,000元。而原告王惠滿則為治療系爭事故所生之傷勢，前後前往臺北市立聯合醫院(下稱聯合醫院)、全心中醫診所回診、追蹤等治療，為此之支出醫療費用13,532元。並因受有系爭傷勢，致有後續門診回診之必要，並因此多次前往醫院就診復健，合計迄今原告支出之交通費用為23,525元。又因為系爭腦震盪傷勢致受有相當精神上之痛苦，故請求精神慰撫金72,000元。</t>
        </is>
      </c>
      <c r="D16" s="16" t="inlineStr">
        <is>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訴外人王惠滿，另一原告王惠華，沿同向行駛於上揭被告所駕駛車輛前方，嗣被告所駕上揭車輛竟自後追撞系爭車輛(下稱系爭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（一）原告陳皆宏之損害：
1. 醫療費用：466元
原告陳皆宏為治療系爭事故所生之傷勢，前往廣福診所醫院治療，合計醫療費用支出466元
2. 交通費用（就醫）：700元
原告陳皆宏於治療系爭傷勢期間支出交通費用700元。
3. 交通費用（車輛修復期間）：12,820元
系爭車輛於修復期間，故而無法使用，故而上下班、快出會議拜訪客戶、接送小孩、數次前往調解、法院之交通費用12,820元。
4. 代步租賃費用：34,000元
系爭車輛無法使用，故而以租賃代步，期間一個月之費用為34,000元。
5. 車輛價值減損：100,000元
系爭車輛因系爭事故致交易價格減損，經原告向第三方鑑定單位鑑定後，系爭車輛事故發生前價值約950,000元，修復後之價值為840,000元，顯見其市場交易之價值貶損為100,000元。
6. 工作損失：8,000元
原告陳皆宏因本次事故受傷無法工作，受有工作損失8,000元。
7. 精神慰撫金：10,000元
系爭車輛受損後，原告被迫接受無法用車之不便、需另外於住家與公司重新設定、已規劃之行程取消，及額外支出心力安撫親戚家人，故請求精神慰撫金10,000元。
（二）原告乙之損害：
1. 醫療費用：30,000元
原告乙因本次事故受傷就醫，支出醫療費用30,000元。
（三）原告陳皆宏之損害：
（四）綜上所陳，被告應賠償原告之損害，就原告陳皆宏部分，包含醫療費用466元、交通費用（就醫）700元、交通費用（車輛修復期間）12,820元、代步租賃費用34,000元、車輛價值減損100,000元、工作損失8,000元、精神慰撫金10,000元；就原告王惠華部分，包含醫療費用30,000元；就原告王惠滿部分，包含無；總計195,986元，並自起訴狀副本送達翌日起至清償日止，按年息5%計算之利息。</t>
        </is>
      </c>
      <c r="E16" s="18" t="inlineStr">
        <is>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車上搭載乘客訴外人王惠滿，另一原告王惠華，沿同向行駛於上揭被告所駕駛車輛前方，嗣被告所駕上揭車輛竟自後追撞系爭車輛，致原告陳皆宏受有頭痛之傷害，原告王惠滿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（一）原告陳皆宏之損害：
1. 醫療費用：466元
原告陳皆宏因本次事故受有頭痛之傷害，前往廣福診所醫院治療，支出醫療費用466元。
2. 交通費用：1,855元
原告陳皆宏因系爭車輛經拖吊，當日即有返家之交通費用1,855元支出。
3. 治療期間交通費用：700元
原告陳皆宏於治療系爭傷勢期間支出交通費用700元。
4. 代步交通費用：12,820元
原告陳皆宏因系爭車輛於修復期間無法使用，需多次前往處理上下班、會議、接送小孩等事宜，支出交通費用12,820元。
5. 租賃代步費用：34,000元
原告陳皆宏因系爭車輛無法使用，需以租賃車輛代步，期間一個月之費用為34,000元。
6. 車輛貶值損失：100,000元
系爭車輛因本次事故致交易價格減損，經鑑定後，事故發生前價值約950,000元，修復後之價值為840,000元，貶損100,000元。
7. 工作損失：8,000元
原告陳皆宏因本次事故需請假參與調解，受有工作損失3,000元，且因此遭公司非自願離職，受有損失5,000元，共計8,000元。
8. 慰撫金：10,000元
原告陳皆宏因本次事故受有頭痛之傷害，且因車輛受損造成生活不便，需另行安排行程，並承受額外精神壓力，爰請求慰撫金10,000元。
（二）原告王惠滿之損害：
1. 醫療費用：13,532元
原告王惠滿因本次事故受有腦震盪之傷害，前後前往臺北市立聯合醫院、全心中醫診所回診治療，支出醫療費用13,532元。
2. 交通費用：23,525元
原告王惠滿因本次事故需多次前往醫院就診復健，支出交通費用23,525元。
3. 慰撫金：72,000元
原告王惠滿因本次事故受有腦震盪之傷害，致受有相當精神上之痛苦，爰請求慰撫金72,000元。
（三）綜上所陳，被告應賠償原告陳皆宏之損害，包含醫療費用466元、交通費用1,855元、治療期間交通費用700元、代步交通費用12,820元、租賃代步費用34,000元、車輛貶值損失100,000元、工作損失8,000元及慰撫金10,000元，總計168,841元；應賠償原告王惠滿之損害，包含醫療費用13,532元、交通費用23,525元及慰撫金72,000元，總計109,057元。兩原告請求賠償金額合計277,898元，並自起訴狀副本送達翌日起至清償日止，按年息5%計算之利息。</t>
        </is>
      </c>
      <c r="F16" s="9" t="n"/>
    </row>
    <row r="17" ht="30" customHeight="1">
      <c r="A17" s="43" t="inlineStr">
        <is>
          <t>數名被告</t>
        </is>
      </c>
      <c r="B17" s="23" t="n">
        <v>16</v>
      </c>
      <c r="C17" s="25" t="inlineStr">
        <is>
          <t>一、事故發生緣由：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二、原告受傷情形：
原告因本件車禍受有右手挫傷、右足踝挫傷、頭部外傷及右上下肢鈍挫傷之傷害。
三、請求賠償的事實根據：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is>
      </c>
      <c r="D17" s="16" t="inlineStr">
        <is>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
（一）綜上所陳，被告應連帶賠償原告之損害，包含醫療費用11,240元、不能工作損失360,000元、精神慰撫金200,000元，總計571,240元，並自起訴狀副本送達翌日起至清償日止，按年息5%計算之利息。</t>
        </is>
      </c>
      <c r="E17" s="18" t="inlineStr">
        <is>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沈柏佑、汪建廷因上開侵權行為，致原告受有下列損害，依前揭規定，被告應負連帶損害賠償責任：
（一）醫療費用：11,240元
原告因本次事故受有右手挫傷、右足踝挫傷、頭部外傷及右上下肢鈍挫傷之傷害，為治療上開傷勢而就醫，支出醫療費用11,240元。
（二）工作損失：360,000元
原告因本次事故受傷，致9個月無法工作，依原告每月薪資40,000元計算，共受有360,000元之工作損失。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
（四）綜上所陳，被告應連帶賠償原告之損害，包含醫療費用11,240元、工作損失360,000元及慰撫金200,000元，總計571,240元。</t>
        </is>
      </c>
      <c r="F17" s="9" t="n"/>
    </row>
    <row r="18" ht="30" customHeight="1">
      <c r="A18" s="38" t="n"/>
      <c r="B18" s="23" t="n">
        <v>17</v>
      </c>
      <c r="C18" s="25" t="inlineStr">
        <is>
          <t>一、事故發生緣由:
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二、原告受傷情形:
原告乙○○受有右側脛骨近端與腓骨上端之閉鎖性骨折、右側第二指骨封閉性骨折、左上門牙斷裂及右上門牙挫傷、脛骨踝骨折（右側）等傷害。
三、請求賠償的事實根據: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t>
        </is>
      </c>
      <c r="D18" s="16" t="inlineStr">
        <is>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
（一）綜上所陳，被告應連帶賠償原告之損害，包含醫療費用163,227元、增加生活必要費用1,570元、看護費用198,000元、車號000-000號機車修復費用19,250元、不能工作之損失150,000元、交通費用25,430元、精神慰撫金450,000元、減少勞動能力損失2,206,934元，總計5,214,445元，並自起訴狀副本送達翌日起至清償日止，按年息5%計算之利息。</t>
        </is>
      </c>
      <c r="E18" s="19" t="inlineStr">
        <is>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本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致原告乙○○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丙○○因上開侵權行為，致原告受有下列損害，依前揭規定，被告應負連帶損害賠償責任：
（一）醫療費用：163,227元
原告因本次事故受有右側脛骨近端與腓骨上端之閉鎖性骨折、右側第二指骨封閉性骨折、左上門牙斷裂及右上門牙挫傷、脛骨踝骨折（右側）等傷害，至臺中榮民總醫院、清泉醫院、中國醫藥大學附設醫院、柏青牙醫診所、鼎善十方中醫診所就診，並接受手術治療，支出醫療費用共計163,227元。
（二）增加生活必要費用：1,570元
原告因本次事故需使用助行器，購置助行器、四腳拐杖，支出費用1,570元。
（三）看護費用：198,000元
依臺中榮總診斷證明書處置意見，原告需專人看護3個月，依臺中市居家照顧之通常價格為1日2,200元，共計90天，總計198,000元。
（四）車輛修復費用：19,250元
原告騎乘之機車因本次事故受損，支出修復費用19,250元，車輛所有權人顧家豪已將損害賠償請求權讓與原告。
（五）工作損失：150,000元
原告因本次事故於休養期間6個月無法處理家務，需仰賴他人照顧，依原告留職停薪之薪資每月25,000元計算，共計150,000元。
（六）交通費用：25,430元
原告因本次事故右腳受傷，需搭乘計程車就醫，支出交通費用25,430元。
（七）減少勞動能力損失：2,206,934元
原告因本次事故雙腳一下肢縮短3公分以上，依勞工保險失能給付標準為第11級，勞動能力減損38.45%，依108年最低投保薪資23,100元計算，每月減少勞動損失8,881.95元，35年5個月之損失共計2,206,934元。
（八）慰撫金：450,000元
原告因本次事故受有門牙斷裂、右側脛骨近端腓骨之閉鎖性骨折施作鋼釘等傷害，且於術後需仰賴他人照護，身心受創甚鉅，爰請求慰撫金450,000元。
（九）綜上所陳，被告應連帶賠償原告之損害，包含醫療費用163,227元、增加生活必要費用1,570元、看護費用198,000元、車輛修復費用19,250元、工作損失150,000元、交通費用25,430元、減少勞動能力損失2,206,934元及慰撫金450,000元，總計3,214,411元。</t>
        </is>
      </c>
      <c r="F18" s="9" t="n"/>
    </row>
    <row r="19" ht="30" customHeight="1">
      <c r="A19" s="38" t="n"/>
      <c r="B19" s="23" t="n">
        <v>18</v>
      </c>
      <c r="C19" s="25" t="inlineStr">
        <is>
          <t>一、事故發生緣由: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二、原告受傷情形:
原告因此次事故受有左側肱骨近端骨折、左側骨盆恥骨及髖臼骨折、右側腰椎第四及五橫突骨折、右側第三根至第八根肋骨骨折、腦震盪合併顱內出血、右側第四節及第五節腰椎橫突骨折等嚴重傷害。
三、請求賠償的事實根據:
原告於台北馬偕紀念醫院醫療費用，除強制責任險已給付部分外，尚支出2,370元；並且其受有上開傷勢後需持續復健，因此於群康復健診所進行復健所支出之費用共計5,200元；購買歷次診斷證書費用共計1,030元；原告於住院期間所支出之病房內必要物品及洗頭費用共計2,074元。
原告因就醫須往返台北馬偕醫院及復健診所進行復健所支出之車資費用，以每次往返單次金額計算75元，共計15,710元。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原告從事流動性泥作師之體力工作，每月薪資收入約為30,000元，因被告高珮瑄之侵權行為，致12個月無法工作，且恢復後左手臂亦有後遺症，若以每月收入30,000元計算，則不能工作之損失共計360,000元（30,000×12）。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is>
      </c>
      <c r="D19" s="16" t="inlineStr">
        <is>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（一）醫療費用：2,370元
原告於台北馬偕紀念醫院醫療費用支出2,370元
（二）交通費用：75元
原告因就醫須往返台北馬偕醫院及復健診所進行復健所支出之車資費用，以每次往返單次金額計算75元，共計15,710元
（三）看護費用：360,000元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（四）工作損失：360,000元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（五）精神損害：300,000元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
（六）綜上所陳，被告應連帶賠償原告之損害，包含醫療費用2,370元、交通費用75元、看護費用360,000元、工作損失360,000元、精神損害300,000元，總計1,022,445元，並自起訴狀副本送達翌日起至清償日止，按年息5%計算之利息。</t>
        </is>
      </c>
      <c r="E19" s="19" t="inlineStr">
        <is>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重傷。又被告洪琮閔為上開車號000-0000號自用小客車之車主，其明知被告高珮瑄並未領有駕照，竟仍出借車輛予被告高珮瑄。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高珮瑄、洪琮閔因上開侵權行為，致原告受有下列損害，依前揭規定，被告應負連帶損害賠償責任：
（一）醫療費用：8,674元
1. 台北馬偕紀念醫院醫療費用：2,370元
2. 群康復健診所復健費用：5,200元
3. 診斷證明書費用：1,030元
（二）住院期間必要費用：2,074元
原告於住院期間所支出之病房內必要物品及洗頭費用共計2,074元。
（三）交通費用：15,710元
原告因就醫須往返台北馬偕醫院及復健診所進行復健，以每次往返單次金額計算75元，共計15,710元。
（四）看護費用：360,000元
原告因傷勢嚴重，住院14日，且必須修養6個月，期間生活無法自理，由原告之配偶以每日2,200元計算，共計360,000元（計算式：2,200×180－36,000）。
（五）工作損失：360,000元
原告從事流動性泥作師之體力工作，每月薪資收入約為30,000元，因本次事故致12個月無法工作，共計360,000元（30,000×12）。
（六）慰撫金：300,000元
原告因本次事故受有多處重傷，且事故發生原因係被告高珮瑄駕駛車輛於紅燈時未遵守交通號誌而穿越路口，致其對往來車輛心生恐懼，且長期因病臥床難以入眠，需服用止痛藥，洗澡及大小便均需他人扶助，在家及外出均無法久站，需乘坐輪椅，且必須長期復健，無法恢復正常生活，精神上承受嚴重折磨。
（七）綜上所陳，被告應連帶賠償原告之損害，包含醫療費用8,674元、住院期間必要費用2,074元、交通費用15,710元、看護費用360,000元、工作損失360,000元及慰撫金300,000元，總計1,046,458元。</t>
        </is>
      </c>
      <c r="F19" s="9" t="n"/>
    </row>
    <row r="20" ht="30" customHeight="1">
      <c r="A20" s="38" t="n"/>
      <c r="B20" s="23" t="n">
        <v>19</v>
      </c>
      <c r="C20" s="25" t="inlineStr">
        <is>
          <t>一、事故發生緣由:
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
另按「汽車所有人允許未領有駕駛執照之違規駕駛人駕駛其汽車者，除依第1項規定處以罰鍰外，並記該汽車違規紀錄1次。」道路交通管理處罰條例第21條第5項定有明文。蓋未領有合格駕照之人，因其駕駛行為不具適格性，倘容許其等任意駕駛機動車輛行駛道路，不啻增加用路人之危險，故上開法律規定，應係保護他人之法律，違反時，應推定其有過失。查被告劉慧綾為車牌號碼000-000號普通重型機車之車主，將其車輛提供無駕照之被告余泳霖酒後駕駛，致發生本件交通事故，依民法第184條第2項、第185條第2項，被告劉慧綾就其違反保護他人法律之幫助行為，因結合被告余泳霖之過失侵權行為，被告劉慧綾應與被告余泳霖負連帶損害賠償責任。
二、原告受傷情形:
原告因本件車禍事故而受有右側手部挫傷、左側手部挫傷、左側手肘挫傷、左側大腿瘀青及挫傷、左側骨盆挫傷、左髖部挫傷、右側小腿挫傷、輕微腦震盪等傷害。
三、請求賠償的事實根據:
原告因受傷害而至南門綜合醫院診斷證明書、國立臺灣大學醫學院附設醫院新竹臺大分院新竹醫院、傅內兒科診所、南門醫院就醫，共計支付醫療費56,000元。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查原告為高中肄業，從事服務業，稱經濟狀況不好，另原告109年度所得總額12,284元，名下無財產，而被告余泳霖、劉慧綾就本件車禍交通事故之發生確均有過失，且原告亦因之受有前揭之傷害，已如前述，衡諸原告所受之傷害，堪認精神上應受有痛苦，故請求被告賠償精神上之損害10萬元。</t>
        </is>
      </c>
      <c r="D20" s="16" t="inlineStr">
        <is>
          <t>一、緣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另按「汽車所有人允許未領有駕駛執照之違規駕駛人駕駛其汽車者，除依第1項規定處以罰鍰外，並記該汽車違規紀錄1次。」道路交通管理處罰條例第21條第5項定有明文。蓋未領有合格駕照之人，因其駕駛行為不具適格性，倘容許其等任意駕駛機動車輛行駛道路，不啻增加用路人之危險，故上開法律規定，應係保護他人之法律，違反時，應推定其有過失。查被告劉慧綾為車牌號碼000-000號普通重型機車之車主，將其車輛提供無駕照之被告余泳霖酒後駕駛，致發生本件交通事故，依民法第184條第2項、第185條第2項，被告劉慧綾就其違反保護他人法律之幫助行為，因結合被告余泳霖之過失侵權行為，被告劉慧綾應與被告余泳霖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（一）醫療費用：56,000元
原告因受傷害而至南門綜合醫院診斷證明書、國立臺灣大學醫學院附設醫院新竹臺大分院新竹醫院、傅內兒科診所、南門醫院就醫，共計支付醫療費56,000元
（二）工作損失：84,000元
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
（三）精神損害賠償：100,000元
原告因本次事故受有精神損害賠償100,000元。
（四）綜上所陳，被告應連帶賠償原告之損害，包含醫療費用56,000元、工作損失84,000元、精神損害賠償100,000元，總計240,000元，並自起訴狀副本送達翌日起至清償日止，按年息5%計算之利息。</t>
        </is>
      </c>
      <c r="E20" s="18" t="inlineStr">
        <is>
          <t>一、緣被告余泳霖於民國110年4月24日晚間22時許，在新竹市○區○○路000號飲用啤酒後，仍處於不能安全駕駛動力交通工具之狀態，竟於翌日（25日）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余泳霖、劉慧綾因上開侵權行為，致原告受有下列損害，依前揭規定，被告應負連帶損害賠償責任：
（一）醫療費用：56,000元
原告因本次事故受有右側手部挫傷、左側手部挫傷、左側手肘挫傷、左側大腿瘀青及挫傷、左側骨盆挫傷、左髖部挫傷、右側小腿挫傷、輕微腦震盪等傷害，至南門綜合醫院、國立臺灣大學醫學院附設醫院新竹臺大分院新竹醫院、傅內兒科診所、南門醫院就醫，支出醫療費用56,000元。
（二）薪資損失：84,000元
原告原任職清潔工作，因受傷無法工作3個月，每日薪資1,200元，每月薪資28,000元，計損失薪資收入總共84,000元。
（三）營養補充費：2,424元
原告因受傷需支付營養補充費2,424元。
（四）復健費：18,000元
原告因受傷復健3週，支出復健費18,000元。
（五）車輛修復費用：7,500元
原告機車因本次事故受損，修復費用折舊後為7,500元。
（六）慰撫金：100,000元
原告因本次事故受有前述傷害，且被告余泳霖、劉慧綾就本件車禍交通事故之發生確均有過失，衡諸原告所受之傷害，堪認精神上應受有痛苦，爰請求慰撫金100,000元。
（七）綜上所陳，被告應連帶賠償原告之損害，包含醫療費用56,000元、薪資損失84,000元、營養補充費2,424元、復健費18,000元、車輛修復費用7,500元及慰撫金100,000元，總計267,924元。</t>
        </is>
      </c>
      <c r="F20" s="9" t="n"/>
    </row>
    <row r="21" ht="30" customHeight="1">
      <c r="A21" s="38" t="n"/>
      <c r="B21" s="23" t="n">
        <v>20</v>
      </c>
      <c r="C21" s="25" t="inlineStr">
        <is>
          <t>一、事故發生緣由:
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二、原告受傷情形:
原告因本件事故而受有左肩部及左腕挫傷、左手、雙手肘、雙膝、左踝、背部挫擦傷、左腕三角纖維骨破裂等傷害。
三、請求賠償的事實根據:
（一）醫療及醫療用品費用
原告因被告過失行為所致上開傷勢，在國軍醫院及龍合骨科診所治療，另購買外傷敷藥，支出醫療費用62,364元、醫療用品費用4,119元，有國軍醫院診斷證明書3紙暨醫療費用明細收據、龍合骨科診所診斷證明書暨門診醫療費用收據、客戶簽章單據、統一發票收據可證。
（二）就醫交通費用
查原告因所受傷勢已搭乘計程車前往國軍醫院及龍合骨科診所追蹤治療共24次，單趟車資120元，將來仍有繼續追蹤復健之需，請求被告給付交通費用93,780元。
（三）看護費用
原告並主張因所受左腕三角纖維軟骨破裂之傷害，於111年2月24日至同年月26日在國軍醫院住院接受內視鏡修補手術，需專人看護3日，此3日期間由親友看護，每日看護費以2,200元計算，共損失看護費6,600元。
（四）不能工作之薪資損失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（五）勞動能力減損
原告因其中左手腕纖維軟骨撕裂、左手腕滑膜炎等傷勢而經長庚醫療財團法人林口長庚紀念醫院（下稱林口長庚醫院）鑑定，認原告減少勞動能力程度為百分之7，有林口長庚醫院113年3月8日勞動力減損比例計算表可證，則被告應賠償自事故日110年11月29日至原告65歲即140年6月4日，共29年又6月期間之勞動力減損損害金378,159元。
（六）本件機車維修費用
查本件機車修理費用為30,100元（均為零件），有免用發票收據為證。
（七）精神慰撫金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t>
        </is>
      </c>
      <c r="D21" s="16" t="inlineStr">
        <is>
          <t>一、緣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（一）醫療及醫療用品費用：66,483元
原告因本次事故受有醫療及醫療用品費用66,483元。
（二）就醫交通費用：2,880元
查原告因所受傷勢已搭乘計程車前往國軍醫院及龍合骨科診所追蹤治療共24次，單趟車資120元，將來仍有繼續追蹤復健之需，請求被告給付交通費用2,880元 (120元/趟 × 24趟)。
（三）看護費用：6,600元
原告並主張因所受左腕三角纖維軟骨破裂之傷害，於111年2月24日至同年月26日在國軍醫院住院接受內視鏡修補手術，需專人看護3日，此3日期間由親友看護，每日看護費以2,200元計算，共損失看護費6,600元 (2,200元/日 × 3日)。
（四）不能工作之薪資損失：176,750元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(25,250元/月 × 7個月)。
（五）勞動能力減損：378,159元
原告因本次事故受有勞動能力減損378,159元。
（六）本件機車維修費用：30,100元
查本件機車修理費用為30,100元（均為零件）。
（七）精神慰撫金：40,000元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
（八）綜上所陳，被告應連帶賠償原告之損害，包含醫療及醫療用品費用66,483元、就醫交通費用2,880元、看護費用6,600元、不能工作之薪資損失176,750元、勞動能力減損378,159元、本件機車維修費用30,100元、精神慰撫金40,000元，總計700,972元，並自起訴狀副本送達翌日起至清償日止，按年息5%計算之利息。</t>
        </is>
      </c>
      <c r="E21" s="19" t="inlineStr">
        <is>
          <t>一、緣被告丙○○於110年11月29日7時52分前之某時許，將其所有車牌號碼000-0000號自用小客車（下稱A車）駛至桃園市平鎮區中豐路山頂段415巷與中豐路山頂段之交岔路口（下稱本案交岔路口）未達10公尺處，影響行車視線。嗣被告甲○○於同日上午7時52分許，駕駛車牌號碼000-0000號（下稱B車），沿中豐路山頂段415巷由中豐路山頂段415巷47弄往中豐路山頂段方向行駛，行經本案交岔路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竟疏未注意及此，即貿然右轉而未讓幹線道車先行，致原告騎乘車牌號碼000-0000號重型機車（下稱本件機車），沿中豐路山頂段由龍潭往中壢方向行駛外側車道時，因受被告丙○○停放之A車影響視線範圍之際，緊急煞車，旋即人、車倒地並往前滑行與B車左側車身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
（一）醫療及醫療用品費用：66,483元
原告因本次事故受有左肩部及左腕挫傷、左手、雙手肘、雙膝、左踝、背部挫擦傷、左腕三角纖維骨破裂等傷害，在國軍醫院及龍合骨科診所治療，另購買外傷敷藥，支出醫療費用62,364元、醫療用品費用4,119元。
（二）就醫交通費用：93,780元
原告因所受傷勢需搭乘計程車前往國軍醫院及龍合骨科診所追蹤治療共24次，單趟車資120元，支出交通費用93,780元。
（三）看護費用：6,600元
原告於111年2月24日至同年月26日在國軍醫院住院接受內視鏡修補手術，需專人看護3日，此3日期間由親友看護，每日看護費以2,200元計算，共損失看護費6,600元。
（四）不能工作之薪資損失：176,750元
原告因本次事故自110年12月至111年6月底共休養7個月，依原告事故前為餐飲業負責人，每月薪資以110年度基本工資25,250元計算，共受有不能工作損失176,750元。
（五）勞動能力減損：378,159元
原告因左手腕纖維軟骨撕裂、左手腕滑膜炎等傷勢經林口長庚醫院鑑定，認原告減少勞動能力程度為百分之7，依原告出生年月日計算，自事故日110年11月29日至原告65歲即140年6月4日，共29年又6月期間之勞動力減損損害金為378,159元。
（六）機車修理費用：30,100元
本件機車因本次事故受損，修理費用為30,100元（均為零件）。
（七）慰撫金：40,000元
原告因本次事故受有左肩部及左腕挫傷、左手、雙手肘、雙膝、左踝、背部挫擦傷之傷害，並因左手腕纖維軟骨撕裂、左手腕滑膜炎等症，造成勞動能力減少百分之7，另接受內視鏡修補手術住院3日，受有身體及精神痛苦，爰請求慰撫金40,000元。
（八）綜上所陳，被告應連帶賠償原告之損害，包含醫療及醫療用品費用66,483元、就醫交通費用93,780元、看護費用6,600元、不能工作之薪資損失176,750元、勞動能力減損378,159元、機車修理費用30,100元及慰撫金40,000元，總計791,872元。</t>
        </is>
      </c>
      <c r="F21" s="9" t="n"/>
    </row>
    <row r="22" ht="30" customHeight="1">
      <c r="A22" s="38" t="n"/>
      <c r="B22" s="23" t="n">
        <v>21</v>
      </c>
      <c r="C22" s="25" t="inlineStr">
        <is>
          <t>一、事故發生緣由:
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二、原告受傷情形:
原告因本件事故而受有薦椎骨骨折、右肩及尾椎挫傷、右側手腕及右大腿擦傷之傷害，復因薦椎骨骨折疼痛不堪，不能坐臥，無法成眠，因而短期內引發重度躁症，經醫師診斷為「雙相情緒障礙症，目前有精神病特徵的躁症，無精神病症狀的躁症發作，非特定發作，重度」。
三、請求賠償的事實根據:
原告主張其因本件車禍事故所受身體傷勢，就醫治療期間，支出骨科醫療費用2,210元，並有奇美醫療財團法人奇美醫院（下稱奇美醫院）醫療費用收據為證。
查原告所有之B車因本件車禍事故受損，修復費用為1萬3,183元，並有報價單為證。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萬5,250元，因而依原告所受上開傷勢及治療情形，原告需在家休養不能工作之期間為1個月。基此計算，原告因本件車禍事故受傷，致不能工作而受有之薪資損失金額，應為2萬5,250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萬元。</t>
        </is>
      </c>
      <c r="D22" s="16" t="inlineStr">
        <is>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（一）醫療費用：2,210元
原告主張其因本件車禍事故所受身體傷勢。
（二）財物損壞：13,183元
查原告所有之B車因本件車禍事故受損。
（三）工作損失：25,250元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25,250元，因而依原告所受上開傷勢及治療情形，原告需在家休養不能工作之期間為1個月。基此計算，原告因本件車禍事故受傷，致不能工作而受有之薪資損失金額，應為25,250元。
（四）精神慰撫金：100,000元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100,000元。
（五）綜上所陳，被告應連帶賠償原告之損害，包含醫療費用2,210元、財物損壞13,183元、工作損失25,250元、精神慰撫金100,000元，總計140,643元，並自起訴狀副本送達翌日起至清償日止，按年息5%計算之利息。</t>
        </is>
      </c>
      <c r="E22" s="19" t="inlineStr">
        <is>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（一）醫療費用：2,210元
原告因本次事故受有薦椎骨骨折、右肩及尾椎挫傷、右側手腕及右大腿擦傷之傷害，於奇美醫院就醫治療，支出醫療費用2,210元。
（二）車輛修復費用：13,183元
原告所有之B車因本次事故受損，修復費用為13,183元。
（三）工作損失：25,250元
原告於111年1月1日至111年12月31日期間，投保勞工保險、就業保險、勞工職業災害保險於臺南市成衣服飾整理加工業職業工會，投保薪資為基本薪資25,250元。因本次事故受傷需在家休養1個月，致不能工作而受有薪資損失25,250元。
（四）慰撫金：100,000元
原告因本次事故受有薦椎骨骨折、右肩及尾椎挫傷、右側手腕及右大腿擦傷等傷勢，經2次門診治療，於受傷治療及休養期間，對於其工作及生活均造成諸多不便，且因薦椎骨骨折疼痛不堪，不能坐臥，無法成眠，因而短期內引發重度躁症，經醫師診斷為「雙相情緒障礙症，目前有精神病特徵的躁症，無精神病症狀的躁症發作，非特定發作，重度」，精神上受有相當痛苦，爰請求慰撫金100,000元。
（五）綜上所陳，被告應連帶賠償原告之損害，包含醫療費用2,210元、車輛修復費用13,183元、工作損失25,250元及慰撫金100,000元，總計140,643元。</t>
        </is>
      </c>
      <c r="F22" s="9" t="n"/>
    </row>
    <row r="23" ht="30" customHeight="1" thickBot="1">
      <c r="A23" s="44" t="n"/>
      <c r="B23" s="23" t="n">
        <v>22</v>
      </c>
      <c r="C23" s="25" t="inlineStr">
        <is>
          <t>一、事故發生緣由:
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二、原告受傷情形:
原告因本件事故受有頭部挫傷、雙腳及雙手擦挫傷、暈眩症、打嗝以及疑腦震盪後症候群。
三、請求賠償的事實根據:
原告因上開傷害而在長庚醫院、鹿基醫院、一品堂鹿港中醫診所、豐安診所就醫，共支出醫療費1,950元，並有醫療費收據為證。又原告受雇於尚墩股份有限公司（下稱尚墩公司）擔任作業員，另從事外送工作，每月收入合計70,000元，受傷後請假37日不能工作，短少收入74,000元，並有員工請假記錄卡為證。原告所有之眼鏡因本次事故毀損後無法使用，原價37,900元。甲車於000年0月出廠，車禍後支出拖吊費5,000元，委由順發機車行送往該行修復，支出修復費用75,500元，包含零件42,060元、工資33,440元，零件部分折舊後為39,431元，並有拖吊救援簽認單、估價單為證。甲車修復期間為35日，原告無法使用收益，另以每日租金500元單價，向順發機車行承租他輛機車，支出租金17,500元，並有車行代步車借用合約書為證。原告大學畢業，職業及經濟概況如上所述，被告乙係因無照駕車過失不法侵害原告之身體、健康，並遭此車禍導致精神痛苦不堪，爰請求慰撫金300,000元。</t>
        </is>
      </c>
      <c r="D23" s="16" t="inlineStr">
        <is>
          <t>一、緣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（一）醫療費用：1,950元
原告因上開傷害而在長庚醫院、鹿基醫院、一品堂鹿港中醫診所、豐安診所就醫。
（二）工作損失：74,000元
原告又原告受雇於尚墩股份有限公司（下稱尚墩公司）擔任作業員，另從事外送工作，每月收入合計70,000元，受傷後請假37日不能工作，短少收入74,000元，並有員工請假記錄卡為證
（三）綜上所陳，被告應連帶賠償原告之損害，包含醫療費用1,950元、工作損失74,000元，總計75,950元，並自起訴狀副本送達翌日起至清償日止，按年息5%計算之利息。</t>
        </is>
      </c>
      <c r="E23" s="18" t="inlineStr">
        <is>
          <t>一、緣原告於111年3月19日晚上，騎乘原告所有車牌號碼000-0000號普通重型機車（下稱甲車），沿嘉義縣東石鄉臺17線公路由南往北方向行駛，通過該路與166線公路交岔路口。被告陳俊傑（下稱乙）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乙、丙因上開侵權行為，致原告受有下列損害，依前揭規定，被告應負損害賠償責任：
（一）醫療費用：1,950元
原告因本次事故受有頭部挫傷、雙腳及雙手擦挫傷、暈眩症、打嗝以及疑腦震盪後症候群，於長庚醫院、鹿基醫院、一品堂鹿港中醫診所、豐安診所就醫，支出醫療費用1,950元。
（二）工作損失：74,000元
原告受雇於尚墩股份有限公司擔任作業員，另從事外送工作，每月收入合計70,000元，因本次事故受傷請假37日不能工作，短少收入74,000元。
（三）財物損害：113,400元
1. 眼鏡毀損：37,900元
2. 機車拖吊費：5,000元
3. 機車修復費用：75,500元（零件42,060元、工資33,440元，零件部分折舊後為39,431元）
（四）租車費用：17,500元
原告因甲車修復期間35日無法使用收益，以每日租金500元單價，向順發機車行承租他輛機車，支出租金17,500元。
（五）慰撫金：300,000元
原告因本次事故受有頭部挫傷、雙腳及雙手擦挫傷、暈眩症、打嗝以及疑腦震盪後症候群等傷害，且遭受精神痛苦，爰請求慰撫金300,000元。
（六）綜上所陳，被告應賠償原告之損害，包含醫療費用1,950元、工作損失74,000元、財物損害113,400元、租車費用17,500元及慰撫金300,000元，總計506,850元。</t>
        </is>
      </c>
      <c r="F23" s="9" t="n"/>
    </row>
    <row r="24" ht="30" customHeight="1">
      <c r="A24" s="45" t="inlineStr">
        <is>
          <t>原被告皆數名</t>
        </is>
      </c>
      <c r="B24" s="23" t="n">
        <v>23</v>
      </c>
      <c r="C24" s="25" t="inlineStr">
        <is>
          <t>一、事故發生緣由: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二、原告受傷情形:
原告蕭曉峰及原告陳順華因本次連環追撞事故,均受有右側肩膀挫傷之傷害。此傷勢不僅造成身體上的疼痛,更影響其日常生活作息,需要就醫治療及復健,造成生活上的不便及精神上的痛苦。
三、請求賠償的事實根據: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is>
      </c>
      <c r="D24" s="16" t="inlineStr">
        <is>
          <t>一、緣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（一）原告蕭曉峰之損害：
1. 醫療費用：12,710元
原告蕭曉峰因本件事故支出醫療費用12,710元,並有醫療收據可證
2. 通勤費用：26,880元
因系爭B車受損期間需往返通勤，以上班24日計算，支出通勤費用26,880元。
3. 車輛鑑估費用：6,000元
為確認車輛損害程度，支出車輛鑑估費用6,000元，並有高雄市汽車商業同業公會收據可憑。
4. 車輛價值減損：100,000元
系爭B車雖為原告陳順華所有，但其已將車輛價值減損之損害賠償請求權讓與原告蕭曉峰，依高雄市汽車商業同業公會鑑定，系爭B車於事故前市價630,000元，修復後價值僅剩530,000元，故請求車輛價值減損100,000元。
5. 精神慰撫金：50,000元
考量事故造成之驚嚇及精神痛苦，請求精神慰撫金50,000元。
（二）原告陳順華之損害：
1. 醫療費用：9,560元
原告陳順華則因本件事故支出醫療費用9,560元,並有相關收據可證
2. 就醫交通費用：68,640元
因需往返就醫，支出交通費用68,640元。
3. 精神慰撫金：50,000元
考量事故造成之驚嚇及精神痛苦，請求精神慰撫金50,000元。
（三）綜上所陳，被告應連帶賠償原告之損害，就原告蕭曉峰部分，包含醫療費用12,710元、通勤費用26,880元、車輛鑑估費用6,000元、車輛價值減損100,000元、精神慰撫金50,000元；就原告陳順華部分，包含醫療費用9,560元、就醫交通費用68,640元、精神慰撫金50,000元，總計323,790元，並自起訴狀副本送達翌日起至清償日止，按年息5%計算之利息。</t>
        </is>
      </c>
      <c r="E24" s="18" t="inlineStr">
        <is>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交通費用：26,880元
原告蕭曉峰因系爭B車受損期間需往返通勤，上班24日計算，支出通勤費用26,880元。
3. 車輛鑑估費用：6,000元
原告蕭曉峰為確認車輛損害程度，支出車輛鑑估費用6,000元。
4. 車輛價值減損：100,000元
系爭B車雖為原告陳順華所有，但其已將車輛價值減損之損害賠償請求權讓與原告蕭曉峰。依高雄市汽車商業同業公會鑑定，系爭B車於事故前市價63萬元，修復後價值僅剩53萬元，故請求車輛價值減損10萬元。
5. 慰撫金：50,000元
原告蕭曉峰因本次事故受有驚嚇及精神痛苦，爰請求慰撫金50,000元。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原告陳順華因本次事故受有驚嚇及精神痛苦，爰請求慰撫金50,000元。
（三）綜上所陳，被告應連帶賠償原告蕭曉峰之損害，包含醫療費用12,710元、交通費用26,880元、車輛鑑估費用6,000元、車輛價值減損100,000元及慰撫金50,000元，總計195,590元；應連帶賠償原告陳順華之損害，包含醫療費用9,560元、交通費用68,640元及慰撫金50,000元，總計128,200元。</t>
        </is>
      </c>
      <c r="F24" s="9" t="n"/>
    </row>
    <row r="25" ht="30" customHeight="1">
      <c r="A25" s="38" t="n"/>
      <c r="B25" s="23" t="n">
        <v>24</v>
      </c>
      <c r="C25" s="25" t="inlineStr">
        <is>
          <t>一、事故發生緣由:
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二、原告受傷情形:
原告丁○○、丙○○均受有頭部外傷之傷害。
三、請求賠償的事實根據:
1.原告丁○○、丙○○請求之醫療費用部分：
原告2人主張其等因本件事故受傷就醫治療，而分別支出醫療費用740元、400元，並且有提出中醫新竹分院之診斷證明書及醫療收據等件影本作為證據。
2.原告丁○○、丙○○請求之交通費用：
原告2人並主張其等因傷往返住家與中醫新竹分院所支出之交通費用分別為1,760元、880元，並提出預估車資網頁資料及GOOGLE地圖路線圖為證。
3.原告丁○○、丙○○請求之不能工作之薪資損失部分：
原告2人再主張其等請假治療傷勢，而無法工作1週，每月平均薪資各為35,000元、56,000元，分別受有薪資損失8,167元、13,067元。
4.原告丁○○請求之系爭車輛修理費用部分：
原告丁○○主張系爭車輛因本件車禍事故受損，支付修復費用98,424元，而系爭車輛所有人徐玉桂已將系爭車輛損害賠償請求權讓與原告丁○○，並有維修明細表、電子發票及債權讓與證明書為證據。
5.原告丁○○、丙○○請求之精神慰撫金部分：
查原告丁○○、丙○○因本件事故受有「頭部外傷」之傷害，堪認身心均受有痛苦，因此原告丁○○、丙○○分別向被告請求50,000元、30,000之精神慰撫金，請求鈞院衡量原告所受傷勢、本件事故發生原因及兩造財產資力等一切情狀，命被告賠償精神慰撫金50,000元、30,000予原告2人。</t>
        </is>
      </c>
      <c r="D25" s="16" t="inlineStr">
        <is>
          <t>一、緣被告甲○○未領有適當駕駛執照，竟於110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（一）原告丁○○之損害：
1. 醫療費用：740元
原告丁○○因本件事故受傷就醫治療。有相關證明文件可資佐證。
2. 就醫交通費用：1,760元
原告丁○○因傷往返住家與中醫新竹分院就醫。
3. 不能工作損失：8,167元
原告丁○○因請假治療傷勢，無法工作1週，每月平均薪資為35,000元，故受有薪資損失8,167元。
4. 車輛修理費用：98,424元
原告丁○○主張系爭車輛因本件車禍事故受損。有相關證明文件可資佐證。
5. 精神慰撫金：50,000元
原告丁○○因本件事故受有「頭部外傷」之傷害，堪認身心均受有痛苦，因此原告丁○○向被告請求精神慰撫金50,000元。
（二）原告丙○○之損害：
1. 醫療費用：400元
原告丙○○因本件事故受傷就醫治療。有相關證明文件可資佐證。
2. 就醫交通費用：880元
原告丙○○因傷往返住家與中醫新竹分院就醫。
3. 不能工作損失：13,067元
原告丙○○因請假治療傷勢，無法工作1週，每月平均薪資為35,000元，故受有薪資損失13,067元。
4. 精神慰撫金：50,000元
原告丙○○因本件事故受有「頭部外傷」之傷害，堪認身心均受有痛苦，因此原告丙○○向被告請求精神慰撫金50,000元。
（三）綜上所陳，被告應連帶賠償原告之損害，就原告丁○○部分，包含醫療費用740元、就醫交通費用1,760元、不能工作損失8,167元、車輛修理費用98,424元、精神慰撫金50,000元；就原告丙○○部分，包含醫療費用400元、就醫交通費用880元、不能工作損失13,067元、精神慰撫金50,000元，總計223,438元，並自起訴狀副本送達翌日起至清償日止，按年息5%計算之利息。</t>
        </is>
      </c>
      <c r="E25" s="18" t="inlineStr">
        <is>
          <t>一、緣被告甲○○未領有適當駕駛執照，於110年10月9日14時3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致原告等人受傷。被告甲○○上開不法行為業經臺灣新竹地方檢察署檢察官偵查後提起公訴，並經鈞院刑事庭以111年度竹交簡字第246號刑事簡易判決判處有罪。被告乙○○為肇事車輛之所有權人，其於出借該車時本應查核借用人有無合格駕駛執照，竟任意將系爭車輛出借予無駕駛執照之被告甲○○。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乙○○因上開侵權行為，致原告受有下列損害，依前揭規定，被告應負連帶損害賠償責任：
（一）醫療費用：1,140元
原告丁○○、丙○○因本次事故受有頭部外傷之傷害，分別支出醫療費用740元、400元。
（二）交通費用：2,640元
原告丁○○、丙○○因傷往返住家與中醫新竹分院就醫，分別支出交通費用1,760元、880元。
（三）薪資損失：21,234元
原告丁○○、丙○○因本次事故請假治療傷勢而無法工作1週，分別受有薪資損失8,167元、13,067元。
（四）車輛修理費用：98,424元
原告丁○○所有之系爭車輛因本次事故受損，修復費用為98,424元。車輛損害賠償請求權已由車主徐玉桂讓與原告丁○○。
（五）慰撫金：80,000元
原告丁○○、丙○○因本次事故受有頭部外傷之傷害，身心均受有痛苦，爰分別請求慰撫金50,000元、30,000元。
（六）綜上所陳，被告應連帶賠償原告之損害，包含醫療費用1,140元、交通費用2,640元、薪資損失21,234元、車輛修理費用98,424元及慰撫金80,000元，總計203,438元。</t>
        </is>
      </c>
      <c r="F25" s="9" t="n"/>
    </row>
    <row r="26" ht="30" customHeight="1">
      <c r="A26" s="38" t="n"/>
      <c r="B26" s="23" t="n">
        <v>25</v>
      </c>
      <c r="C26" s="25" t="inlineStr">
        <is>
          <t>一、事故發生緣由:
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二、原告受傷情形:
原告羅靖崴因本件事故而受有頭部外傷併輕微腦震盪之傷害。
原告邱品妍則因本件車禍受有頭暈及頸部扭傷等傷害。
三、請求賠償的事實根據:
查原告羅靖崴因系爭車禍受有前揭傷害而前往聯新醫院就診，有聯新醫院診斷證明書可作為證據，其因而支出醫療費用2,443元、交通費1,235元。
原告羅靖崴因本件事故受傷，需在家休養16日而無法工作，又原告羅靖崴每月工資應為37,778元，又依聯新醫院診斷證明書分別於110年12月4日及111年1月10日建議原告羅靖崴應休養3日及兩週，是原告羅靖崴應有17日不能工作，但原告羅靖崴僅請求16日工資損失，因此請求不能工作之損失20,148元
原告羅靖崴因本件車禍而受有頭部外傷併輕微腦震盪之傷害，影響日常生活甚鉅，於精神上可能承受之無形痛苦，故請求被告賠償10,000元精神慰撫金。
原告邱品妍因系爭車禍受有前揭傷害同樣前往聯新醫院醫治，有聯新醫院診斷證明書作為證據，其因而支出醫療費用57,550元、交通費22,195元。
另外原告邱品妍因本件事故受傷，需在家休養1月又28日而無法工作，又原告邱品妍每月工資為34,535元，又依聯新醫院診斷證明書分別於110年12月4日、111年12月6日、 110年12月17日、110年12月24日、111年1月10日持續建議休養1週至1個月，總計1個月又28日，其不能工作之損失應為66,768元。
另查系爭車輛，因被告之過失行為，受有交易上價值貶損33,000元及支出鑑定費3,000元，因此原告邱品妍向被告請求賠償之本件車輛交易價值減損及鑑定費共計36,000元。
原告邱品妍因本件車禍受有頭暈及頸部扭傷等傷害，影響其工作、生活之行動，於精神上造成無形痛苦，故請求被告連帶賠償60,000元精神慰撫金。</t>
        </is>
      </c>
      <c r="D26" s="16" t="inlineStr">
        <is>
          <t>一、緣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（一）原告羅崴之損害：
1. 醫療費用：2,443元
原告羅崴因系爭車禍受有前揭傷害而前往聯新醫院就診，因而支出醫療費用2,443元。
2. 就醫交通費用：1,235元
原告羅崴因系爭車禍受有前揭傷害而前往聯新醫院就診，因而支出交通費1,235元。
3. 不能工作損失：20,148元
原告羅崴因本件事故受傷，需在家休養16日而無法工作，又原告羅崴每月工資應為37,778元，因此請求不能工作之損失20,148元。
4. 精神慰撫金：10,000元
原告羅崴因本件車禍而受有頭部外傷併輕微腦震盪之傷害，影響日常生活甚鉅，故請求被告賠償10,000元精神慰撫金。
（二）原告邱品妍之損害：
1. 醫療費用：57,550元
原告邱品妍因系爭車禍受有前揭傷害同樣前往聯新醫院醫治，因而支出醫療費用57,550元。
2. 就醫交通費用：22,195元
原告邱品妍因系爭車禍受有前揭傷害同樣前往聯新醫院醫治，因而支出交通費22,195元。
3. 不能工作損失：
原告邱品妍因本件事故受傷，需在家休養，又原告邱品妍每月工資應為，因此請求不能工作之損失。 (原文未提供具體休養天數和月薪，無法計算具體金額，故暫留空位)
4. 車輛損壞賠償：
原告邱品妍之車輛因事故受損，因此請求車輛損壞賠償。(原文未提供車輛損壞賠償金額，故暫留空位)
5. 精神慰撫金：
原告邱品妍因本件車禍，故請求精神慰撫金。(原文未提供精神慰撫金金額，故暫留空位)
6. 汽車折舊損失:
原告邱品妍因本件車禍導致車輛損毀，請求汽車折舊損失。(原文未提供汽車折舊損失金額，故暫留空位)
（三）綜上所陳，被告應連帶賠償原告之損害，就原告羅崴部分，包含醫療費用2,443元、就醫交通費用1,235元、不能工作損失20,148元、精神慰撫金10,000元；就原告邱品妍部分，包含醫療費用57,550元、就醫交通費用22,195元，總計113,571元，並自起訴狀副本送達翌日起至清償日止，按年息5%計算之利息。</t>
        </is>
      </c>
      <c r="E26" s="18" t="inlineStr">
        <is>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羅靖崴所駕駛並搭載原告邱品妍之車牌號碼000-0000號自用小客車（下稱系爭車輛）。另查被告賴惠敏將其所有之系爭車輛供未領有駕駛執照之被告賴俊諺駕駛，致原告2人受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賴俊諺、賴惠敏因上開侵權行為，致原告受有下列損害，依前揭規定，被告應負連帶損害賠償責任：
（一）原告羅靖崴部分：
1. 醫療費用：2,443元
原告羅靖崴因本次事故受有頭部外傷併輕微腦震盪之傷害，前往聯新醫院就診，支出醫療費用2,443元。
2. 交通費用：1,235元
原告羅靖崴因本次事故就醫，支出交通費用1,235元。
3. 工作損失：20,148元
原告羅靖崴因本次事故受傷，需在家休養16日而無法工作，依其每月工資37,778元計算，受有工作損失20,148元。
4. 慰撫金：10,000元
原告羅靖崴因本次事故受有頭部外傷併輕微腦震盪之傷害，影響日常生活甚鉅，於精神上承受無形痛苦，爰請求慰撫金10,000元。
（二）原告邱品妍部分：
1. 醫療費用：57,550元
原告邱品妍因本次事故受有頭暈及頸部扭傷等傷害，前往聯新醫院就診，支出醫療費用57,550元。
2. 交通費用：22,195元
原告邱品妍因本次事故就醫，支出交通費用22,195元。
3. 工作損失：66,768元
原告邱品妍因本次事故受傷，需在家休養1月又28日而無法工作，依其每月工資34,535元計算，受有工作損失66,768元。
+D26
4. 車輛貶值損失：36,000元
系爭車輛因本次事故受有交易上價值貶損33,000元及支出鑑定費3,000元，合計36,000元。
5. 慰撫金：60,000元
原告邱品妍因本次事故受有頭暈及頸部扭傷等傷害，影響其工作、生活之行動，於精神上造成無形痛苦，爰請求慰撫金60,000元。
（三）綜上所陳，被告應連帶賠償原告羅靖崴之損害，包含醫療費用2,443元、交通費用1,235元、工作損失20,148元及慰撫金10,000元，總計33,826元；應連帶賠償原告邱品妍之損害，包含醫療費用57,550元、交通費用22,195元、工作損失66,768元、車輛貶值損失36,000元及慰撫金60,000元，總計242,513元。兩原告請求賠償之金額合計276,339元，並自起訴狀副本送達翌日起至清償日止，按年息5%計算之利息。</t>
        </is>
      </c>
      <c r="F26" s="9" t="n"/>
    </row>
    <row r="27" ht="30" customHeight="1">
      <c r="A27" s="38" t="n"/>
      <c r="B27" s="23" t="n">
        <v>26</v>
      </c>
      <c r="C27" s="25" t="inlineStr">
        <is>
          <t>一、事故發生緣由:
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二、原告受傷情形:
原告吳麗娟受有右眼球及眼眶組織挫傷、右眼瞼撕裂傷及右臂鈍傷併血腫等傷害。
原告陳碧翔受有頭部撕裂傷、右側胸壁挫傷、頸部及下巴挫傷及瘀血、後背部擦傷及右手擦傷等傷害。
三、請求賠償的事實根據:
原告陳碧翔因本件車禍支出醫療費用，包含臺北榮民總醫院（下稱臺北榮總）6,080元、馬偕紀念醫院1,500元及中醫費用5,600 元，另因頭部右側遭受重擊，假牙因而脫落，需重新安裝假牙裝置，費用為2萬4,000元。原告陳碧翔為高職畢業，除受外傷外，尚因受撞擊拉扯，須長期治療及復健，加上需重裝假牙之時間，造成生活多處不便，故請求慰撫金20萬元。 原告吳麗娟因本件車禍導致後下背腰痛、雙側韌帶撕裂傷，支出醫療費用為臺北榮總1,490 元、馬偕紀念醫院1,580 元、內湖菁英診所6,000 元及中醫1, 750元等，另經榮民總醫院確診原告吳麗娟發生腰椎第一、二節脊椎滑脫，有傷及神經癱瘓之虞，將來手術費用預計26萬4,379 元。原告吳麗娟為商專畢業，其除了受外傷外，尚因受撞擊拉扯，須長期治療及復健，痛楚非筆墨所能形容，未來更要負擔沉重手術費用，故請求慰撫金20萬元。 原告2人因身體受猛烈撞擊震盪，養傷期間均無生活自主能力，必須仰賴專人看護照顧，自107年7 月24日起至107年11月23日止，支出看護費用共計30萬5,000 元。另外原告2人均因本件車禍受傷，搭乘計程車前往醫院就診及復健，共支出計程車車資3萬9,370 元。</t>
        </is>
      </c>
      <c r="D27" s="16" t="inlineStr">
        <is>
          <t>一、緣被告鄭凱祥於民國107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（一）原告吳麗娟之損害：
1. 醫療費用：1,490元
原告吳麗娟因本件車禍導致後下背腰痛、雙側韌帶撕裂傷，支出醫療費用為臺北榮總1,490元。
2. 醫療費用：1,580元
原告吳麗娟因本件車禍導致後下背腰痛、雙側韌帶撕裂傷，支出醫療費用為馬偕紀念醫院1,580元。
3. 醫療費用：6,000元
原告吳麗娟因本件車禍導致後下背腰痛、雙側韌帶撕裂傷，支出醫療費用為內湖菁英診所6,000元。
4. 醫療費用：1,750元
原告吳麗娟因本件車禍導致後下背腰痛、雙側韌帶撕裂傷，支出醫療費用為中醫1,750元。
5. 預估未來醫療費用：264,379元
原告吳麗娟因本件車禍導致後下背腰痛、雙側韌帶撕裂傷，經榮民總醫院確診發生腰椎第一、二節脊椎滑脫，有傷及神經癱瘓之虞，將來手術費用預計264,379元。
6. 慰撫金：200,000元
原告吳麗娟為商專畢業，其除了受外傷外，尚因受撞擊拉扯，須長期治療及復健，痛楚非筆墨所能形容，未來更要負擔沉重手術費用，故請求慰撫金200,000元。
（二）原告陳碧翔之損害：
1. 醫療費用：6,080元
原告陳碧翔因本件車禍支出醫療費用，包含臺北榮民總醫院6,080元。
2. 醫療費用：1,500元
原告陳碧翔因本件車禍支出醫療費用，包含馬偕紀念醫院1,500元。
3. 醫療費用：5,600元
原告陳碧翔因本件車禍支出醫療費用，包含中醫5,600元。
4. 醫療費用： 500元
原告因頭部受到撞擊，在馬偕醫院接受診療，並花費500元。
5. 慰撫金：200,000元
原告陳碧翔為某某畢業，因本件車禍受到傷害，因此請求慰撫金200,000元。
6. 假扣假償金
因受傷無法工作，所以請求假扣假償金。
7. 看護費用
因受傷，需要有人照顧，因此請求看護費用。
（三）綜上所陳，被告應連帶賠償原告之損害；就原告吳麗娟部分，包含醫療費用1,490元、醫療費用1,580元、醫療費用6,000元、醫療費用1,750元、預估未來醫療費用264,379元、精神慰撫金200,000元；就原告陳碧翔部分，包含醫療費用6,080元、醫療費用1,500元、醫療費用5,600元、醫療費用500元、精神慰撫金200,000元，總計688,379元，並自起訴狀副本送達翌日起至清償日止，按年息5%計算之利息。</t>
        </is>
      </c>
      <c r="E27" s="18" t="inlineStr">
        <is>
          <t>一、緣被告鄭凱祥於民國107年7月24日凌晨2時59分許，無照駕駛車牌號碼000-0000號自用小貨車（下稱系爭車輛），行經新北市○○區○○路0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號營業小客車搭載原告吳麗娟、陳碧翔，自上述三岔路口左轉，欲駛入國道一號北上入口，因而遭被告鄭凱祥駕駛之系爭車輛撞擊。被告鄭凱祥上開過失行為，業經鈞院以108年度審交簡字第446號判決認定犯過失傷害罪，判處有期徒刑4月，得易科罰金在案。被告吳阿燕明知被告鄭凱祥未領有駕駛執照，竟交付系爭車輛供被告鄭凱祥駕駛，已違反道路交通管理處罰條例第21條第1項第1款、第28條規定。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鄭凱祥、吳阿燕因上開侵權行為，致原告受有下列損害，依前揭規定，被告應負連帶損害賠償責任：
（一）醫療費用：
1. 原告陳碧翔已支出醫療費用13,180元，包含臺北榮民總醫院6,080元、馬偕紀念醫院1,500元、中醫費用5,600元。
2. 原告吳麗娟已支出醫療費用9,820元，包含臺北榮民總醫院1,490元、馬偕紀念醫院1,580元、內湖菁英診所6,000元及中醫1,750元。
3. 原告吳麗娟需預支手術費用264,379元。
（二）假牙費用：24,000元
原告陳碧翔因本次事故導致假牙脫落，需重新安裝假牙裝置，費用為24,000元。
（三）看護費用：305,000元
原告2人因身體受猛烈撞擊震盪，養傷期間均無生活自主能力，必須仰賴專人看護照顧，自107年7月24日起至107年11月23日止，支出看護費用305,000元。
（四）交通費用：39,370元
原告2人因本件車禍受傷，搭乘計程車前往醫院就診及復健，支出計程車車資39,370元。
（五）慰撫金：
1. 原告陳碧翔：200,000元
原告陳碧翔為高職畢業，因本次事故受有頭部撕裂傷、右側胸壁挫傷、頸部及下巴挫傷及瘀血、後背部擦傷及右手擦傷等傷害，須長期治療及復健，加上需重裝假牙之時間，造成生活多處不便，爰請求慰撫金200,000元。
2. 原告吳麗娟：200,000元
原告吳麗娟為商專畢業，因本次事故受有右眼球及眼眶組織挫傷、右眼瞼撕裂傷及右臂鈍傷併血腫等傷害，且經榮民總醫院確診發生腰椎第一、二節脊椎滑脫，有傷及神經癱瘓之虞，將來需負擔沉重手術費用，爰請求慰撫金200,000元。
（六）綜上所陳，被告應連帶賠償原告之損害，包含原告陳碧翔之醫療費用13,180元、看護費用305,000元、交通費用39,370元、假牙費用24,000元及慰撫金200,000元，總計581,550元；以及原告吳麗娟之醫療費用9,820元、看護費用305,000元、交通費用39,370元、未來手術費用264,379元及慰撫金200,000元，總計818,569元。</t>
        </is>
      </c>
      <c r="F27" s="9" t="n"/>
    </row>
    <row r="28" ht="30" customHeight="1">
      <c r="A28" s="38" t="n"/>
      <c r="B28" s="23" t="n">
        <v>27</v>
      </c>
      <c r="C28" s="25" t="inlineStr">
        <is>
          <t>一、事故發生緣由:
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二、原告受傷情形:
原告丁○○受有頸部無疼痛、左胸、左手肘、前臂及左手背挫傷合併擦傷、左手腕挫傷、左膝挫傷合併擦傷等傷害；原告丙○○受有左前臂及左手背挫傷合併擦傷、左膝挫傷合併擦傷疑韌帶挫傷、頭部外傷等傷害。
三、請求賠償的事實根據: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is>
      </c>
      <c r="D28" s="16" t="inlineStr">
        <is>
          <t>一、緣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（一）原告丁之損害：
1. 醫療費用：82,872元
原告丁因本次事故受傷就醫，支出醫療費用82,872元。
2. 慰撫金：300,000元
原告丁因本次車禍，故請求精神慰撫金300,000元。
（二）原告戊之損害：
1. 醫療費用：49,320元
原告戊因本次事故受傷就醫，支出醫療費用49,320元。
2. 慰撫金：200,000元
原告戊因本次車禍，故請求精神慰撫金200,000元。
（三）綜上所陳，被告應連帶賠償原告之損害，就原告丁○○部分，包含醫療費用82,872元、精神慰撫金300,000元；就原告丙○○部分，包含醫療費用49,320元、精神慰撫金200,000元，總計632,192元，並自起訴狀副本送達翌日起至清償日止，按年息5%計算之利息。</t>
        </is>
      </c>
      <c r="E28" s="18" t="inlineStr">
        <is>
          <t>一、緣被告甲○○於民國109年10月14日上午9時54分許，駕駛車牌號碼000-0000號自用小客車，先沿西往東方向臨停在臺北市○○區○○○路0段00○0號劃有禁止臨時停車之紅線路段，其後欲向左起步駛入車道，本應注意車輛起駛前，應注意前後左右有無車輛，並應讓行進中之車輛行人優先通行，竟疏未注意及此，貿然起駛，適有原告丁○○騎乘車牌號碼000-000號普通重型機車搭載原告丙○○沿同路段同向行駛至上開地點，見狀煞車減速並向左偏閃避，然被告乙○○騎乘車牌號碼000-0000號普通重型機車沿同路段同向行駛在原告丁○○後方，本應注意機車行駛時，應注意車前狀況及兩車併行之間隔，並隨時採取必要之安全措施，竟疏未注意及此，貿然繼續直行，因而撞擊原告丁○○所騎乘之普通重型機車，致原告丁○○、丙○○人車倒地。被告甲○○、乙○○均因前開行為，經鈞院111年度審交簡字第110號刑事簡易判決以被告甲○○、乙○○各犯過失傷害罪，處被告甲○○拘役40日、被告乙○○拘役30日，足證被告等人對本件事故發生均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（一）醫療費用：77,162元
1. 原告丁○○：59,572元
2. 原告丙○○：17,590元
（二）看護費用：28,000元
原告丁○○、丙○○因本次事故受傷，生活上均需要專人全日照護7日，以每日2,000元計算，各14,000元，共計28,000元。
（三）交通費用：18,900元
原告丁○○、丙○○因本次事故需前往臺北市立聯合醫院和平院區、崇生中醫診所、亞東紀念醫院與臺北榮民總醫院回診，各9,450元，共計18,900元。
（四）薪資損失：187,680元
原告丁○○因本次事故請假92天，以其109年4月至109年10月間平均6個月薪資為61,200元，每日薪資為2,040元計算，共損失187,680元。
（五）筆電維修費用：21,599元
原告丙○○因本次事故導致筆電損壞，支出維修費用21,599元。
（六）機車維修費用：6,150元
原告丁○○因本次事故導致所騎乘之機車受損，支出修繕費用6,150元。
（七）住宿費用：7,000元
原告丁○○、丙○○因本次事故於109年10月14日至同年月19日期間，需住宿於醫院隔壁之飯店，支出住宿費用7,000元。
（八）醫療用品費用：954元
原告丁○○、丙○○因本次事故各支出醫療用品費用477元，共計954元。
（九）慰撫金：200,000元
1. 原告丁○○：100,000元
2. 原告丙○○：100,000元
（十）綜上所陳，被告應連帶賠償原告之損害，包含醫療費用77,162元、看護費用28,000元、交通費用18,900元、薪資損失187,680元、筆電維修費用21,599元、機車維修費用6,150元、住宿費用7,000元、醫療用品費用954元及慰撫金200,000元，總計518,445元。</t>
        </is>
      </c>
      <c r="F28" s="9" t="n"/>
    </row>
    <row r="29" ht="30" customHeight="1">
      <c r="A29" s="38" t="n"/>
      <c r="B29" s="23" t="n">
        <v>28</v>
      </c>
      <c r="C29" s="25" t="inlineStr">
        <is>
          <t>一、事故發生緣由:
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二、原告受傷情形:
原告鄭和昌因而受有頭部外傷合併蜘蛛網膜下出血及硬腦膜下出血、頭皮撕裂傷1.5×0.5公分等傷害，原告鄭劉菊則受有頭部外傷合併蜘蛛網膜下出血及硬腦膜下出血等傷害（下合稱系爭傷害）。
三、請求賠償的事實根據:
原告鄭和昌主張因本件事故受傷而支出醫療費用23,262元，並有彰基醫院、廖慶龍骨科診所之門診收據為證。
另查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末查鄭和昌因本件事故致傷，除身體受有莫大痛苦外，因鄭和昌年事已高，身體本已不堪勞損，卻因被告施彥宏之過失致傷，甚至住進加護病房，事發至今已一年餘仍需往返醫療院所就醫，深恐年老之身體無法復原將對子女造成拖累，心靈上之恐懼與痛苦自是難以言喻。惟被告不僅餘事故發生當肇事逃逸，事發至今亦不聞不問，拒不負責，爰請求精神慰撫金300,000元。
原告鄭劉菊則主張因本件事故受傷而支出醫療費用18,472元，並有彰基醫院、廖慶龍骨科診所之門診收據為證。
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原告2人為治療系爭傷害，因而購買尿布、便器等用品，而由原告鄭劉菊支出1,348元。
鄭劉菊因本件事故致上開嚴重傷害，除身心受有莫大痛苦外，因原告鄭劉菊年事已高，身體本已不堪勞損，卻因被告施彥宏之上開過失致傷，同樣住進加護病房，事發至今已一年餘仍需往返醫療院所就醫，並且深恐年老之身體無法復原將對子女造成拖累，心靈上之恐懼與痛苦自是難以言喻。惟被告不僅餘事故發生當肇事逃逸，事發至今亦不聞不問，拒不負責，爰請求精神慰撫金300,000元。</t>
        </is>
      </c>
      <c r="D29" s="16" t="inlineStr">
        <is>
          <t>一、緣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（一）原告鄭先生之損害：
1. 醫療費用：50,000元
原告鄭先生因本次事故受傷就醫，支出醫療費用50,000元。
2. 慰撫金：300,000元
原告鄭先生因本次車禍，故請求精神慰撫金300,000元。
（二）原告陳小姐之損害：
1. 醫療費用：30,000元
原告陳小姐因本次事故受傷就醫，支出醫療費用30,000元。
（三）綜上所陳，被告應連帶賠償原告之損害，就原告鄭和昌部分，包含醫療費用50,000元、慰撫金300,000元；就原告鄭劉菊部分，包含醫療費用30,000元，總計380,000元，並自起訴狀副本送達翌日起至清償日止，按年息5%計算之利息。</t>
        </is>
      </c>
      <c r="E29" s="19" t="inlineStr">
        <is>
          <t>一、緣被告施彥宏於民國110年1月21日13時許，無照駕駛被告呂明昌所有車牌號碼0000-00號自用小客貨車，沿彰化縣花壇鄉花秀路由西往東方向行駛，途經彰化縣○○鄉○○路000號前，本應注意於汽車行駛時，不得跨越分向限制線超車，且於超車過程亦應保持半公尺以上之安全間隔，依當時情形，並無不能注意之情事，竟貿然跨越分向限制線行駛，且超車時未保持安全間隔，適有原告鄭和昌騎乘車牌號碼000-000號普通重型機車搭載其妻即原告鄭劉菊，於被告施彥宏所駕駛車輛右側沿同路段同向行駛在前，遭被告施彥宏自後方超車時擦撞到系爭車輛左側，致原告鄭和昌、鄭劉菊人、車倒地。被告施彥宏於肇事後，知悉原告2人遭擦撞倒地受傷，竟基於肇事逃逸之犯意，未停留在現場等候警方處理或協助將傷者送醫救治，即逕行駕車離去。被告施彥宏之行為業經鈞院刑事庭以110年度交訴字第144號判決應執行有期徒刑1年5月；又被告呂明昌明知並出借肇事車輛供無駕駛執照而駕駛技術不純熟及交通法規知識之欠缺之被告施彥宏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施彥宏、呂明昌因上開侵權行為，致原告受有下列損害，依前揭規定，被告應負連帶損害賠償責任：
（一）原告鄭和昌部分：
1. 醫療費用：23,262元
原告鄭和昌因本次事故受有頭部外傷合併蜘蛛網膜下出血及硬腦膜下出血、頭皮撕裂傷1.5×0.5公分等傷害，支出醫療費用23,262元。
2. 看護費用：221,500元
原告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慰撫金：300,000元
原告鄭和昌年事已高，身體本已不堪勞損，因本次事故受傷住進加護病房，事發至今已一年餘仍需往返醫療院所就醫，深恐年老之身體無法復原將對子女造成拖累，心靈上之恐懼與痛苦自是難以言喻。惟被告不僅餘事故發生當肇事逃逸，事發至今亦不聞不問，拒不負責，爰請求慰撫金300,000元。
（二）原告鄭劉菊部分：
1. 醫療費用：18,472元
原告鄭劉菊因本次事故受有頭部外傷合併蜘蛛網膜下出血及硬腦膜下出血等傷害，支出醫療費用18,472元。
2. 看護費用：221,500元
原告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生活用品費用：1,348元
原告鄭劉菊因本次事故致上開嚴重傷害，為原告鄭和昌購買尿布、便器等用品，支出費用1,348元。
4. 慰撫金：300,000元
原告鄭劉菊年事已高，身體本已不堪勞損，因本次事故受傷住進加護病房，事發至今已一年餘仍需往返醫療院所就醫，並且深恐年老之身體無法復原將對子女造成拖累，心靈上之恐懼與痛苦自是難以言喻。惟被告不僅餘事故發生當肇事逃逸，事發至今亦不聞不問，拒不負責，爰請求慰撫金300,000元。
（三）綜上所陳，被告應連帶賠償原告鄭和昌之損害，包含醫療費用23,262元、看護費用221,500元、慰撫金300,000元，總計544,762元；應連帶賠償原告鄭劉菊之損害，包含醫療費用18,472元、看護費用221,500元、生活用品費用1,348元、慰撫金300,000元，總計541,320元。</t>
        </is>
      </c>
      <c r="F29" s="9" t="n"/>
    </row>
    <row r="30" ht="30" customHeight="1" thickBot="1">
      <c r="A30" s="44" t="n"/>
      <c r="B30" s="23" t="n">
        <v>29</v>
      </c>
      <c r="C30" s="25" t="inlineStr">
        <is>
          <t>一、事故發生緣由:
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二、原告受傷情形:
原告莊士紘受有右側眼瞼及眼周圍區域鈍傷之傷害，原告林淑玲受有右側遠端股骨粉碎性骨折之傷害。
三、請求賠償的事實根據:
原告主張因本件車禍，致原告莊士紘支出醫藥費800元、原告林淑玲支出醫藥及輔具費14萬5,563元，並提出醫療費用收據、統一發票可證。原告林淑玲主張其因本件車禍事故受有右側遠端股骨粉碎性骨折之傷害，其就醫有搭乘他人駕駛車輛接送之需要，故往返醫院就醫共支出交通接送費6,105元，並有醫療收據為證。另按由親屬看護時，雖無現實看護費之支付，仍應認被害人受有相當於看護費之損害，得向加害人請求賠償，原告林淑玲因本件車禍受有右側遠端股骨粉碎性骨折之傷害，診斷證明書更記載：「於110年6月18日經急診入院治療，接受開放性復位鋼板釘內固定手術並植入人工骨膠手術，於000年0月00日出院共計9天，...受傷需專人照顧日常生活一個月...」，故林淑玲確實需他人看護照顧一個月，以每日2,200元計算請求一個月看護費損害6萬6,000元。系爭汽車（含行車紀錄器、隔熱紙）修理費合計43萬8,069元。莊士紘因本件車禍受有眼鏡毀損，重新配戴眼鏡支出6,800元，有取貨單1紙為證。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萬2,000元。末查原告莊士紘大學畢業，車禍前從事保險經紀人，月收入約2萬多元，110年度所得給付總額15萬5,175元、財產給付總額403萬3,350元，原告林淑玲沒有工作，沒有月收入，110年度所得給付總額5,111元、財產給付總額0元，原告二人均因本件事故受有上開傷勢，受有精神痛苦，原告莊士紘爰請求慰撫金3萬元、原告林淑玲爰請求慰撫金15萬元。</t>
        </is>
      </c>
      <c r="D30" s="16" t="inlineStr">
        <is>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（一）原告莊士紘之損害：
1. 醫療費用：102,400元
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72,000元
2. 財物損壞：6,800元
原告莊士紘因本件車禍受損眼鏡一副。
3. 交通費用：5,600元
原告莊士紘因本件車禍需休養一週，依據豐原醫院診斷證明書記載，故工作損失5,600元，以基本工資日薪800元計算。
4. 精神慰撫金：30,000元
原告莊士紘因本件車禍受有精神痛苦，故請求慰撫金30,000元。
（二）原告林淑玲之損害：
1. 醫療費用：145,563元
原告林淑玲因本次事故受傷就醫，支出醫療費用145,563元。
2. 就醫交通費用：6,105元
原告林淑玲因本件車禍就醫有搭乘他人駕駛車輛接送之需要，往返醫院就醫支出交通接送費6,105元，並有相關費用證明。
3. 看護費用：未提供具體金額
原告林淑玲因本次事故受傷，住院期間需要看護，具體費用未提供。
4. 交通費用：未提供具體金額
原告林淑玲因本件車禍需休養，依據豐原醫院診斷證明書記載，故工作損失金額未提供。
5. 精神慰撫金：30,000元
原告林淑玲因本件車禍受有精神痛苦，故請求慰撫金30,000元。
（三）綜上所陳，被告應連帶賠償原告之損害；就原告莊士紘部分，包含醫療費用102,400元、財物損壞6,800元、交通費用5,600元、精神慰撫金30,000元；就原告林淑玲部分，包含醫療費用145,563元、就醫交通費用6,105元、精神慰撫金30,000元，總計326,468元，並自起訴狀副本送達翌日起至清償日止，按年息5%計算之利息。</t>
        </is>
      </c>
      <c r="E30" s="19" t="inlineStr">
        <is>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被告楊進傳於本件車禍發生時係在執行其駕駛堆高機之職務，且其係受雇於被告韓昇忠，被告韓昇忠對於被告楊進傳之駕駛行為，具有指揮、監督之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進傳、韓昇忠因上開侵權行為，致原告受有下列損害，依前揭規定，被告應負連帶損害賠償責任：
（一）醫療費用：146,363元
1. 原告莊士紘醫療費用：800元
2. 原告林淑玲醫療費用：145,563元
（二）交通費用：6,105元
原告林淑玲因本件車禍受有右側遠端股骨粉碎性骨折之傷害，需搭乘他人駕駛車輛接送往返醫院就醫，支出交通費用6,105元。
（三）看護費用：66,000元
原告林淑玲因本件車禍受有右側遠端股骨粉碎性骨折之傷害，需他人看護照顧一個月，以每日2,200元計算，共計66,000元。
（四）財物損害：454,869元
1. 系爭汽車修理費：438,069元
2. 原告莊士紘眼鏡毀損：6,800元
（五）工作損失：77,600元
1. 原告莊士紘工作損失：5,600元
2. 原告林淑玲工作損失：72,000元
（六）慰撫金：180,000元
1. 原告莊士紘：30,000元
2. 原告林淑玲：150,000元
（七）綜上所陳，被告應連帶賠償原告之損害，包含醫療費用146,363元、交通費用6,105元、看護費用66,000元、財物損害454,869元、工作損失77,600元及慰撫金180,000元，總計930,937元。</t>
        </is>
      </c>
      <c r="F30" s="9" t="n"/>
    </row>
    <row r="31" ht="30" customHeight="1">
      <c r="A31" s="45" t="inlineStr">
        <is>
          <t>§187未成年案型</t>
        </is>
      </c>
      <c r="B31" s="23" t="n">
        <v>30</v>
      </c>
      <c r="C31" s="25" t="inlineStr">
        <is>
          <t>一、事故發生緣由：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二、原告受傷情形：
原告因本次車禍事故受有頸椎管狹窄併脊髓損傷之傷害，導致下肢乏力、經常跌倒及行動不便，需要持續復健治療，至今仍步態不穩蹣跚，行動能力明顯受到障礙。
三、請求賠償的事實根據：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is>
      </c>
      <c r="D31" s="16" t="inlineStr">
        <is>
          <t>一、緣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（一）醫療費用：12,372元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（二）交通費用：86,800元
原告因受傷導致行動不便，在97年1月14日至98年11月30日期間，每次往返醫院及復健時都需要搭乘計程車，共計434次，每次往返計程車車資200元，總計支出交通費用86,800元
（三）幫傭費用：500,000元
原告自96年12月5日因受傷導致下肢乏力、經常跌倒及行動不便，而須復健治療，至今仍步態不穩蹣跚，行動能力明顯障礙，生活事務需要他人協助，因此於97年1月10日至99年2月10日共25個月期間雇用幫傭，每月支付幫傭費用20,000元，共計500,000元
（四）財物損壞：38,000元
原告因本次事故受有財物損壞38,000元。
（五）精神慰撫金：500,000元
原告因本次車禍受有上述嚴重傷害，不僅造成行動不便，更因此無法親自照顧長年臥病在床的配偶，讓原告身心俱疲，承受極大痛苦。且原告年事已高，復原情況不佳，對未來生活品質造成嚴重影響，因此請求精神慰撫金500,000元。
（六）綜上所陳，被告應連帶賠償原告之損害，包含醫療費用12,372元、交通費用86,800元、幫傭費用500,000元、財物損壞38,000元、精神慰撫金500,000元，總計1,137,172元，並自起訴狀副本送達翌日起至清償日止，按年息5%計算之利息。</t>
        </is>
      </c>
      <c r="E31" s="19" t="inlineStr">
        <is>
          <t>一、緣被告乙○○於民國96年12月5日18時35分許，騎乘車牌號碼922-BER號機車，自臺北市○○路由東往西行駛，途經青年新城前時，適原告正在穿越青年路行走。當時天候陰、夜間有照明、柏油路面乾燥無缺陷、無障礙物、視距良好，被告乙○○本應注意車前狀況及依規定暫停讓行人先行通過，竟疏未注意撞及原告，致原告倒地受傷。又事故發生時被告乙○○未滿20歲，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原告因本次事故導致身上所穿戴之衣服、褲子、鞋子、手錶及牙齒受損，損害共計38,000元。
（五）慰撫金：500,000元
原告因本次事故受有頸椎管狹窄併脊髓損傷之重傷，不僅造成行動不便，更因此無法親自照顧長年臥病在床之配偶，身心俱疲。且原告年事已高，復原情況不佳，對未來生活品質造成嚴重影響，爰請求慰撫金500,000元。
（六）綜上所陳，被告應連帶賠償原告之損害，包含醫療費用12,372元、交通費用86,800元、看護費用500,000元、財物損失38,000元及慰撫金500,000元，總計1,137,172元。</t>
        </is>
      </c>
      <c r="F31" s="9" t="n"/>
    </row>
    <row r="32" ht="30" customHeight="1">
      <c r="A32" s="38" t="n"/>
      <c r="B32" s="23" t="n">
        <v>31</v>
      </c>
      <c r="C32" s="25" t="inlineStr">
        <is>
          <t>一、事故發生緣由:
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二、原告受傷情形:
原告受有右側遠端脛骨、腓骨骨折、胸骨線狀骨折、右側近端肱骨線狀骨折、尾椎骨骨折等傷害。
三、請求賠償的事實根據:
1.醫療費用：
原告因系爭事故受有系爭傷害，受有支出醫療費用一共72,355元之損害，並且有高雄榮民總醫院、高雄醫學大學附設中和紀念醫院之醫療費用收據、門診醫療費用收據作為證據。
2.就醫交通費用：
⑴計程車車資10,890元：
原告因系爭事故受有系爭傷害，需搭乘計程車往返醫院與住家就診，因而受有支出交通費用10,890元之損害。
⑵救護車費用1,900元：
原告因系爭事故受有系爭傷害而住院，至108年4月8日始出院，返家時支出救護車費用1,900元。
3.看護費用：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萬元（計算式：2,000元/日×90日＝18萬元）之損害。
4.承租及購買醫療器材與醫療用品：
⑴承租醫療器材費用4,300 元：
原告因系爭事故受有系爭傷害，向一祥醫療器材有限公司承租輪椅、氣墊床、病床等醫療器材，原告受有承租醫療器材費用4,300元之損害。
⑵購買醫療器材費用61,400元：
原告因系爭事故受有系爭傷害，依醫囑建議使用平躺式輪椅及電動床，又原告行動不便，用餐需使用餐桌板，腿部骨折支撐需使用生腳架，原告受有支出購買醫療器材費用61,400元之損害。
⑶其他醫療用品及藥品費用35,187元：
原告因系爭事故受有系爭傷害，有使用其他醫療用品及藥品之必要，受有支出其他醫療用品及藥品費用35,187元之損害。
5.精神慰撫金：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萬元。</t>
        </is>
      </c>
      <c r="D32" s="16" t="inlineStr">
        <is>
          <t>一、緣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（一）醫療費用：72,355元
原告因系爭事故受有系爭傷害。有相關證明文件可資佐證。
（二）就醫交通費用：10,890元
原告因系爭事故受有系爭傷害，需搭乘計程車往返醫院與住家就診，因而受有支出交通費用10,890元之損害。
（三）看護費用：180,000元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180,000元（計算式：2,000元/日×90日＝180,000元）之損害。
（四）承租及購買醫療器材與醫療用品：69,787元
原告因系爭事故受有系爭傷害，向一祥醫療器材有限公司承租輪椅、氣墊床、病床等醫療器材，原告受有承租醫療器材費用4,300元之損害。原告因系爭事故受有系爭傷害，依醫囑建議使用平躺式輪椅及電動床，又原告行動不便，用餐需使用餐桌板，腿部骨折支撐需使用生腳架，原告受有支出購買醫療器材費用61,400元之損害。原告因系爭事故受有系爭傷害，有使用其他醫療用品及藥品之必要，受有支出其他醫療用品及藥品費用35,187元之損害。
（五）精神慰撫金：1,200,000元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1,200,000元。
（六）綜上所陳，被告應連帶賠償原告之損害，包含醫療費用72,355元、就醫交通費用10,890元、看護費用180,000元、承租及購買醫療器材與醫療用品69,787元、精神慰撫金1,200,000元，總計1,533,032元，並自起訴狀副本送達翌日起至清償日止，按年息5%計算之利息。</t>
        </is>
      </c>
      <c r="E32" s="19" t="inlineStr">
        <is>
          <t>一、緣被告甲○○（民國00年0月00日生，行為時為未滿18歲之少年）為限制行為能力人，其母即被告丙○○為法定代理人，被告乙○○為被告甲○○之祖母。被告乙○○明知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致原告受有右側遠端脛骨、腓骨骨折、胸骨線狀骨折、右側近端肱骨線狀骨折、尾椎骨骨折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
（一）醫療費用：72,355元
原告因本次事故受有右側遠端脛骨、腓骨骨折、胸骨線狀骨折、右側近端肱骨線狀骨折、尾椎骨骨折等傷害，支出醫療費用72,355元。
（二）就醫交通費用：12,790元
1. 計程車車資：10,890元
2. 救護車費用：1,900元
（三）看護費用：180,000元
原告因多處骨折生活無法自理，依高雄榮民總醫院醫囑需專人照護3個月，均由家人照顧、看護以每日2,000元、共90日計算，受有看護費用180,000元之損害。
（四）醫療器材及醫療用品費用：101,887元
1. 承租醫療器材費用：4,300元
2. 購買醫療器材費用：61,400元
3. 其他醫療用品及藥品費用：35,187元
（五）慰撫金：1,200,000元
原告因本次事故受有全身多處骨折之傷害，迄今仍因當日事故之陰影而對駕駛動力交通工具心生恐懼，且生活起居需仰賴家人協助照顧，受有重大之精神痛苦，爰請求慰撫金1,200,000元。
（六）綜上所陳，被告應連帶賠償原告之損害，包含醫療費用72,355元、就醫交通費用12,790元、看護費用180,000元、醫療器材及醫療用品費用101,887元及慰撫金1,200,000元，總計1,567,032元。</t>
        </is>
      </c>
      <c r="F32" s="9" t="n"/>
    </row>
    <row r="33" ht="30" customHeight="1">
      <c r="A33" s="38" t="n"/>
      <c r="B33" s="23" t="n">
        <v>32</v>
      </c>
      <c r="C33" s="25" t="inlineStr">
        <is>
          <t>一、事故發生緣由:
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二、原告受傷情形:
原告因本次事故而受有左側鎖骨閉鎖性骨折、左側第2、3肋骨閉鎖性骨折、左側肩胛骨骨折、左側足部第3蹠骨閉鎖性骨折等傷害（下稱系爭傷害）。
三、請求賠償的事實根據:
原告主張因本件交通事故發生後，因受到系爭傷害，而前往淡水馬偕紀念醫院、新光吳火獅紀念醫院、大順中醫診所就醫，支出相關就醫費用共130,698元，另外因診斷證明書稱宜門診持續追蹤治療，因此預估仍有將來醫療費用共15萬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原告主張根據診斷證明書記載原告所受傷勢，因傷及足部而有礙行動，因此有搭乘計程車之必要性，參考網路查詢自原告住家至新光醫院、太順中醫診所、蔡嘉哲骨科診所、六善堂中醫診所之單程計程車車資各為455元、85元、165元、185元後，總計支出往返就醫交通費25,885元。
原告因系爭傷害，須購買吊腕帶、石膏鞋、背架等醫療用品，支出45,749元。
原告因系爭傷害購買膠原蛋白營養品支出18,000元，並提出收據為證。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系爭車輛因本件事故受有損害，原告為此支付維修費用13,750元，有估價單可作為證據。
原告因系爭事故所受之傷害未能治癒，並且造成原告勞動能力減損，因此請求被告賠償勞動能力減損之損害20萬元。
最後，原告為小學畢業，擔任清潔員工作，每月收入2萬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萬元。</t>
        </is>
      </c>
      <c r="D33" s="16" t="inlineStr">
        <is>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（一）就醫費用：130,698元
原告主張因本件交通事故發生後，因受到系爭傷害，而前往淡水馬偕紀念醫院、新光吳火獅紀念醫院、大順中醫診所就醫，支出相關就醫費用共130,698元，另外因診斷證明書稱宜門診持續追蹤治療，因此預估仍有將來醫療費用共150,000元。
（二）專人照顧費用：368,000元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（三）交通費用：25,885元
原告因本次事故就醫往返，支出交通費用25,885元。
（四）醫療用品費用：45,749元
原告因系爭傷害，須購買吊腕帶、石膏鞋、背架等醫療用品，支出45,749元。
（五）營養品費用：18,000元
原告因系爭傷害購買膠原蛋白營養品支出18,000元。
（六）工作損失：156,000元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（七）車輛維修費用：13,750元
系爭車輛因本件事故受有損害。有相關證明文件可資佐證。
（八）勞動能力減損：200,000元
原告因系爭事故所受之傷害未能治癒，並且造成原告勞動能力減損，因此請求被告賠償勞動能力減損之損害200,000元。
（九）精神慰撫金：600,000元
最後，原告為小學畢業，擔任清潔員工作，每月收入26,000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600,000元。
（十）綜上所陳，被告應連帶賠償原告之損害，包含就醫費用130,698元、專人照顧費用368,000元、交通費用25,885元、醫療用品費用45,749元、營養品費用18,000元、工作損失156,000元、車輛維修費用13,750元、勞動能力減損200,000元、精神慰撫金600,000元，總計1,558,082元，並自起訴狀副本送達翌日起至清償日止，按年息5%計算之利息。</t>
        </is>
      </c>
      <c r="E33" s="19" t="inlineStr">
        <is>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沿五福路6巷往成泰路方向駛來，致原告反應不及而與之碰撞。又被告乙○○於事故發生時為未成年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（一）醫療費用：280,698元
1. 已支出醫療費用：130,698元
原告因本次事故受有左側鎖骨閉鎖性骨折、左側第2、3肋骨閉鎖性骨折、左側肩胛骨骨折、左側足部第3蹠骨閉鎖性骨折等傷害，前往淡水馬偕紀念醫院、新光吳火獅紀念醫院、大順中醫診所就醫，支出相關就醫費用130,698元。
2. 未來醫療費用：150,000元
依診斷證明書記載，原告需門診持續追蹤治療，預估尚需醫療費用150,000元。
（二）看護費用：368,000元
依新光吳火獅紀念醫院110年10月8日診斷證明書記載，原告需全日專人照顧6個月，由原告媳婦全日照顧被上訴人而辭職在家，每日餵食、按摩、換藥及協助日常生活起居，並帶原告回診及作復健，依照以目前社會經濟情形及一般看護標準，全日看護費用以每日2,000元計算，共計368,000元。
（三）交通費用：25,885元
原告因傷及足部而有礙行動，需搭乘計程車往返就醫，參考自原告住家至新光醫院、太順中醫診所、蔡嘉哲骨科診所、六善堂中醫診所之單程計程車車資各為455元、85元、165元、185元後，總計支出往返就醫交通費25,885元。
（四）醫療用品費用：63,749元
1. 醫療用品：45,749元
原告因本次事故需購買吊腕帶、石膏鞋、背架等醫療用品，支出45,749元。
2. 營養品：18,000元
原告因本次事故購買膠原蛋白營養品支出18,000元。
（五）工作損失：156,000元
原告因本次事故需全日專人照顧6個月而不能工作，依原告受傷前平均月薪資26,000元計算，共計156,000元。
（六）車輛修復費用：13,750元
原告之系爭車輛因本次事故受損，支出維修費用13,750元。
（七）勞動能力減損：200,000元
原告因本次事故造成勞動能力減損，請求200,000元。
（八）慰撫金：600,000元
原告為小學畢業，擔任清潔員工作，每月收入26,000元，名下無不動產。因本次事故受有多處骨折，接受骨釘內固定手術，手術後需使用氣護踝支架、石膏鞋、輪椅及柺杖，並由專人全日照顧184日，受傷休養後復職時仍需每日身穿護腰鐵衣工作，精神上受有極大痛苦，爰請求慰撫金600,000元。
（九）綜上所陳，被告應連帶賠償原告之損害，包含醫療費用280,698元、看護費用368,000元、交通費用25,885元、醫療用品費用63,749元、工作損失156,000元、車輛修復費用13,750元、勞動能力減損200,000元及慰撫金600,000元，總計1,708,082元。</t>
        </is>
      </c>
      <c r="F33" s="9" t="n"/>
    </row>
    <row r="34" ht="30" customHeight="1">
      <c r="A34" s="38" t="n"/>
      <c r="B34" s="23" t="n">
        <v>33</v>
      </c>
      <c r="C34" s="25" t="inlineStr">
        <is>
          <t>一、事故發生緣由:
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二、原告受傷情形:
原告因本次交通事故受有雙側橈骨遠端閉鎖性骨折、左側尺骨莖突閉鎖性骨折、三角纖維軟骨複合體損傷、雙側手腕扭挫傷、左手挫傷等傷害。
三、請求賠償的事實根據:
原告主張因被告過失傷害行為受有雙側橈骨遠端閉鎖性骨折、左側尺骨莖突閉鎖性骨折、三角纖維軟骨複合體損傷、雙側手腕扭挫傷、左手挫傷左側閉鎖性骨折等傷害，因而至衛生福利部臺北醫院、長宏骨科診所支出醫療費用190,948元，並且有醫療費用收據作為證明。而原告因事故後1個月內生活無法自理需專人看護，故由其配偶即訴外人甲○○請假1個月在家照顧，以甲○○1個月收入3萬元計算，爰請求看護費用3萬元，且倘若如此計算下，每日看護費用僅1,000元（計算式：30,000/30＝1,000），應未超出在現行看護費用行情2,000元。原告再主張其因本件事故受傷，而衛生福利部臺北醫院診斷證明書載明有回診之必要性，因此自住家往返醫院診療，共回診34次，每次搭乘計程車車資為150元，計支出交通費用10,200元。並且原告於本件事故發生前任職於上揚後勤服務有限公司，每月薪資約50,000元，因本件事故受傷至骨科治療，經骨科建議休養5個月，復經復健科建議再休養2個月，共計7個月無法工作，受有不能工作損失35萬元。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萬8,000元，名下無財產，請求法院審酌雙方身分資力與加害程度後，命被告賠償慰撫金50萬元。</t>
        </is>
      </c>
      <c r="D34" s="16" t="inlineStr">
        <is>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（一）醫療費用：190,948元
原告主張因被告過失傷害行為受有雙側橈骨遠端閉鎖性骨折、左側尺骨莖突閉鎖性骨折、三角纖維軟骨複合體損傷、雙側手腕扭挫傷、左手挫傷左側閉鎖性骨折等傷害。明。
（二）看護費用：30,000元
而原告因事故後1個月內生活無法自理需專人看護，故由其配偶即訴外人甲○○請假1個月在家照顧，以甲○○1個月收入30,000元計算，爰請求看護費用30,000元。
（三）每日看護費用：1,000元
且倘若如此計算下，每日看護費用僅1,000元（計算式：30,000/30＝1,000），應未超出在現行看護費用行情2,000元。
（四）交通費用：10,200元
原告再主張其因本件事故受傷，而衛生福利部臺北醫院診斷證明書載明有回診之必要性，因此自住家往返醫院診療，共回診34次，每次搭乘計程車車資為150元，計支出交通費用10,200元。
（五）工作損失：350,000元
原告並且原告於本件事故發生前任職於上揚後勤服務有限公司，每月薪資約50,000元，因本件事故受傷至骨科治療，經骨科建議休養5個月，復經復健科建議再休養2個月，共計7個月無法工作，受有不能工作損失350,000元
（六）慰撫金：500,000元
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28,000元，名下無財產，請求法院審酌雙方身分資力與加害程度後，命被告賠償慰撫金500,000元。
（七）綜上所陳，被告應連帶賠償原告之損害，包含醫療費用190,948元、看護費用30,000元、交通費用10,200元、工作損失350,000元、慰撫金500,000元，總計1,082,148元，並自起訴狀副本送達翌日起至清償日止，按年息5%計算之利息。</t>
        </is>
      </c>
      <c r="E34" s="19" t="inlineStr">
        <is>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如、游○強、林○芬因上開侵權行為，致原告受有下列損害，依前揭規定，被告應負連帶損害賠償責任：
（一）醫療費用：190,948元
原告因本次事故受有雙側橈骨遠端閉鎖性骨折、左側尺骨莖突閉鎖性骨折、三角纖維軟骨複合體損傷、雙側手腕扭挫傷、左手挫傷等傷害，至衛生福利部臺北醫院、長宏骨科診所就醫，支出醫療費用190,948元。
（二）看護費用：30,000元
原告因本次事故後1個月內生活無法自理需專人看護，由其配偶即訴外人甲○○請假1個月在家照顧，以甲○○1個月收入3萬元計算。
（三）交通費用：10,200元
原告自住家往返衛生福利部臺北醫院診療，共回診34次，每次搭乘計程車車資150元，計支出交通費用10,200元。
（四）工作損失：350,000元
原告任職於上揚後勤服務有限公司，每月薪資約50,000元，因本件事故受傷至骨科治療，經骨科建議休養5個月，復經復健科建議再休養2個月，共計7個月無法工作，受有工作損失350,000元。
（五）慰撫金：500,000元
原告因本次事故受有雙側橈骨遠端閉鎖性骨折、左側尺骨莖突閉鎖性骨折、三角纖維軟骨複合體損傷、雙側手腕扭挫傷、左手挫傷等傷害，且於出院後仍須持續回診復健，又因傷無法工作，並需他人從旁協助日常生活，造成精神上受有一定程度之痛苦。考量原告為大專畢業，事故當時擔任房務員，目前為清潔人員，月薪約28,000元，名下無財產，爰請求慰撫金500,000元。
（六）綜上所陳，被告應連帶賠償原告之損害，包含醫療費用190,948元、看護費用30,000元、交通費用10,200元、工作損失350,000元及慰撫金500,000元，總計1,081,148元。</t>
        </is>
      </c>
      <c r="F34" s="9" t="n"/>
    </row>
    <row r="35" ht="30" customHeight="1">
      <c r="A35" s="38" t="n"/>
      <c r="B35" s="23" t="n">
        <v>34</v>
      </c>
      <c r="C35" s="25" t="inlineStr">
        <is>
          <t>一、事故發生緣由:
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二、原告受傷情形:
此次車禍造成原告因而受有雙下肢大片撕脫傷、骨盆骨折等傷害。
三、請求賠償的事實根據: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is>
      </c>
      <c r="D35" s="16" t="inlineStr">
        <is>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（一）醫療費用：23,877元
原告主張其因本件車禍事故受傷。
（二）看護費用：118,150元
按奇美醫院診斷證明書記載原告需專人照顧8周。除此之外，原告在112年7月9日下半日至112年7月25日上半日、112年8月3日至112年9月7日，均由親屬提供看護，費用分別為23,800元、78,400元。
（三）增加生活上必要費用：2,901元
原告因本件車禍事故受傷，購買各式醫療耗材，支出2,901元。
（四）工作損失：316,800元
原告於本件車禍事故發生前，從事家庭代工工作，每月收入以最低基本工資26,400元計算，因本件車禍事故受傷，於112年6月23日至113年6月24日，共1年又2日不能工作，並以1年計，請求316,800元。
（五）精神慰撫金：200,000元
原告為國中畢業，於本件車禍事故發生前即已退休，每月領取勞保退休金12,000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200,000元，以資慰藉。
（六）綜上所陳，被告應連帶賠償原告之損害，包含醫療費用23,877元、看護費用118,150元、增加生活上必要費用2,901元、工作損失316,800元、精神慰撫金200,000元，總計661,728元，並自起訴狀副本送達翌日起至清償日止，按年息5%計算之利息。</t>
        </is>
      </c>
      <c r="E35" s="18" t="inlineStr">
        <is>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（一）醫療費用：23,877元
原告因本次事故受有雙下肢大片撕脫傷、骨盆骨折等傷害，就醫急診、住院及門診治療期間，支出醫療費用23,877元。
（二）看護費用：132,650元
1. 112年6月25日至112年7月8日之上半日，委請慈惠聘雇照顧服務員，支出18,900元。
2. 112年7月26日下半日至112年8月2日，委請群富旺看護中心看護，支出11,550元。
3. 112年7月9日至112年7月25日之上半日、112年8月3日至112年9月7日，由親屬提供看護，費用分別為23,800元、78,400元。
（三）醫療耗材費用：2,901元
原告因本次事故受傷，購買各式醫療耗材，支出2,901元。
（四）工作損失：316,800元
原告於本次事故發生前從事家庭代工工作，每月收入以最低基本工資26,400元計算，因本次事故受傷，於112年6月23日至113年6月24日，共1年又2日不能工作，請求1年之工作損失316,800元。
（五）慰撫金：200,000元
原告因本次事故受有雙下肢大片撕脫傷、骨盆骨折等傷勢，經急診、住院接受雙下肢原位植皮重建手術，及多次門診治療，且於受傷治療及休養期間，應對於其行動、生活均造成諸多不便，精神上受有相當痛苦，爰請求慰撫金200,000元。
（六）綜上所陳，被告應連帶賠償原告之損害，包含醫療費用23,877元、看護費用132,650元、醫療耗材費用2,901元、工作損失316,800元及慰撫金200,000元，總計676,228元。</t>
        </is>
      </c>
      <c r="F35" s="9" t="n"/>
    </row>
    <row r="36" ht="30" customHeight="1">
      <c r="A36" s="38" t="n"/>
      <c r="B36" s="23" t="n">
        <v>35</v>
      </c>
      <c r="C36" s="25" t="inlineStr">
        <is>
          <t>一、事故發生緣由:
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二、原告受傷情形:
原告因本件事故受有右側第8-12肋骨骨折併血胸、肝臟撕裂傷、右腎臟撕裂傷、腰椎第3-5肋骨骨折、骨盆骨折、右腳脛腓骨開放骨折、左側肩胛骨骨折、左肱骨骨折等傷害。
三、請求賠償的事實根據:
原告主張其因本件車禍受傷支出醫療費用287,957元，並有衛生福利部豐原醫院（下稱豐原醫院）以及中國醫藥大學附設醫院（下稱中國附醫）之醫療費用收據、統一發票（二聯式）收據及統一發票為證。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原告所受傷害嚴重，並在中國附醫開刀並住院長達27天，原告身體多處骨折，期間生活無法自理，只能仰賴紙尿褲、濕紙巾等用品來幫助日常生活所需；住院開刀及後續復健時，也依照醫院指示，購買負壓海綿、氣管固定器、血氧機、鼻導管、加濕瓶、租賃氧氣製造機、呼吸訓練球、鼻管、電動床、高背輪椅、拐杖等用具以進行術後的照護、復健，包含肺部的呼吸訓練、下肢的行走練習等等；而原告右下肢遭被告撞擊造成開放性骨折，雖外傷已痊癒，但明顯可看出與正常之左小腿有明顯差異，往後一輩子均需由枴杖輔助才可緩步行走，有照片可證，是原告因系爭車禍受傷購買住院耗材、負壓海綿、尿布等47項醫療用品，均係因本件車禍事故而額外產生生活上必要支出，共76,963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萬元。</t>
        </is>
      </c>
      <c r="D36" s="16" t="inlineStr">
        <is>
          <t>一、緣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（一）醫療費用：287,957元
原告主張其因本件車禍受傷支出醫療費用287,957元。
（二）看護費用：21,600元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（三）住院耗材及醫療用品費用：76,963元
原告因本次事故受有住院耗材及醫療用品費用76,963元。
（四）交通費用：3,224元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（五）工作損失：54,322元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500,000元。
（六）綜上所陳，被告應連帶賠償原告之損害，包含醫療費用287,957元、看護費用21,600元、住院耗材及醫療用品費用76,963元、交通費用3,224元、工作損失54,322元，總計444,066元，並自起訴狀副本送達翌日起至清償日止，按年息5%計算之利息。</t>
        </is>
      </c>
      <c r="E36" s="18" t="inlineStr">
        <is>
          <t>一、緣被告甲○○於111年1月2日上午5時59分許，無駕駛執照騎乘車牌號碼000-0000號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之行人穿越道標線，騎乘上開機車撞擊行進中之原告，致原告受有右側第8-12肋骨骨折併血胸、肝臟撕裂傷、右腎臟撕裂傷、腰椎第3-5肋骨骨折、骨盆骨折、右腳脛腓骨開放骨折、左側肩胛骨骨折、左肱骨骨折等傷害。被告甲○○係未滿18歲之未成年人，被告乙○○為被告甲○○之父親。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（一）醫療費用：287,957元
原告因本次事故受傷，於衛生福利部豐原醫院及中國醫藥大學附設醫院就醫，支出醫療費用287,957元。
（二）看護費用：453,600元
1. 住院期間看護費用：21,600元
2. 出院後看護費用：432,000元
原告因傷勢嚴重，於住院期間及出院後均需專人照護，以每日2,400元計算，共計6個月。
（三）醫療用品費用：76,963元
原告因傷勢嚴重，於住院及復健期間購買負壓海綿、氣管固定器、血氧機、鼻導管、加濕瓶、租賃氧氣製造機、呼吸訓練球、鼻管、電動床、高背輪椅、拐杖等47項醫療用品，共計76,963元。
（四）交通費用：3,224元
原告因傷勢不良於行，須搭乘交通工具至中國附醫回診及復健26次，每次往返需支付124元，共計3,224元。
（五）慰撫金：500,000元
原告因本次事故受有多處骨折等嚴重傷害，身體及精神均受有痛苦，且因年齡77歲，擔任家管員，110年所得為54,322元，無財產，爰請求慰撫金500,000元。
（六）綜上所陳，被告應連帶賠償原告之損害，包含醫療費用287,957元、看護費用453,600元、醫療用品費用76,963元、交通費用3,224元及慰撫金500,000元，總計1,321,744元。</t>
        </is>
      </c>
      <c r="F36" s="9" t="n"/>
    </row>
    <row r="37" ht="30" customHeight="1" thickBot="1">
      <c r="A37" s="44" t="n"/>
      <c r="B37" s="23" t="n">
        <v>36</v>
      </c>
      <c r="C37" s="25" t="inlineStr">
        <is>
          <t>一、事故發生緣由:
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二、原告受傷情形:
原告因本件事故受有左側肩膀挫傷、左側前胸壁挫傷、下背和骨盆挫傷及第4、5腰椎第1薦椎椎間盤破裂伴有神經根壓迫等傷害。
三、請求賠償的事實根據:
原告主張其因丁○○上開過失行為，支出醫療及就診交通費用合計25萬5830元，並有聯新國際醫院（下稱聯新醫院）診斷證明書為證。另按親屬間之看護應比照一般看護情形，認被害人受有相當於看護費之損害，命加害人賠償；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萬元。原告主張自111年7月13日本件事故發生後，陸續因急診、診診追蹤或接受手術想任職公司請假，且所受傷勢按醫囑需休養3個月，是在111年7月13日至111年11月30日共4.5月期間無法工作，請假在家休養，無法工作，以111年度每月基本工資2萬5250元計算，受有之薪資損失為11萬3625元。查丁○○因前開過失行為致原告受有左側肩膀挫傷、左側前胸壁挫傷、下背和骨盆挫傷及第4、5腰椎第1薦椎椎間盤破裂伴有神經根壓迫之傷害，則原告受有身體及精神痛苦，堪可認定，是原告請求被告賠償慰撫金30萬元。</t>
        </is>
      </c>
      <c r="D37" s="16" t="inlineStr">
        <is>
          <t>一、緣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（一）醫療及就診交通費用：255,830元
原告因本次事故受有醫療及就診交通費用255,830元。
（二）工作損失：113,625元
原告主張自111年7月13日本件事故發生後，陸續因急診、診診追蹤或接受手術想任職公司請假，且所受傷勢按醫囑需休養3個月，是在111年7月13日至111年11月30日共4.5月期間無法工作，請假在家休養，無法工作，以111年度每月基本工資25,250元計算，受有之薪資損失為113,625元。
（三）綜上所陳，被告應連帶賠償原告之損害，包含醫療及就診交通費用255,830元、工作損失113,625元，總計369,455元，並自起訴狀副本送達翌日起至清償日止，按年息5%計算之利息。</t>
        </is>
      </c>
      <c r="E37" s="18" t="inlineStr">
        <is>
          <t>一、緣被告丁○○明知未領有機車駕駛執照，竟於民國111年7月13日6時18分許，騎乘被告乙○○所有車牌號碼000-000號普通重型機車，行經桃園市○○區○○路○○○路○○○○號誌管制之交岔路口超速闖紅燈，適逢原告甲○○○騎乘車牌號000-0000號普通重型機車依綠燈號誌指示駛入上開交岔路口，因閃避不及，導致兩車發生碰撞。查本件事故發生時，被告丁○○尚未成年，其父即被告丙○○疏於法定代理人之監督責任，其母即被告乙○○為肇事車輛所有人，明知丁○○無機車駕駛執照仍除出藉肇事機車允許其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乙○○、丙○○因上開侵權行為，致原告受有下列損害，依前揭規定，被告應負連帶損害賠償責任：
（一）醫療及就診交通費用：255,830元
原告因本次事故受有左側肩膀挫傷、左側前胸壁挫傷、下背和骨盆挫傷及第4、5腰椎第1薦椎椎間盤破裂伴有神經根壓迫等傷害，支出醫療及就診交通費用255,830元，有聯新國際醫院診斷證明書可稽。
（二）看護費用：270,000元
依聯新醫院於110年3月18日出具之診斷證明書記載：「……，於民國111年7月13日06：44入急診就醫治療，……於民國111年8月25日出院，共住院3日，09月01日門診追蹤治療，宜休養3個月，須專人照護3個月」，原告自111年7月13日起至111年8月25日止住院治療，其後至111年11月30日止共計4.5月有看護之必要，以每日2,000元計算，共計270,000元。
（三）工作損失：113,625元
原告因本次事故受傷，自111年7月13日至111年11月30日共4.5月期間無法工作，以111年度每月基本工資25,250元計算，受有工作損失113,625元。
（四）慰撫金：300,000元
原告因本次事故受有左側肩膀挫傷、左側前胸壁挫傷、下背和骨盆挫傷及第4、5腰椎第1薦椎椎間盤破裂伴有神經根壓迫等傷害，造成身體及精神上之痛苦，爰請求慰撫金300,000元。
（五）綜上所陳，被告應連帶賠償原告之損害，包含醫療及就診交通費用255,830元、看護費用270,000元、工作損失113,625元及慰撫金300,000元，總計939,455元。</t>
        </is>
      </c>
      <c r="F37" s="9" t="n"/>
    </row>
    <row r="38" ht="30" customHeight="1">
      <c r="A38" s="45" t="inlineStr">
        <is>
          <t>§188僱用人案型</t>
        </is>
      </c>
      <c r="B38" s="23" t="n">
        <v>37</v>
      </c>
      <c r="C38" s="25" t="inlineStr">
        <is>
          <t>一、事故發生緣由：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二、原告受傷情形：
原告因此受有肢體鈍挫傷併右側橈骨遠端閉鎖性骨折及右側股骨開放性粉碎性骨折之傷害。
三、請求賠償的事實根據：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is>
      </c>
      <c r="D38" s="16" t="inlineStr">
        <is>
          <t>一、緣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
（一）綜上所陳，被告應連帶賠償原告之損害，包含醫療費用182,690元、看護費用246,000元、交通費用10,380元、醫療用品費用4,464元、無法工作損失485,000元、精神慰撫金1,559,447元，總計2,487,981元，並自起訴狀副本送達翌日起至清償日止，按年息5%計算之利息。</t>
        </is>
      </c>
      <c r="E38" s="18" t="inlineStr">
        <is>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原告因本次事故受傷，於南門醫院、雲林基督教醫院就醫治療，支出醫療費用共計182,690元。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因本次事故受傷，依雲林基督教醫院及南門醫院診斷書記載，需休養一年，致無法工作一年，依原告108年度薪資所得合計485,922元計算，受有工作損失485,000元。
（六）慰撫金：1,559,447元
原告因本次事故受有重傷，且需多次手術治療，造成生活上極大不便及身心痛苦。考量原告所受傷勢非輕、需長期治療及休養，且對其日常生活造成重大影響，爰請求慰撫金1,559,447元。
（七）綜上所陳，被告應連帶賠償原告之損害，包含醫療費用182,690元、看護費用246,000元、交通費用10,380元、醫療用品費用4,464元、工作損失485,000元及慰撫金1,559,447元，總計2,477,981元。</t>
        </is>
      </c>
      <c r="F38" s="9" t="n"/>
    </row>
    <row r="39" ht="30" customHeight="1">
      <c r="A39" s="38" t="n"/>
      <c r="B39" s="23" t="n">
        <v>38</v>
      </c>
      <c r="C39" s="25" t="inlineStr">
        <is>
          <t>一、事故發生緣由:
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二、原告受傷情形:
原告因本件事故受有腦震盪、頸椎挫傷、頸椎韌帶扭傷、疑似頸椎損傷合併揮鞭樣損傷，並因此使原告受有慢性創傷後壓力症候群及歸類於他處其他疾病所致之失智症，伴有行為障礙等傷害(以下合稱系爭傷害)。
三、請求賠償的事實根據:
1.醫療費用4萬3,795元：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萬3,795元。
2.交通費9,600元：
原告因系爭傷害無法開車，自110年5月14日至111年8月2日就醫而花費交通費9,600元。
3.醫療器材支出6,000元：
原告因步態不穩，行動需要輔助，增加支出購買輪椅、助行器共計6,000元。
4.減少勞動損失300萬3,560元：
原告經慈濟醫院神經外科診斷，語文智商及作業智商分別落於邊緣及非常低的程度，終身僅能從事輕便工作，勞工保險傷病診斷書亦診斷伊無法恢復並從事一般性工作，而身心醫學科診斷，失能程度符合「中樞神經系統機能遺存顯著障害，終身無工作能力」，並已領取身心障礙手冊。而伊於110年5月薪資為45,800元，自110年5月12日車禍發生時起至116年8月20日伊年滿65歲止，尚有6年3月8日，依霍夫曼式計算法扣除中間利息(首期給付不扣除中間利息，下同)，核計減少勞動損失之金額為300萬3,560元。
5.看護費489萬5,591元：
於111年8月2日經身心醫學科診斷「確定認知功能有明顯缺陷，無法從事輕便工作，並且需要他人協助照料日常生活」，111年9月28日病症暨失能診斷證明書亦載「被看護者(即原告)年齡未滿80歲有全日照護需要」，因而有委請看護之必要。伊於00年0月00日生，自111年8月2日診斷確定需看護時為60歲，參照109年簡易生命表，平均餘命尚有24.81年，以基本薪資25,250元計算，依霍夫曼式計算法扣除中間利息，核計看護費為489萬5,591元。
6.車輛維修費用4萬4,000元：
原告汽車因本件車禍受損，共支出維修費用4萬4,000元。
7.精神慰撫金100萬元：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萬元。</t>
        </is>
      </c>
      <c r="D39" s="16" t="inlineStr">
        <is>
          <t>一、緣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（一）醫療費用：43,795元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43,795元
（二）交通費：9,600元
原告因系爭傷害無法開車，自110年5月14日至111年8月2日就醫而花費交通費9,600元。
（三）醫療器材支出：6,000元
原告因本次事故受有醫療器材支出6,000元。
（四）減少勞動損失：3,003,560元
原告而伊於110年5月薪資為45,800元，自110年5月12日車禍發生時起至116年8月20日伊年滿65歲止，尚有6年3月8日，依霍夫曼式計算法扣除中間利息(首期給付不扣除中間利息，下同)，核計減少勞動損失之金額為3,003,560元
（五）看護費：4,895,591元
原告伊於00年0月00日生，自111年8月2日診斷確定需看護時為60歲，參照109年簡易生命表，平均餘命尚有24.81年，以基本薪資25,250元計算，依霍夫曼式計算法扣除中間利息，核計看護費為4,895,591元
（六）車輛維修費用：44,000元
原告汽車因本件車禍受損，共支出維修費用44,000元。
（七）精神慰撫金：1,000,000元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1,000,000元。
（八）綜上所陳，被告應連帶賠償原告之損害，包含醫療費用43,795元、交通費9,600元、醫療器材支出6,000元、減少勞動損失3,003,560元、看護費4,895,591元、車輛維修費用44,000元、精神慰撫金1,000,000元，總計9,002,546元，並自起訴狀副本送達翌日起至清償日止，按年息5%計算之利息。</t>
        </is>
      </c>
      <c r="E39" s="19" t="inlineStr">
        <is>
          <t>一、緣被告王煜翔於110年5月12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查王煜翔肇事時係受雇於被告張治國即高銘瓦斯行（下稱張治國），並駕駛車斗上噴塗有「高銘瓦斯行」等字之被告汽車，故張治國亦應與王煜翔就本件車禍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煜翔、張治國因上開侵權行為，致原告受有下列損害，依前揭規定，被告應負連帶損害賠償責任：
（一）醫療費用：43,795元
原告因本次事故受有腦震盪、頸椎挫傷、頸椎韌帶扭傷、疑似頸椎損傷合併揮鞭樣損傷，並因此使原告受有慢性創傷後壓力症候群及歸類於他處其他疾病所致之失智症，伴有行為障礙等傷害，自110年5月12日至111年8月2日共支出醫藥費43,795元。
（二）交通費用：9,600元
原告因系爭傷害無法開車，自110年5月14日至111年8月2日就醫而支出交通費9,600元。
（三）醫療器材費用：6,000元
原告因步態不穩，行動需要輔助，購買輪椅、助行器共計6,000元。
（四）減少勞動損失：3,003,560元
原告於110年5月薪資為45,800元，自110年5月12日車禍發生時起至116年8月20日年滿65歲止，尚有6年3月8日，依霍夫曼式計算法扣除中間利息，核計減少勞動損失之金額為3,003,560元。
（五）看護費用：4,895,591元
原告於111年8月2日經身心醫學科診斷確定認知功能有明顯缺陷，無法從事輕便工作，並且需要他人協助照料日常生活。原告於111年8月2日診斷確定需看護時為60歲，參照109年簡易生命表，平均餘命尚有24.81年，以基本薪資25,250元計算，依霍夫曼式計算法扣除中間利息，核計看護費為4,895,591元。
（六）車輛維修費用：44,000元
原告汽車因本次事故受損，支出維修費用44,000元。
（七）慰撫金：1,000,000元
原告於00年0月0日生，教育程度為二專，從事服務業，家庭經濟狀況為勉持，此次事故已影響其智力及工作能力，需坐輪椅，日常生活相當不便，身心遭受極大苦痛，爰請求慰撫金1,000,000元。
（八）綜上所陳，被告應連帶賠償原告之損害，包含醫療費用43,795元、交通費用9,600元、醫療器材費用6,000元、減少勞動損失3,003,560元、看護費用4,895,591元、車輛維修費用44,000元及慰撫金1,000,000元，總計9,002,546元。</t>
        </is>
      </c>
      <c r="F39" s="10" t="n"/>
    </row>
    <row r="40" ht="30" customHeight="1">
      <c r="A40" s="38" t="n"/>
      <c r="B40" s="23" t="n">
        <v>39</v>
      </c>
      <c r="C40" s="25" t="inlineStr">
        <is>
          <t>一、事故發生緣由:
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二、原告受傷情形:
原告受有右大腿15公分撕裂傷（下稱系爭體傷）、急性創傷後壓力疾患及伴有混合憂鬱情緒及焦慮之適應疾患（下稱系爭心理疾患，與系爭體傷合稱系爭傷害）等傷害。
三、請求賠償的事實根據:
原告主張就系爭體傷支出之醫療費用2,185元部分，業據提出國泰綜合醫院（下稱國泰醫院）診斷證明書、醫療費用單據作為證據。另外關於系爭心理疾患部分，原告係於系爭事故發生後至馬偕紀念醫院精神科就診，並確診系爭心理疾患，治療心理疾患共花費2萬1,670元。原告另主張其因系爭體傷所生傷口疤痕紅腫發癢之後遺症（下稱系爭後遺症）支出醫療費用1,520元，並提出馬偕紀念醫院診斷證明書、醫療費用單據作為證據。從而，原告得向王俊傑請求之已支出醫療費用總額為2萬5,375元。
原告另主張其因系爭後遺症後續治療之費用、以及將來除疤費用預計為20萬元，並提出馬偕紀念醫院診斷證明書作為證據。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萬5,247元計算，原告因系爭體傷受有2週不能工作之損失金額為2萬2,624元（計算式：45,247元÷2≒22,624元）。
原告主張其所有之A車因系爭事故毀損，支出修理費1萬7,660元，並可提出估價單及收據作為證據。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萬7,340元。</t>
        </is>
      </c>
      <c r="D40" s="16" t="inlineStr">
        <is>
          <t>一、緣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（一）醫療費用：25,375元
原告從而，原告得向王俊傑請求之已支出醫療費用總額為25,375元
（二）未來除疤費用：200,000元
原告另主張其因系爭後遺症後續治療之費用、以及將來除疤費用預計為200,000元。有相關證明文件可資佐證。
（三）工作損失：22,624元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45,247元計算，原告因系爭體傷受有2週不能工作之損失金額為22,624元（計算式：45,247元÷2≒22,624元）。
（四）車輛修理費用：17,660元
原告主張其所有之A車因系爭事故毀損。有相關證明文件可資佐證。
（五）精神慰撫金：397,340元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397,340元。
（六）綜上所陳，被告應連帶賠償原告之損害，包含醫療費用25,375元、未來除疤費用200,000元、工作損失22,624元、車輛修理費用17,660元、精神慰撫金397,340元，總計662,999元，並自起訴狀副本送達翌日起至清償日止，按年息5%計算之利息。</t>
        </is>
      </c>
      <c r="E40" s="19" t="inlineStr">
        <is>
          <t>一、緣原告於民國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又王俊傑受僱於王俊楠即楠德車業工作室，而B車車身上漆有「TMS」字樣（即全鋒公司之英文名稱縮寫），且係因執行拖吊業務而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俊傑、王俊楠因上開侵權行為，致原告受有下列損害，依前揭規定，被告應負連帶損害賠償責任：
（一）醫療費用：25,375元
1. 系爭體傷醫療費用：2,185元
2. 系爭心理疾患治療費用：21,670元
3. 系爭後遺症醫療費用：1,520元
（二）未來醫療費用：200,000元
原告因系爭後遺症需進行後續治療及除疤手術，預計支出費用200,000元。
（三）工作損失：22,624元
原告因系爭體傷接受縫合手術治療，需休養2週，以原告平均月薪資45,247元計算，受有22,624元之工作損失。
（四）車輛修理費用：17,660元
原告所有之A車因系爭事故毀損，支出修理費17,660元。
（五）慰撫金：397,340元
原告因系爭事故受有右大腿15公分撕裂傷、急性創傷後壓力疾患及伴有混合憂鬱情緒及焦慮之適應疾患等傷害，且因傷害影響工作，需持續進行除疤治療，造成身體及精神上之痛苦，爰請求慰撫金397,340元。
（六）綜上所陳，被告應連帶賠償原告之損害，包含醫療費用25,375元、未來醫療費用200,000元、工作損失22,624元、車輛修理費用17,660元及慰撫金397,340元，總計663,999元。</t>
        </is>
      </c>
      <c r="F40" s="9" t="n"/>
    </row>
    <row r="41" ht="30" customHeight="1">
      <c r="A41" s="38" t="n"/>
      <c r="B41" s="23" t="n">
        <v>40</v>
      </c>
      <c r="C41" s="25" t="inlineStr">
        <is>
          <t>一、事故發生緣由: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二、原告受傷情形:
原告因為本件交通事故受有臉部多處挫傷、左上門牙脫落、右胸部挫傷、雙膝挫傷、左第五腳趾挫傷、頭部挫傷合併腦震盪之傷害。
三、請求賠償的事實根據: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另外原告因為本件交通事故受傷而不良於行，因此回診時需要乘坐計程車，因而增加生活上需要（交通費用），依Google map顯示，原告居所至台大雲林分院斗六院區距離為8.7公里，共計回診11次；原告居所至台大雲林分院虎尾院區距離為19.4公里，回診1次；原告居所至翁牙醫診所距離為71.1公里，共計回診13次。依照雲林縣政府所公告之計程車費率「計程費率:1.25公里100元、續程費率:每250公尺5元」作為計算標準，從原告居所來回台大雲林分院斗六院區共6,400元、來回台大雲林分院虎尾院區共920元、來回翁牙醫診所共44,730元。此外原告因本件交通事故造成牙齒脫落而需施作齒列矯正，且口齒不清，而無法外出招攬保險3個月，每月57,000元，工作損失費用共計171,000元。系爭機車因本件交通事故受損，修復費用為24,590元（計算式: 14,790+9,800=24,590），並且車主張吳錦治已將損害賠償請求權讓與原告；本件交通事故致原告隨身所攜帶之蘋果筆記型電腦之顯示器外觀機殼、鍵盤模組外觀機殼及下機殼底蓋機殼變形損害，支出修理費用26,200元。原告是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is>
      </c>
      <c r="D41" s="16" t="inlineStr">
        <is>
          <t>一、緣被告乙○○○受僱於被告甲○○○○○○○○○○（下稱小博士幼兒園）從事駕駛工作，於民國110年3月29日上午7時50分許，駕駛車牌號碼0000-00號自小客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（一）醫療費用：33,112元
原告因本件交通事故至國立臺灣大學醫學院附設醫院雲林分院（下稱台大雲林分院）治療，支出醫療費用33,112元。
（二）牙齒醫療費用：172,200元
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
（三）交通費用：6,400元+920元+44,730元=52,050元
（四）工作損失：171,000元
原告是國泰人壽保險股份有限公司員工，每月收入為57,000元，
（五）精神慰撫金：250,000元
又因本件交通事故顏面受損、牙齒脫落，日後亦須為齒列矯正，對於身為女性而言，所受之精神傷害實無可比擬，且相較於原告，被告二人之經濟狀況為強勢，考量上述情形，原告請求精神慰撫金250,000元。
（六）綜上所陳，被告應連帶賠償原告之損害，包含醫療費用33,112元、牙齒醫療費用172,200元、交通費用52,050元、工作損失171,000元、精神慰撫金250,000元，總計632,712元，並自起訴狀副本送達翌日起至清償日止，按年息5%計算之利息。</t>
        </is>
      </c>
      <c r="E41" s="18" t="inlineStr">
        <is>
          <t>一、緣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致原告閃避不及，兩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甲○○○○○○○○○○因上開侵權行為，致原告受有下列損害，依前揭規定，被告應負連帶損害賠償責任：
（一）醫療費用：205,312元
1. 台大雲林分院醫療費用：33,112元
2. 翁牙醫診所牙齒醫療費用：172,200元
（二）交通費用：51,050元
1. 往返台大雲林分院斗六院區：6,400元
2. 往返台大雲林分院虎尾院區：920元
3. 往返翁牙醫診所：44,730元
（三）工作損失：171,000元
原告因本件交通事故造成牙齒脫落而需施作齒列矯正，且口齒不清，無法外出招攬保險3個月，每月收入57,000元，共計工作損失171,000元。
（四）車輛修復費用：24,590元
系爭機車因本件交通事故受損，修復費用為24,590元，車主張吳錦治已將損害賠償請求權讓與原告。
（五）筆記型電腦修理費用：26,200元
原告隨身所攜帶之蘋果筆記型電腦因本件交通事故受損，支出修理費用26,200元。
（六）慰撫金：250,000元
原告係國泰人壽保險股份有限公司員工，每月收入57,000元。因本件交通事故造成臉部多處挫傷、左上門牙脫落、右胸部挫傷、雙膝挫傷、左第五腳趾挫傷、頭部挫傷合併腦震盪之傷害，且日後仍須為齒列矯正，對於身為女性而言，所受之精神傷害實無可比擬，爰請求慰撫金250,000元。
（七）綜上所陳，被告應連帶賠償原告之損害，包含醫療費用205,312元、交通費用51,050元、工作損失171,000元、車輛修復費用24,590元、筆記型電腦修理費用26,200元及慰撫金250,000元，總計728,152元。</t>
        </is>
      </c>
      <c r="F41" s="9" t="n"/>
    </row>
    <row r="42" ht="30" customHeight="1">
      <c r="A42" s="38" t="n"/>
      <c r="B42" s="23" t="n">
        <v>41</v>
      </c>
      <c r="C42" s="25" t="inlineStr">
        <is>
          <t>一、事故發生緣由:
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二、原告受傷情形:
原告因為系爭事故受有腰薦椎和骨盆未明示部位閉鎖性骨折、左側恥骨閉鎖性骨折、左側手肘挫傷之傷害。
三、請求賠償的事實根據: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原告因系爭事故所受傷勢，受有回診治療來回共35趟之交通費用損失16,975元，有大都會衛星車隊之免用統一發票收據可佐證。
（五）其他費用損失14,673元
原告因系爭事故受有其他費用14,637元（含醫療用品費用1,959元、價值9,578元之手錶毀損、安全帽換新費用3,100元）之損害，已提出統一發票、物品損壞照片及收據為證。
（六）系爭機車修繕費用20,750元
原告並主張其因系爭事故受有系爭機車零件修繕費用20,750元，並有估價單可證。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t>
        </is>
      </c>
      <c r="D42" s="16" t="inlineStr">
        <is>
          <t>一、緣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
（五）其他費用損失：14,673元
原告因系爭事故受有其他費用14,637元（含醫療用品費用1,959元、價值9,578元之手錶毀損、安全帽換新費用3,100元）之損害。
（六）系爭機車修繕費用：20,750元
原告（六）系爭機車修繕費用20,750元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
（十）綜上所陳，被告應連帶賠償原告之損害，包含醫療費用121,698元、後續醫美除疤預估費用17,000元、看護費用91,200元、交通費用16,975元、其他費用損失14,673元、系爭機車修繕費用20,750元、不能工作之損失96,000元、精神慰撫金500,000元，總計878,296元，並自起訴狀副本送達翌日起至清償日止，按年息5%計算之利息。</t>
        </is>
      </c>
      <c r="E42" s="19" t="inlineStr">
        <is>
          <t>一、緣被告謝斐伊係被告騰達國際人力開發股份有限公司（下稱騰達公司）之受僱人，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竟疏未注意即貿然跨越快慢車道行駛，並與原告騎乘自身所有車牌號碼000-0000號普通重型機車發生碰撞，致原告人車倒地受傷，系爭機車亦因此損壞。且事發當日，謝斐伊係代表騰達公司前往川湖科技股份有限公司辦理外籍移工文件之用印業務，故謝斐伊於系爭事故，既確實受僱於騰達公司，更係在協助騰達公司業務期間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斐伊、騰達公司因上開侵權行為，致原告受有下列損害，依前揭規定，被告應負連帶損害賠償責任：
（一）醫療費用：121,698元
原告因本次事故受有腰薦椎和骨盆未明示部位閉鎖性骨折、左側恥骨閉鎖性骨折、左側手肘挫傷之傷害，前往台南市立醫院急診、門診、住院治療，支出醫療費用121,698元。
（二）後續醫美除疤預估費用：17,000元
原告因本次事故受傷勢，經醫院治療後，因傷勢仍有明顯疤痕外觀，需前往醫美診所就醫，預估需支出費用17,000元。
（三）看護費用：91,200元
原告因本次事故受傷，住院8日及出院後1個月期間需專人24小時照料，以每日2,400元計算，共計38日，總計91,200元。
（四）交通費用：16,975元
原告因本次事故受傷，需回診治療共35趟，支出交通費用16,975元。
（五）其他費用損失：14,673元
原告因本次事故受有醫療用品費用1,959元、手錶毀損9,578元、安全帽換新費用3,100元，共計14,637元之損害。
（六）系爭機車修繕費用：20,750元
原告因本次事故導致系爭機車受損，修繕費用為20,750元。
（七）不能工作之損失：96,000元
原告因本次事故自111年9月23日至111年12月31日共100日不能工作，受有96,000元之損失。
（八）慰撫金：500,000元
原告因本次事故受有腰薦椎、骨盆、恥骨等處之傷害，且傷勢造成其日常生活之不便、困擾，爰請求慰撫金500,000元。
（九）綜上所陳，被告應連帶賠償原告之損害，包含醫療費用121,698元、後續醫美除疤預估費用17,000元、看護費用91,200元、交通費用16,975元、其他費用損失14,673元、系爭機車修繕費用20,750元、不能工作之損失96,000元及慰撫金500,000元，總計878,296元。</t>
        </is>
      </c>
      <c r="F42" s="9" t="n"/>
    </row>
    <row r="43" ht="30" customHeight="1">
      <c r="A43" s="38" t="n"/>
      <c r="B43" s="23" t="n">
        <v>42</v>
      </c>
      <c r="C43" s="25" t="inlineStr">
        <is>
          <t>一、事故發生緣由:
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二、原告受傷情形:
原告受有左側腕部三角纖維軟骨複合體撕裂、左側腕部挫傷、右側中指遠端指骨移位骨折、左側腕部遠端尺骨骨折合併橈尺骨關節半脫位等傷害（下合稱系爭傷害）。
三、請求賠償的事實根據:
原告於112年2月21日系爭事故發生當日因系爭傷勢前往臺北市立萬芳醫院（下稱萬芳醫院）就診支出2萬569元，另於馬偕醫院及耕莘醫院共支出8 萬1549元，合計10萬2118元，此有醫療單據為證。
按親屬看護時雖無現實看護費之支付，仍應認被害人受有相當於看護費之損害，得向加害人請求賠償，始符公平原則；查原告經醫師診斷住院期間及出院後1個月需專人照顧，有萬芳醫院診斷書為證，故原告自112年2月21日至同年3月底，112年5月2日至6月5日，共計72天需母親看顧，以一日2500元計算，請求看護費用一共18萬元。
原告實際所有之系爭機車因本件事故受損而須維修，故請求支出之修繕費用6550元，此有估價單為證。
原告事發前就職於刁民酸菜信義店，月薪4萬5000元，自112年2月21日起至10 月31日止，共計不能工作8月8天，受有不能工作損失37萬2000元（45000×8＋45000÷30×8），此有在職證明書及工作證明書為證。
原告經萬芳醫院鑑定，勞動能力減損8％，每月減少3600元（45000×8％），自112年11月1日起算至65歲止，共計40 年1月又11日，故受有勞動能力減損共計173萬2920元（3600元×40年×12月＋3600＋3600×11/30）。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萬元。</t>
        </is>
      </c>
      <c r="D43" s="16" t="inlineStr">
        <is>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（一）醫療費用：102,118元
原告於112年2月21日系爭事故發生當日因系爭傷勢前往臺北市立萬芳醫院（下稱萬芳醫院）就診支出20,569元，另於馬偕醫院及耕莘醫院共支出8 萬1,549元，合計102,118元，此有醫療單據為證
（二）看護費用：180,000元
原告查原告經醫師診斷住院期間及出院後1個月需專人照顧，有萬芳醫院診斷書為證，故原告自112年2月21日至同年3月底，112年5月2日至6月5日，共計72天需母親看顧，以一日2,500元計算，請求看護費用一共180,000元
（三）機車修繕費用：6,550元
原告實際所有之系爭機車因本件事故受損而須維修。
（四）工作損失：372,000元
原告事發前就職於刁民酸菜信義店，月薪45,000元，自112年2月21日起至10 月31日止，共計不能工作8月8天，受有不能工作損失372,000元（45000×8＋45000÷30×8），此有在職證明書及工作證明書為證
（五）勞動能力減損：1,732,920元
原告經萬芳醫院鑑定，勞動能力減損8％，每月減少3,600元（45000×8％），自112年11月1日起算至65歲止，共計40 年1月又11日，故受有勞動能力減損共計1,732,920元（3,600元×40年×12月＋3600＋3600×11/30）
（六）慰撫金：1,000,000元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1,000,000元。
（七）綜上所陳，被告應賠償原告之損害，包含醫療費用102,118元、看護費用180,000元、機車修繕費用6,550元、工作損失372,000元、勞動能力減損1,732,920元、慰撫金1,000,000元，總計3,393,588元，並自起訴狀副本送達翌日起至清償日止，按年息5%計算之利息。</t>
        </is>
      </c>
      <c r="E43" s="19" t="inlineStr">
        <is>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於起駛時，疏未注意，適原告騎乘車牌號碼000-0000號普通重型機車沿同路段後方行駛，被告陳俊雄不慎與原告發生碰撞。被告陳俊雄事發時為被告御馬運輸公司執行職務中，依第188條第1項本文規定，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雄、御馬運輸公司因上開侵權行為，致原告受有下列損害，依前揭規定，被告應負連帶損害賠償責任：
（一）醫療費用：102,118元
原告因本次事故受有左側腕部三角纖維軟骨複合體撕裂、左側腕部挫傷、右側中指遠端指骨移位骨折、左側腕部遠端尺骨骨折合併橈尺骨關節半脫位等傷害，於萬芳醫院、馬偕醫院及耕莘醫院就診，支出醫療費用102,118元。
（二）看護費用：180,000元
原告經醫師診斷住院期間及出院後1個月需專人照顧，自112年2月21日至同年3月底，112年5月2日至6月5日，共計72天需母親看顧，以每日2,500元計算，支出看護費用180,000元。
（三）車輛修復費用：6,550元
原告所有之機車因本次事故受損，支出修復費用6,550元。
（四）工作損失：372,000元
原告原任職於刁民酸菜信義店，月薪45,000元，自112年2月21日起至10月31日止，共計不能工作8月8天，受有工作損失372,000元。
（五）勞動能力減損：1,732,920元
原告經鑑定勞動能力減損8％，每月減少3,600元，自112年11月1日起算至65歲止，共計40年1月又11日，受有勞動能力減損1,732,920元。
（六）慰撫金：1,000,000元
原告為大學畢業，目前沒有工作，需扶養小孩。因本次事故受有上開傷害，需二度住院並長期休養治療，且勞動能力減損，精神上受有相當痛苦，爰請求慰撫金1,000,000元。
（七）綜上所陳，被告應連帶賠償原告之損害，包含醫療費用102,118元、看護費用180,000元、車輛修復費用6,550元、工作損失372,000元、勞動能力減損1,732,920元及慰撫金1,000,000元，總計3,393,588元。</t>
        </is>
      </c>
      <c r="F43" s="9" t="n"/>
    </row>
    <row r="44" ht="30" customHeight="1" thickBot="1">
      <c r="A44" s="44" t="n"/>
      <c r="B44" s="23" t="n">
        <v>43</v>
      </c>
      <c r="C44" s="25" t="inlineStr">
        <is>
          <t>一、事故發生緣由:
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二、原告受傷情形:
原告因系爭事故受有右側膝部挫傷、下背部和骨盆擦傷及左側手肘擦傷之傷害（下稱系爭傷害）。
三、請求賠償的事實根據:
原告主張因系爭事故受有系爭傷害，支出醫療費用共16,226元、醫療用品費用共2,056元及交通費用29,720元，此有診斷證明書、費用明細表及醫療費用收據影本、各筆交通費用統一發票可證。另按最高法院94年度台上字第1543號判決意旨，親屬看護時雖無現實看護費之支付，仍應認被害人受有相當於看護費之損害，得向加害人請求賠償，始符公平原則；查衛生福利部豐原醫院（下稱豐原醫院）111年12月13日診斷證明書記載「患者（即原告）於110年12月10日至急診就醫，宜休養6個月，需專人全日照護3個月」，可知原告因系爭事故受有系爭傷害，需受專人全日照護3個月，因此原告由其母親全日看護90日，以每日2,200元計算，共198,000元。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又按中國醫藥大學附設醫院（下稱中國附醫）鑑定意見書認定原告永久失能百分比為3%，故原告請求被告等賠償其自111年6月10日起至65歲強制退休即144年3月22日止依前述原告每月合理工作收入係42,500元計算，請求勞動能力減損500,000元。另查系爭機車因系爭事故受有損害，共支出零件費用10,960元、工資費用6,100元，並因系爭車禍致其所有披肩、外套、長褲、手套、鞋子、置物箱、置物箱架、側包、工具箱、鍋具及咖啡壺等物受損金額共15,150元。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t>
        </is>
      </c>
      <c r="D44" s="16" t="inlineStr">
        <is>
          <t>一、緣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（一）醫療費用及交通費用：44,402元
原告因本次事故受有醫療費用及交通費用44,402元。
（二）工作損失：255,000元
原告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
（三）勞動能力減損：500,000元
又按中國醫藥大學附設醫院（下稱中國附醫）鑑定意見書認定原告永久失能百分比為3%，故原告請求被告等賠償其自111年6月10日起至65歲強制退休即144年3月22日止依前述原告每月合理工作收入係42,500元計算，請求500,000元。
（四）機車及隨身物品損害：22,070元
另查系爭機車因系爭事故受有損害，共支出零件費用10,960元、工資費用6,100元，並因系爭車禍致其所有披肩、外套、長褲、手套、鞋子、置物箱、置物箱架、側包、工具箱、鍋具及咖啡壺等物受損金額共15,150元。
（五）精神慰撫金：500,000元
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
（六）綜上所陳，被告應連帶賠償原告之損害，包含醫療費用及交通費用44,402元、工作損失255,000元、勞動能力減損500,000元、機車及隨身物品損害22,070元、精神慰撫金500,000元，總計1,321,472元，並自起訴狀副本送達翌日起至清償日止，按年息5%計算之利息。</t>
        </is>
      </c>
      <c r="E44" s="19" t="inlineStr">
        <is>
          <t>一、緣被告乙○○於110年12月10日上午11時56分許，駕駛車牌號碼000-0000號自用小客貨車，沿臺中市豐原區豐勢路2段由豐原往東勢方向行駛，行經豐勢路2段與豐勢路2段840巷交岔路口欲右轉進入豐勢路2段840巷時，疏未注意轉彎車應讓直行車先行，竟貿然右轉，致與原告所騎乘之車牌號碼000-000號普通重型機車發生碰撞。被告乙○○所駕駛之車輛登記為三光佛具行名義之自用小貨車，客觀上足使一般人認其係受三光佛具行選任、指揮及監督之人，即受雇於三光佛具行之人，並且係在執行職務中肇事，經鈞院111年度交簡字第836號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三光佛具行因上開侵權行為，致原告受有下列損害，依前揭規定，被告應負連帶損害賠償責任：
（一）醫療費用：16,226元
原告因本次事故受有右側膝部挫傷、下背部和骨盆擦傷及左側手肘擦傷之傷害，支出醫療費用16,226元。
（二）醫療用品費用：2,056元
原告因治療上開傷勢，支出醫療用品費用2,056元。
（三）交通費用：29,720元
原告因本次事故支出交通費用29,720元。
（四）看護費用：198,000元
依衛生福利部豐原醫院111年12月13日診斷證明書記載，原告需受專人全日照護3個月，以每日2,200元計算，共90日，總計198,000元。
（五）工作損失：255,000元
原告於事故發生時任職於何時旅行社有限公司擔任領隊從業人員，每月平均薪資42,500元，因本次事故需休養6個月，受有工作收入損失255,000元。
（六）勞動能力減損：500,000元
依中國醫藥大學附設醫院鑑定意見書認定，原告永久失能百分比為3%，自111年6月10日起至65歲強制退休即144年3月22日止，依原告每月合理工作收入42,500元計算，受有勞動能力減損之損害為500,000元。
（七）車輛修復費用：17,060元
系爭機車因本次事故受損，支出零件費用10,960元、工資費用6,100元，共計17,060元。
（八）其他財物損失：15,150元
原告所有之披肩、外套、長褲、手套、鞋子、置物箱、置物箱架、側包、工具箱、鍋具及咖啡壺等物因本次事故受損，損失金額15,150元。
（九）慰撫金：500,000元
原告為大學畢業，前從事導遊，目前無業，因本次事故受有上開傷害，身體及精神均受有痛苦，且被告等事後迄未能與原告達成和解，爰請求慰撫金500,000元。
（十）綜上所陳，被告應連帶賠償原告之損害，包含醫療費用16,226元、醫療用品費用2,056元、交通費用29,720元、看護費用198,000元、工作損失255,000元、勞動能力減損500,000元、車輛修復費用17,060元、其他財物損失15,150元及慰撫金500,000元，總計1,513,212元。</t>
        </is>
      </c>
      <c r="F44" s="9" t="n"/>
    </row>
    <row r="45" ht="30" customHeight="1">
      <c r="A45" s="46" t="inlineStr">
        <is>
          <t>§190動物案型</t>
        </is>
      </c>
      <c r="B45" s="23" t="n">
        <v>44</v>
      </c>
      <c r="C45" s="25" t="inlineStr">
        <is>
          <t>一、事故發生緣由: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
三、請求賠償的事實根據: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is>
      </c>
      <c r="D45" s="16" t="inlineStr">
        <is>
          <t>一、緣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（一）醫療費用：28,170元
醫療費用28,170元。
（二）手機維修費用：5,450元
手機維修費用5,450元。
（三）安全帽和鞋子損壞費用：3,300元
安全帽和鞋子損壞費用3,300元。
（四）機車維修費用：90,000元
機車維修費用90,000元。
（五）工作損失：90,000元
因無法工作造成的損失90,000元(原告主張需要休養和復健治療3個月)。
（六）精神慰撫金：45,000元
精神慰撫金45,000元。
（七）綜上所陳，被告應賠償原告之損害，包含醫療費用28,170元、手機維修費用5,450元、安全帽和鞋子損壞費用3,300元、機車維修費用90,000元、工作損失90,000元、精神慰撫金45,000元，總計261,920元，並自起訴狀副本送達翌日起至清償日止，按年息5%計算之利息。</t>
        </is>
      </c>
      <c r="E45" s="18" t="inlineStr">
        <is>
          <t>一、緣被告於民國109年5月18日晚間8時4分許，在新北市板橋區光復橋上橋處附近遛狗時，疏未妥善控制所飼養之犬隻，致該犬掙脫狗鍊跑至馬路上。原告當時騎乘車牌號碼000-0000號重型機車，沿新北市板橋區中山路2段往台北市方向直行，因閃避不及而撞擊該犬隻，致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（一）醫療費用：28,170元
原告因本次事故受有臉部多處擦傷和挫傷、左肩、左手肘及左手部多處擦傷和挫傷、右大腿、右腳踝和右腳多處擦傷、左膝多處擦傷和挫傷、左腰擦傷和挫傷，以及雙側大腿多處瘀傷等傷害，為治療上開傷勢而就醫，支出醫療費用28,170元。
（二）財物損失：98,750元
1. 手機維修費用：5,450元
2. 安全帽及鞋子損壞費用：3,300元
3. 機車維修費用：90,000元
（三）工作損失：90,000元
原告因本次事故受傷，需休養及復健治療3個月，致無法工作而受有90,000元之損失。
（四）慰撫金：45,000元
查原告因本次事故不僅造成身體上的傷害，在精神上亦遭受極大痛苦，爰向被告請求慰撫金45,000元。
（五）綜上所陳，被告應賠償原告之損害，包含醫療費用28,170元、財物損失98,750元、工作損失90,000元及慰撫金45,000元，總計261,920元。</t>
        </is>
      </c>
      <c r="F45" s="9" t="n"/>
    </row>
    <row r="46" ht="30" customHeight="1">
      <c r="A46" s="38" t="n"/>
      <c r="B46" s="23" t="n">
        <v>45</v>
      </c>
      <c r="C46" s="25" t="inlineStr">
        <is>
          <t>一、事故發生緣由:
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二、原告受傷情形:
原告因系爭事故而受有右側脛骨外側平台骨折併前十字韌帶撕裂性骨折、右側手肘與中指、無名指、小指擦傷併挫傷、右膝與足擦傷併挫傷等傷害（下稱系爭傷害）。
三、請求賠償的事實根據:
1.醫療費用16萬9,857元：
原告主張之醫療費用，自費單人病房共計2萬3,000元；原告因本件事故受傷，導致出現憂鬱症等症狀，故原告於106年8月8日起至107年12月13日間至楠梓心寬診所就診，並支出憂鬱症醫療費用共12萬3,857元，因此原告因被告上開侵權行為總共支出醫療費用16萬9,857元。
2.已支出醫療用品費1萬4,340元、已支出看護費10萬4,800元：
原告因系爭事故而支出醫療用品費1萬4,340元以及看護費10萬4,800元。
3.後續醫療費用14萬6,000元、預估看護費2萬4,000元：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萬元整。（二）後續建議謝君至門診進行皮秒雷射治療，療程共12次、9萬6,000元整。」根據上述診斷書，原告請求後續除疤醫療費用14萬6,000元，以及手術後續全日照顧的看護費2週費用2萬4,000元，且此後續費用平均每日看護費尚未超過目前行情的每日2,000元，應屬於合理範圍。
4.增加生活費負擔2,010元：
原告因本件傷勢嚴重，應有搭乘計程車就醫之必要，故請求就醫時搭乘計程車費用1,730元及原告配偶往返醫探親支出的停車費280元。
5.減少勞動能力損失46萬8,202元：
原告主張經高醫鑑定後，認為原告減損勞動能力百分比為10％，以系爭事故時即106年4月19日之法定基本工資2萬1,009元計算，自106年4月19日至原告65歲退休，還有29年10月又9日之勞動能力，依霍夫曼式計算法扣除中間利息（首期給付不扣除中間利息）核計其金額為46萬8,202元，因此總共勞動能力減損為46萬8,202元。
6.精神慰撫金80萬元：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萬元。</t>
        </is>
      </c>
      <c r="D46" s="16" t="inlineStr">
        <is>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（一）醫療費用：169,857元
原告因本件事故受傷，導致出現憂鬱症等症狀，故原告於106年8月8日起至107年12月13日間至楠梓心寬診所就診，並支出憂鬱症醫療費用共123,857元，因此原告因被告上開侵權行為總共支出醫療費用169,857元
（二）醫療用品及看護費用：119,140元
原告因系爭事故而支出醫療用品費14,340元以及看護費104,800元。
（三）後續醫療費用：170,000元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50,000元整。（二）後續建議謝君至門診進行皮秒雷射治療，療程共12次、96,000元整。」根據上述診斷書，原告請求後續除疤醫療費用146,000元，以及手術後續全日照顧的看護費2週費用24,000元，且此後續費用平均每日看護費尚未超過目前行情的每日2,000元，應屬於合理範圍。
（四）就醫及探親交通費用：2,010元
原告因本件傷勢嚴重，應有搭乘計程車就醫之必要，故請求就醫時搭乘計程車費用1,730元及原告配偶往返醫探親支出的停車費280元。
（五）減少勞動能力損失：468,202元
原告因本次事故導致身體機能受損，減少勞動能力，受有減少勞動能力損失468,202元。
（六）精神慰撫金：800,000元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800,000元。
（九）綜上所陳，被告應賠償原告之損害，包含醫療費用169,857元、醫療用品及看護費用119,140元、後續醫療費用170,000元、就醫及探親交通費用2,010元、減少勞動能力損失468,202元、精神慰撫金800,000元，總計1,729,209元，並自起訴狀副本送達翌日起至清償日止，按年息5%計算之利息。</t>
        </is>
      </c>
      <c r="E46" s="18" t="inlineStr">
        <is>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致原告受有右側脛骨外側平台骨折併前十字韌帶撕裂性骨折、右側手肘與中指、無名指、小指擦傷併挫傷、右膝與足擦傷併挫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（一）醫療費用：316,857元
1. 已支出醫療費用：23,000元
2. 憂鬱症醫療費用：123,857元
3. 後續除疤醫療費用：146,000元
（二）醫療用品費：14,340元
（三）看護費：104,800元
1. 已支出看護費：104,800元
2. 後續看護費：24,000元（手術後需全日照顧2週，每日2,000元）
（四）交通費：2,010元
1. 就醫計程車費：1,730元
2. 停車費：280元
（五）勞動能力減損：468,202元
原告因本次事故減損勞動能力10%，自106年4月19日起至65歲退休時止，尚有29年10月又9日之勞動能力，依霍夫曼式計算法扣除中間利息，計468,202元。
（六）慰撫金：800,000元
原告為專科畢業，105年度名下無不動產，目前為展繹水電工程有限公司負責人。因本次事故受有上開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精神上受有痛苦，爰請求慰撫金800,000元。
（七）綜上所陳，被告應賠償原告之損害，包含醫療費用316,857元、醫療用品費14,340元、看護費104,800元、交通費2,010元、勞動能力減損468,202元及慰撫金800,000元，總計1,706,209元。</t>
        </is>
      </c>
      <c r="F46" s="9" t="n"/>
    </row>
    <row r="47" ht="30" customHeight="1">
      <c r="A47" s="38" t="n"/>
      <c r="B47" s="23" t="n">
        <v>46</v>
      </c>
      <c r="C47" s="25" t="inlineStr">
        <is>
          <t>一、事故發生緣由:
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二、原告受傷情形:
原告因為本件事故而受有頭部外傷併腦震盪、右肩胛骨骨折、右側第三至第七肋骨骨折併血胸、四肢多處擦挫傷及臉部擦挫傷等傷害。
三、請求賠償的事實根據:
原告主張其因本件事故受有上開身體傷害結果，共計支出醫療費用15,565元，有上開診斷證明書，及義大醫院之急診、門診收據、進安中醫診所門診費用收據作為證據。
原告因本件傷害結果，致3個月無法自由行動，需搭乘計程車前往岡山買菜，因此支出交通費用10,670元而增加生活需要，並提出計程車費收據23張作為證據。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原告主張其案發前即於安鈜企業有限公司任職，因本件事故發生於上開3 個月之休養期間無法工作而，致受有3個月無法工作之薪資損失86,001元【計算式：23,649 元×3月＝86,001元】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t>
        </is>
      </c>
      <c r="D47" s="16" t="inlineStr">
        <is>
          <t>一、緣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（一）醫療費用：15,565元
原告因本次事故受傷就醫，支出醫療費用15,565元。
（二）交通費用：10,670元
原告因本件傷害結果。有相關證明文件可資佐證。
（三）看護費用：180,000元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（四）工作損失：86,001元
原告主張其案發前即於安鈜企業有限公司任職，因本件事故發生於上開3 個月之休養期間無法工作而，致受有3個月無法工作之薪資損失86,001元【計算式：23,649 元×3月＝86,001元】
（五）精神慰撫金：150,000元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
（六）綜上所陳，被告應賠償原告之損害，包含醫療費用15,565元、交通費用10,670元、看護費用180,000元、工作損失86,001元、精神慰撫金150,000元，總計442,236元，並自起訴狀副本送達翌日起至清償日止，按年息5%計算之利息。</t>
        </is>
      </c>
      <c r="E47" s="19" t="inlineStr">
        <is>
          <t>一、緣被告在利勝企業社資源回收場（址設高雄市○○區○○○街）內飼養犬隻1隻（下稱Ａ犬），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（一）醫療費用：15,565元
原告因本次事故受有頭部外傷併腦震盪、右肩胛骨骨折、右側第三至第七肋骨骨折併血胸、四肢多處擦挫傷及臉部擦挫傷等傷害，支出醫療費用15,565元，有診斷證明書及義大醫院之急診、門診收據、進安中醫診所門診費用收據可稽。
（二）交通費用：10,670元
原告因本次事故受傷後3個月無法自由行動，需搭乘計程車前往岡山買菜，支出交通費用10,670元，有計程車費收據23張可稽。
（三）看護費用：180,000元
原告因本次事故受傷後3個月休養期間（以每月30日計算，共90日）需人全日看護，以每日看護費2,000元計算，共計180,000元。
（四）工作損失：86,001元
原告於案發前任職於安鈜企業有限公司，因本次事故受傷於上開3個月之休養期間無法工作，受有薪資損失86,001元。
（五）慰撫金：150,000元
原告因本次事故受有頭部外傷併腦震盪、右肩胛骨骨折、右側第三至第七肋骨骨折併血胸、四肢多處擦挫傷及臉部擦挫傷等傷害，於住院及休養期間勢必將對日常生活行動有嚴重影響，且因創傷後發生劇烈胸痛且喘無法正常工作之併發症，精神上受有相當之痛苦，爰請求慰撫金150,000元。
（六）綜上所陳，被告應賠償原告之損害，包含醫療費用15,565元、交通費用10,670元、看護費用180,000元、工作損失86,001元及慰撫金150,000元，總計442,236元。</t>
        </is>
      </c>
      <c r="F47" s="9" t="n"/>
    </row>
    <row r="48" ht="30" customHeight="1">
      <c r="A48" s="38" t="n"/>
      <c r="B48" s="23" t="n">
        <v>47</v>
      </c>
      <c r="C48" s="25" t="inlineStr">
        <is>
          <t>一、事故發生緣由:
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二、原告受傷情形:
原告因為本次事故受有左肱骨近端粉碎性骨折之傷害。
三、請求賠償的事實根據:
原告主張因本件事故受有左肱骨近端粉碎性骨折之傷害，醫療費用共支出1萬2,982元。且原告本於檳榔攤幫女兒顧店，每個月薪資約2萬5,000元，因本件事故受有上開傷害並接受手術治療，需休養1年而無法工作，爰請求以前開半薪計算1年之薪資損失共15萬元。另外原告因本件事故受有左肱骨近端粉碎性骨折之傷害，導致無法自行搭乘大眾運輸工具前往就醫，需搭乘計程車往返醫院治療並依醫囑門診追蹤治療，其回診14次，每次來回之車資為120元，共損失車費1,680 元。查原告為小學肄業，已57歲，名下有房地1 筆，因本件事故受有左肱骨近端粉碎性骨折之傷害，須經手術整復滿1 年後尚需二次手術拔除內固定之鋼釘，肉體及精神上自受有相當之痛苦，因此請求被告賠償慰撫金10萬元。</t>
        </is>
      </c>
      <c r="D48" s="16" t="inlineStr">
        <is>
          <t>一、緣原告於民國104年10月7日上午7時30分許騎乘車號000-000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（一）醫療費用：12,982元
原告主張因本件事故受有左肱骨近端粉碎性骨折之傷害，醫療費用共支出12,982元。
（二）薪資損失：150,000元
且原告本於檳榔攤幫女兒顧店，每個月薪資約25,000元，因本件事故受有上開傷害並接受手術治療，需休養1年而無法工作，爰請求以前開半薪計算1年之薪資損失共150,000元。
（三）交通費用：1,680元
另外原告因本件事故受有左肱骨近端粉碎性骨折之傷害，導致無法自行搭乘大眾運輸工具前往就醫，需搭乘計程車往返醫院治療並依醫囑門診追蹤治療，其回診14次，每次來回之車資為120元，共損失車費1,680元。
（四）慰撫金：100,000元
查原告為小學肄業，已57歲，名下有房地1 筆，因本件事故受有左肱骨近端粉碎性骨折之傷害，須經手術整復滿1 年後尚需二次手術拔除內固定之鋼釘，肉體及精神上自受有相當之痛苦，因此請求被告賠償慰撫金100,000元。
（五）綜上所陳，被告應賠償原告之損害，包含醫療費用12,982元、薪資損失150,000元、交通費用1,680元、慰撫金100,000元，總計264,662元，並自起訴狀副本送達翌日起至清償日止，按年息5%計算之利息。</t>
        </is>
      </c>
      <c r="E48" s="19" t="inlineStr">
        <is>
          <t>一、緣原告於民國104年10月7日上午7時30分許騎乘車號000-000號機車，沿三爪子坑路由瑞峯便橋往瑞芳國中方向行經新北市○○區○○○○路○號住宅前時，被告於新北市○○區○○○○路○號住所前洗車，本應注意不得疏縱實際監管之寵物在道路奔走，妨害交通，竟疏未注意，任由實際監管之黃色中型狗在三爪子坑路上行走，且突然穿越馬路，致原告閃避不及而撞及該狗隻，因而人車倒地受傷。被告就本件事故業經鈞院105年度易字第296號刑事判決有罪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（一）醫療費用：12,982元
原告因本次事故受有左肱骨近端粉碎性骨折之傷害，支出醫療費用12,982元。
（二）薪資損失：150,000元
原告原於檳榔攤幫女兒顧店，每月薪資約25,000元，因本次事故受傷並接受手術治療，需休養1年而無法工作，依半薪計算，損失薪資150,000元。
（三）交通費用：1,680元
原告因本次事故受傷，無法自行搭乘大眾運輸工具前往就醫，需搭乘計程車往返醫院治療並依醫囑門診追蹤治療，其回診14次，每次來回之車資為120元，共損失交通費用1,680元。
（四）慰撫金：100,000元
查原告為小學肄業，已57歲，名下有房地1筆，因本次事故受有左肱骨近端粉碎性骨折之傷害，須經手術整復滿1年後尚需二次手術拔除內固定之鋼釘，肉體及精神上均受有相當之痛苦，爰請求慰撫金100,000元。
（五）綜上所陳，被告應賠償原告之損害，包含醫療費用12,982元、薪資損失150,000元、交通費用1,680元及慰撫金100,000元，總計264,662元。</t>
        </is>
      </c>
      <c r="F48" s="9" t="n"/>
    </row>
    <row r="49" ht="30" customHeight="1">
      <c r="A49" s="38" t="n"/>
      <c r="B49" s="23" t="n">
        <v>48</v>
      </c>
      <c r="C49" s="25" t="inlineStr">
        <is>
          <t>一、事故發生緣由:
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二、原告受傷情形:
原告因本次事故而受有腦挫傷、臉部多處裂傷及擦傷、四處多處裂傷及擦傷等傷害，且被告於原告因上開事故倒臥於地上時，以手壓制原告臉部，另致原告牙齒受有損壞。
三、請求賠償的事實根據:
㈠醫療費用38,073元
原告主張其因受有上開傷害，被告應賠償其至枋寮醫院就診之醫療費用38,073元，並有枋寮醫院醫療費用收據2紙為證。
㈡看護費用9,000元
原告主張因其為00年00月00日出生，於車禍發生時已逾86歲，受此傷害確有僱請看護之必要，而原告當時係住院9日，以1日1,000元看護費用計算，其受有看護費用9,000元之損失，並提出該名看護之結業證書1紙為證。
㈢牙齒損害費用20,000元
如上所述，原告主張車禍後，被告將其臉壓制在地上，致其受有牙齒損害，而需就醫治療共花費20,000元。
㈣精神慰撫金20,000元
查原告係00年00月00日出生，國小肄業，喪偶，有3個兒子，前為務農，目前無業，有土地、房子及1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20,000元精神慰撫金。</t>
        </is>
      </c>
      <c r="D49" s="16" t="inlineStr">
        <is>
          <t>一、緣原告於民國97年9月10日10時40分許，騎乘車牌000-000號機車，途經屏東縣枋山鄉楓港村南平40之1號前時，被告所飼養之小狗突然衝出，致原告所騎乘之機車與該小狗相撞，原告人車倒地。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（一）醫療費用：38,073元
原告主張其因受有上開傷害。
（二）看護費用：9,000元
原告主張因其為00年00月00日出生。
（三）牙齒損害費用：20,000元
如上所述，原告主張車禍後，被告將其臉壓制在地上，致其受有牙齒損害，而需就醫治療共花費20,000元。
（四）精神慰撫金：20,000元
查原告係00年00月00日出生，國小肄業，喪偶，有3個兒子，前為務農，目前無業，有土地、房子及1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20,000元精神慰撫金。
（五）綜上所陳，被告應賠償原告之損害，包含醫療費用38,073元、看護費用9,000元、牙齒損害費用20,000元、精神慰撫金20,000元，總計87,073元，並自起訴狀副本送達翌日起至清償日止，按年息5%計算之利息。</t>
        </is>
      </c>
      <c r="E49" s="18" t="inlineStr">
        <is>
          <t>一、緣原告於民國97年9月10日10時40分許，騎乘車牌000-000號機車，途經屏東縣枋山鄉楓港村南平40之1號前時，被告所飼養之小狗突然衝出，致原告所騎乘之機車與該小狗相撞，原告人車倒地。經查，上開車禍事故發生之原因，係被告所有之小狗自庭院衝出，與當時騎乘機車行經該處之原告發生碰撞所致。被告身為該狗之飼主，本應注意防止其所飼養之狗無故侵害他人之生命、身體、財產，竟疏未注意管束，未將狗栓有鐵鍊、繩索等必要、確實之安全防護措施，致該小狗與原告所騎乘之機車發生碰撞，且於原告倒臥於地上時，以手壓制原告臉部，另致原告牙齒受有損壞。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（一）醫療費用：38,073元
原告因本次事故受有腦挫傷、臉部多處裂傷及擦傷、四處多處裂傷及擦傷等傷害，為治療上開傷勢而至枋寮醫院就診，支出醫療費用38,073元。
（二）看護費用：9,000元
原告因本次事故受傷住院9日，考量原告於車禍發生時已逾86歲，受此傷害確有僱請看護之必要，以每日1,000元計算，共計9,000元。
（三）牙齒損害費用：20,000元
原告因被告於其倒地時以手壓制原告臉部，致其牙齒受有損壞，需就醫治療，支出費用20,000元。
（四）慰撫金：20,000元
查原告受有上開傷害，其日常生活在療養期間須他人協助照顧，對其工作或家庭皆造成影響。考量原告所受痛苦程度及兩造之年齡、身分、工作所得、經濟狀況等各種情形，爰請求慰撫金20,000元。
（五）綜上所陳，被告應賠償原告之損害，包含醫療費用38,073元、看護費用9,000元、牙齒損害費用20,000元及慰撫金20,000元，總計87,073元。</t>
        </is>
      </c>
      <c r="F49" s="9" t="n"/>
    </row>
    <row r="50" ht="30" customHeight="1">
      <c r="A50" s="38" t="n"/>
      <c r="B50" s="23" t="n">
        <v>49</v>
      </c>
      <c r="C50" s="25" t="inlineStr">
        <is>
          <t>一、事故發生緣由:
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二、原告受傷情形:
原告因本次事故而受有左側肱骨上端閉鎖性骨折、左肩部挫傷、左足跟撕裂傷等傷害。
三、請求賠償的事實根據:
原告主張因傷送醫住院，支出醫療費用59,736元及醫療用品費275元，並有醫療費用收據及統一發票為證。
又原告經過二場手術治療後有食用營養品之必要，分別支出35,458元、3,750元，並有統一發票為證。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t>
        </is>
      </c>
      <c r="D50" s="16" t="inlineStr">
        <is>
          <t>一、緣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（一）醫療費用：60,011元
原告主張因傷送醫住院。
（二）營養品費用：39,208元
又原告經過二場手術治療後有食用營養品之必要。
（三）看護費用：18,000元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（四）工作損失：129,780元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（五）精神慰撫金：160,000元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
（六）綜上所陳，被告應賠償原告之損害，包含醫療費用60,011元、營養品費用39,208元、看護費用18,000元、工作損失129,780元、精神慰撫金160,000元，總計406,999元，並自起訴狀副本送達翌日起至清償日止，按年息5%計算之利息。</t>
        </is>
      </c>
      <c r="E50" s="19" t="inlineStr">
        <is>
          <t>一、緣被告於其位在新北市○○區○○路○○○巷○號居處飼養黑白色土狗1隻為寵物，負有防止所飼養動物無故侵害他人之生命、身體、自由、財產或安寧及不得疏縱寵物在道路奔走妨害交通等法律上作為義務。依當時情況亦無不能注意之情事，竟疏未注意，於民國103年10月1日7時11分許，帶領該犬隻往八德街方向散步行走時，未予以鍊繩牽引或以箱、籠攜帶以防其犬隻脫離其控制，任由該犬隻在路上自由奔跑，致原告騎乘車牌號碼000-000號普通重型機車行經該處時，該犬隻因未受防護措施控制而自路旁所停放車輛處奔出，原告見狀受驚嚇緊急煞車後人車倒地受傷。且被告所涉犯刑法過失傷害罪嫌，經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（一）醫療費用：60,011元
1. 醫療費用：59,736元
2. 醫療用品費：275元
（二）營養品費用：39,208元
1. 第一次手術後營養品：35,458元
2. 第二次手術後營養品：3,750元
（三）看護費用：18,000元
原告因左側肱骨上端閉鎖性骨折、左肩部挫傷、左足跟撕裂傷等傷害，於103年10月1日與105年2月18日分別進行骨內鋼釘鋼板固定手術及左足跟傷口縫合，以及鋼板移除手術，2次住院期間均須由家人看護共9日，以全日看護費2,000元計算，共計18,000元。
（四）工作損失：129,780元
1. 第一次住院期間（3個月）：97,360元
2. 第二次住院期間（1個月）：32,420元
（五）慰撫金：160,000元
原告因本次事故受有左側肱骨上端閉鎖性骨折、左肩部挫傷、左足跟撕裂傷等傷害，不可謂輕，精神上自受有相當之痛苦。再衡以被告於偵審過程中未積極與原告和解，致原告歷經刑事偵、審及民事過程所耗之時間、精神非小，爰請求慰撫金160,000元。
（六）綜上所陳，被告應賠償原告之損害，包含醫療費用60,011元、營養品費用39,208元、看護費用18,000元、工作損失129,780元及慰撫金160,000元，總計407,999元。</t>
        </is>
      </c>
      <c r="F50" s="9" t="n"/>
    </row>
    <row r="51" ht="30" customHeight="1" thickBot="1">
      <c r="A51" s="44" t="n"/>
      <c r="B51" s="23" t="n">
        <v>50</v>
      </c>
      <c r="C51" s="25" t="inlineStr">
        <is>
          <t>一、事故發生緣由:
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二、原告受傷情形:
原告因本次事故而受有腰椎、兩足挫傷及兩膝多處擦傷等傷害。
三、請求賠償的事實根據:
原告主張其因本件事故受有上開身體傷害結果，共計支出醫療費用15,729元，有上開現場照片、診斷證明書及行政院衛生署桃園醫院原告之門診費用證明書等件為證。又原告主張其因本件傷害結果，致3個月無法自由行動，其每1個月需支出交通費用9,000 元，因而增加生活上支出共計27,000元。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t>
        </is>
      </c>
      <c r="D51" s="16" t="inlineStr">
        <is>
          <t>一、緣被告於民國100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（一）醫療費用：15,729元
原告因本次事故受傷就醫，支出醫療費用15,729元。
（二）增加之生活支出：27,000元
原告因本次事故受有增加之生活支出27,000元。
（三）精神慰撫金：157,271元
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
（四）綜上所陳，被告應賠償原告之損害，包含醫療費用15,729元、增加之生活支出27,000元、精神慰撫金157,271元，總計200,000元，並自起訴狀副本送達翌日起至清償日止，按年息5%計算之利息。</t>
        </is>
      </c>
      <c r="E51" s="19" t="inlineStr">
        <is>
          <t>一、緣被告於民國100年4月21日下午5時20分許，帶著其所豢養之犬隻在桃園縣中壢市○○○路與陸光一街交口附近之公園溜狗。被告為動物飼主，本應看管犬隻並管束其在馬路上玩耍，以避免致生行車安全危險，依當時情形並無任何不能注意之情事，對其犬隻有控制管領之能力，竟疏未注意及此，致使其所豢養之犬隻衝向陸光一街，而原告騎乘車牌號碼000-000號輕型機車（下稱原告機車）適行經該處，因煞車不及而與該犬隻發生車禍。被告之行為違反注意義務，且經鈞院以100年度壢交簡字第3001號刑事判決認定過失傷害有罪確定，足證被告確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民法第184條第1項前段、第190條第1項、第195條第1項前段分別定有明文。查被告因上開侵權行為，致原告受有下列損害，依前揭規定，被告應負損害賠償責任：
（一）醫療費用：15,729元
原告因本次事故受有腰椎、兩足挫傷及兩膝多處擦傷等傷害，為治療上開傷勢而就醫，支出醫療費用15,729元，有現場照片、診斷證明書及行政院衛生署桃園醫院原告之門診費用證明書等件為證。
（二）交通費用：27,000元
原告因本次傷害結果，致3個月無法自由行動，每月需支出交通費用9,000元，共計27,000元。
（三）慰撫金：157,271元
查原告因本次事故受有腰椎、兩足挫傷及兩膝多處擦傷之傷害，自100年4月起至102年3月止曾在行政院衛生署桃園醫院之急診外科、骨科、復建科就診，治療及復健期間前後長達將近2年。考量原告為高職畢業，100年度所得為52,790元，名下有房屋、田賦及土地數筆，及原告因本次車禍所受之精神上痛苦等一切情狀，爰請求慰撫金157,271元。
（四）綜上所陳，被告應賠償原告之損害，包含醫療費用15,729元、交通費用27,000元及慰撫金157,271元，總計200,000元。</t>
        </is>
      </c>
      <c r="F51" s="9" t="n"/>
    </row>
    <row r="52" ht="60" customHeight="1" thickBot="1">
      <c r="A52" s="20" t="n"/>
      <c r="F52" s="13">
        <f>AVERAGE(F2:F51)</f>
        <v/>
      </c>
      <c r="G52" s="14" t="inlineStr">
        <is>
          <t xml:space="preserve">缺漏法條 
錯誤格式 
亂碼簡字 
事實內容 </t>
        </is>
      </c>
    </row>
    <row r="53" ht="30" customHeight="1" thickBot="1">
      <c r="A53" s="20" t="n"/>
    </row>
    <row r="54" ht="30" customHeight="1" thickBot="1">
      <c r="A54" s="20" t="n"/>
      <c r="F54" s="2" t="n"/>
    </row>
    <row r="55" ht="30" customHeight="1" thickBot="1">
      <c r="A55" s="20" t="n"/>
    </row>
    <row r="56" ht="30" customHeight="1" thickBot="1">
      <c r="A56" s="20" t="n"/>
    </row>
    <row r="57" ht="30" customHeight="1" thickBot="1">
      <c r="A57" s="20" t="n"/>
    </row>
    <row r="58" ht="30" customHeight="1" thickBot="1">
      <c r="A58" s="20" t="n"/>
    </row>
    <row r="59" ht="30" customHeight="1" thickBot="1">
      <c r="A59" s="20" t="n"/>
    </row>
    <row r="60" ht="30" customHeight="1" thickBot="1">
      <c r="A60" s="20" t="n"/>
    </row>
  </sheetData>
  <mergeCells count="7">
    <mergeCell ref="A2:A9"/>
    <mergeCell ref="A17:A23"/>
    <mergeCell ref="A24:A30"/>
    <mergeCell ref="A38:A44"/>
    <mergeCell ref="A31:A37"/>
    <mergeCell ref="A10:A16"/>
    <mergeCell ref="A45:A51"/>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G54"/>
  <sheetViews>
    <sheetView zoomScaleNormal="100" workbookViewId="0">
      <pane xSplit="1" topLeftCell="C1" activePane="topRight" state="frozen"/>
      <selection pane="topRight" activeCell="C45" sqref="C45"/>
    </sheetView>
  </sheetViews>
  <sheetFormatPr baseColWidth="8" defaultRowHeight="30" customHeight="1" outlineLevelCol="0"/>
  <cols>
    <col width="56.375" customWidth="1" min="2" max="4"/>
    <col width="9.625" bestFit="1" customWidth="1" min="5" max="5"/>
    <col width="14.25" customWidth="1" style="2" min="6" max="6"/>
  </cols>
  <sheetData>
    <row r="1" ht="30" customHeight="1" thickBot="1">
      <c r="A1" s="1" t="inlineStr">
        <is>
          <t>case_id</t>
        </is>
      </c>
      <c r="B1" s="1" t="inlineStr">
        <is>
          <t>律師輸入</t>
        </is>
      </c>
      <c r="C1" s="1" t="inlineStr">
        <is>
          <t>RAG+gemma3:27b</t>
        </is>
      </c>
      <c r="D1" s="3" t="inlineStr">
        <is>
          <t>gpt-4o-mini-2024-07-18
3000筆
run: 20241217</t>
        </is>
      </c>
      <c r="E1" s="6" t="inlineStr">
        <is>
          <t>評分
(法條25%格式25%亂碼25%事實25%)</t>
        </is>
      </c>
      <c r="F1" s="6" t="inlineStr">
        <is>
          <t>註</t>
        </is>
      </c>
    </row>
    <row r="2" ht="30" customHeight="1" thickBot="1">
      <c r="A2" t="n">
        <v>1</v>
      </c>
      <c r="B2" s="2" t="inlineStr">
        <is>
          <t>一、事故發生緣由: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二、原告受傷情形:
原告因此車禍受有左膝挫傷、半月軟骨受傷等傷害。原告於105年5月2日、7日、7月16日、8月13日、8月29日至醫院門診就診，105年8月2日進行核磁共振造影檢查。根據醫院開立的診斷證明書，原告需休養1個月。
三、請求賠償的事實根據: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is>
      </c>
      <c r="C2" s="2" t="inlineStr">
        <is>
          <t>一、事實概述：
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竟疏未注意而發生事故。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（一）醫療復健費用：190元
原告因本次事故就醫復健，支出醫療費用共計190元。
（二）車輛修復費用：181,144元
原告車輛因事故受損，需支付修復費用共計181,144元。
（三）交通費用：4,500元
原告因傷勢不良於行，搭乘計程車產生交通費用共計4,500元。
（四）工作損失：33,000元
原告因事故休養期間無法工作，造成薪資損失共計33,000元。
（五）慰撫金：99,000元
原告因本次事故受有身心痛苦，請求精神慰撫金99,000元。
四、結論：綜上所陳，被告應賠償原告之損害，包含原告醫療復健費用190元、車輛修復費用181,144元；交通費用4,500元；工作損失33,000元；慰撫金99,000元，總計317,834元，並自起訴狀副本送達翌日起至清償日止，按年息5%計算之利息。</t>
        </is>
      </c>
      <c r="D2" s="7" t="inlineStr">
        <is>
          <t>一、緣被告於民國105年4月12日13時27分許，駕駛租賃小客車沿新北市○○區○○路往富國路方向行駛，行經福營路342號前時，欲繞越前方由原告所駕駛併排於路邊臨時停車後適欲起駛之車輛，因閃避對向來車，疏未注意車前狀況及兩車並行之間隔，追撞原告駕駛車輛左後車尾，致原告受有左膝挫傷、半月軟骨受傷等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（一）醫療復健費用：190元
原告因本次事故受有左膝挫傷、半月軟骨受傷等傷害，為治療上開傷勢而就醫，支出醫療復健費用190元。
（二）車輛修復費用：181,144元
原告因本次事故導致所駕駛之車輛受損，修復費用包括工資費用88,774元和零件費用92,370元，共計181,144元。
（三）交通費用：4,500元
原告因傷不良於行，上下班須搭乘計程車，支出交通費用4,500元。
（四）休養期間工作收入損失：33,000元
原告因本次車禍受傷，依醫囑需休養1個月，無法工作，造成工作收入損失33,000元。
（五）慰撫金：99,000元
原告因本次車禍造成身體傷害，不僅造成身體上的痛苦，更因傷勢影響日常生活及工作，承受巨大精神壓力，爰向被告請求慰撫金99,000元。
（六）綜上所陳，被告應賠償原告之損害，包含醫療復健費用190元、車輛修復費用181,144元、交通費用4,500元、休養期間工作收入損失33,000元及慰撫金99,000元，總計317,834元，並自起訴狀副本送達翌日起至清償日止，按年息5%計算之利息。</t>
        </is>
      </c>
      <c r="E2" s="9" t="n">
        <v>85</v>
      </c>
      <c r="F2" s="2" t="inlineStr">
        <is>
          <t>事實少了敘述原告受傷情形</t>
        </is>
      </c>
      <c r="G2" s="2" t="inlineStr">
        <is>
          <t xml:space="preserve">
</t>
        </is>
      </c>
    </row>
    <row r="3" ht="30" customHeight="1" thickBot="1">
      <c r="A3" t="n">
        <v>2</v>
      </c>
      <c r="B3" s="2" t="inlineStr">
        <is>
          <t>一、事故發生緣由: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
三、請求賠償的事實根據: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綜上所述，原告依侵權行為之法律關係，請求被告賠償上述各項損失，總計396,697元及法定利息。原告請求自起訴狀繕本送達翌日起至清償日止，按週年利率5%計算之利息。原告認為被告應對此次事故負全部責任，故請求全額賠償。</t>
        </is>
      </c>
      <c r="C3" s="2" t="inlineStr">
        <is>
          <t>一、事實概述：
緣被告於民國109年9月20日18時30分許，駕駛車牌號碼000-000號自用小客車，行經新北市○○區○○街0段000號前處時，於劃有分向限制的路段，貿然跨越雙黃線逕自迴轉駛入對向車道。此時，原告正駕駛車牌號碼000-0000號普通重型機車行駛，因被告之違規行為而發生碰撞。事發當時路況良好，被告應注意而未注意，導致此次事故發生。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（一）醫療費用：11,067元
原告因本次事故受傷就醫，支出醫療費用共計11,067元。
（二）交通費用：380元
原告因就醫產生交通費用，共計380元。
（三）工作損失：24,400元
原告因本次事故無法工作，導致薪資損失共計24,400元。
（四）機車維修費用：10,850元
原告因本次事故機車受損，支出維修費用共計10,850元。
（五）預估醫療費用：50,000元
原告主張因本次事故未來尚需支出開刀醫療費用共計50,000元。
（六）精神慰撫金：300,000元
原告因本次事故受有身心痛苦，請求精神慰撫金300,000元。
四、結論：綜上所陳，被告應賠償原告之損害，包含原告醫療費用11,067元、交通費用380元、工作損失24,400元、機車維修費用10,850元、預估醫療費用50,000元、精神慰撫金300,000元，總計396,697元，並自起訴狀副本送達翌日起至清償日止，按年息5%計算之利息。</t>
        </is>
      </c>
      <c r="D3" s="8" t="inlineStr">
        <is>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
（二）交通費用：380元
原告因就醫支出交通費用380元，有停車費用收據為證。
（三）工作損失：24,400元
原告因系爭事故受有不能工作之損失24,400元，有診斷證明書及薪資表為證。根據亞東醫院診斷證明書顯示，原告需休養復健4至8週，並需門診複查，影響其工作能力。
（四）機車維修費用：10,850元
系爭機車因事故受損，支出修復費用共計10,850元，有估價單為證。
（五）預估醫療費用：50,000元
原告主張因系爭事故而需支出未來開刀醫療費用50,000元。
（六）慰撫金：300,000元
原告因系爭傷害多次就醫，造成生活上的不便，並影響其工作。原告在事故發生後，需要持續就醫治療，並進行復健，對其日常生活和工作能力造成顯著影響，爰請求精神慰撫金300,000元。
（七）綜上所陳，被告應賠償原告之損害，包含醫療費用11,067元、交通費用380元、工作損失24,400元、機車維修費用10,850元、預估醫療費用50,000元及慰撫金300,000元，總計396,697元，並自起訴狀副本送達翌日起至清償日止，按年息5%計算之利息。</t>
        </is>
      </c>
      <c r="E3" s="9" t="n">
        <v>85</v>
      </c>
      <c r="F3" s="2" t="inlineStr">
        <is>
          <t>事實少了敘述原告受傷情形</t>
        </is>
      </c>
      <c r="G3" s="2" t="n"/>
    </row>
    <row r="4" ht="30" customHeight="1" thickBot="1">
      <c r="A4" t="n">
        <v>3</v>
      </c>
      <c r="B4" s="2" t="inlineStr">
        <is>
          <t>一、事故發生緣由:
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二、原告受傷情形:
原告因為被告引起的這場車禍受有頭部外傷、腦部創傷性腦損傷、創傷性蜘蛛膜下出血、視力模糊、視神經受損、外斜視、垂直性斜視等傷害，其後並有壓力後創傷症候群、憂鬱症、適應性失眠症等後遺症。
三、請求賠償的事實根據:
（一）醫療費用部分合計8萬3,016元
1、住院開刀醫療費用
原告因系爭車禍於112年10月27日經急診入院，並於同日接受顱內監測器放置手術，後來於000年00月00日出院，期間之手術及住診費用共計支出新臺幣5萬3,122元，有基隆長庚紀念醫院（以下簡稱基隆長庚）復健科費用收據可以證明。
2、復健科、腦神經外科、神經科診療費用
原告於系爭車禍發生時因頭部遭受撞擊而有頭部外傷、創傷性蜘蛛膜下出血等傷勢，並進而造成創傷性腦損傷，須接受復健治療，因此支出有一般性高壓氧治療費用共1萬0500元；神經科診療費用2次共802元、腦神經外科診療費用8次共3,520元，合計共1萬4,822元，有基隆長庚復健科之診斷證明書，與復健科、腦神經外科、神經科費用收據可以證明。
3、眼科診療費用
原告因系爭車禍致視神經受損視力模糊，有外斜視、垂直斜視之傷勢，須至基隆長庚眼科回診接受治療，共二次支出有診療費1,280元。且因視神經受損，原告平日間為聚焦看清物體，眼部肌肉須特別用力，導致眼睛較一般人更容易感到疲勞，原告因而另至基隆市瑞光眼科看診2次接受治療，支出有看診費400元，以上費用合計1,680元，此有基隆長庚眼科診斷證明書、費用收據，與瑞光眼科費用收據可以證明。
4、整形外科診療費用
原告因系爭車禍而人車倒地，臉部與路面發生摩擦，致有臉部擦傷、上唇肥厚性疤痕色素沉澱，因而於112年12月20日、113年1月24日、113年5月28日三度至基隆長庚接受治療，支出有看診費用1萬1,832元，以及證明前開損害所用之診斷及證明書費100元，共計1萬1,932元，此有基隆長庚之整形外科診斷證明書與費用收據可以證明。
5、精神科與中醫診所診療費用
原告因系爭車禍腦部受傷，致有壓力後創傷症候群、憂鬱症、適應性失眠症等症狀。平日除常有偏頭痛之症狀，夜間更因患有憂鬱症而失眠無法正常入睡，即便入睡後亦常於半夜驚醒，故原告於113年2月14日至基隆長庚精神科看診接受治療，支出有診用510元；113年4月26日至000年0月0日間。五度至基隆陳字斌中醫診所接受睡眠障礙症之治療並接受中醫藥劑調養，因而支出有看診費850元，以及證明前開損害所用之診斷及證明書費100元，共計1,460元，此有基隆長庚與陳字斌中醫診所之診斷書與醫療費用收據可以證明。
（二）交通費部分215元
原告於113年5月28日因須至基隆長庚醫院整形外科回診，來回一共支出計程車交通費用215元。
（三）看護費用部分共計52萬5,000元
本件原告因系爭車禍受傷入院接受手術開刀治療後，112年12月18日經基隆長庚診斷「出院後宜休養3個月以上，並需專人24小時照護」；113年4月25日回診後，醫師認為因原告「創傷後視力及記憶力恢復不全，情緒不穩定，需專人長時間陪護照顧至少2個月」；113年6月13日回診後，醫師仍認「須專人長時間陪護照顧至少2個月以上」，此有歷次之診斷證明書可證明。從而原告共計有7個月之時間需由專人照護陪伴，又雖原告並未聘僱看護照顧，而是由其婆婆與配偶輪流代為照顧，然而依照最高法院94年度台上字第1543號裁判意旨，縱原告因親屬關係而無現實之看護費支出，仍應比照一般看護情形，認定原告受有相當於看護費之損害，故原告參考基隆長庚紀念醫院112年招募全日看護工照顧服務員之徵人啟事作為行情價標準，認為一般長時間專人照顧服務員，每日薪資約為2,500至3,000元之間，而本件原告因系爭車禍受傷在家休養，診斷證明書並載明須專人24小時照護，原告因未實際聘僱看護而是由婆婆代為照顧，因此僅以最低價2,500元計算每日看護費用，請求7個月共計52萬5,000元【計算式：2,500元×30日×7個月＝52萬5,000元】。
（四）無法家務勞動之損失部分共計18萬9,080元
原告雖然是家庭主婦，並無現實之工作收入資料可為參考，然依最高法院92年度台上字第1626號判決意旨，原告於家中處理家務之勞動能力，應能以另僱他人代勞而支出之報酬予以評價，故原告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依行政院勞動部公布於112年1月1日起實施之基本工資為每月2萬6,400元；113年1月1日起實施之基本工資為每月2萬7,470元作為基準計算，原告此7個月無法從事家務勞動之工作損失應為18萬9,080元【計算式：2萬6,400元×3月＋2萬7,470元×4月=18萬9,080元】。
（五）慰撫金部分130萬元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1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130萬元。</t>
        </is>
      </c>
      <c r="C4" s="2" t="inlineStr">
        <is>
          <t>一、事實概述：
緣被告於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詎被告仍疏於注意，即貿然右轉彎，因而與直行至該路口之原告發生碰撞，導致原告遭被告駕駛之汽車撞擊倒地。
二、法律依據：
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187條第1項、民法第191條之2、民法第193條第1項、民法第195條第1項前段分別定有明文。查被告因上開侵權行為，致原告受有下列損害，依前揭規定，被告應負損害賠償責任：
三、損害項目：
（一）醫療費用：255,830元
原告因本次事故受傷就醫，支出醫療費用共計255,830元。
（二）交通費：10,000元
原告因就醫產生交通費用共計10,000元。
（三）看護費用：270,000元
原告因本次事故需專人照顧，支出看護費用共計270,000元。
（四）工作損失：189,080元
原告因本次事故無法從事家務勞動，受有工作損失共計189,080元。
（五）慰撫金：1,300,000元
原告因本次事故身心靈受創，請求精神慰撫金1,300,000元。
四、結論：綜上所陳，被告應賠償原告之損害，包含原告醫療費用255,830元、交通費10,000元、看護費用270,000元、工作損失189,080元、慰撫金1,300,000元，總計2,024,910元，並自起訴狀副本送達翌日起至清償日止，按年息5%計算之利息。</t>
        </is>
      </c>
      <c r="D4" s="8" t="inlineStr">
        <is>
          <t>一、緣被告於民國112年10月27日15時許，駕駛車牌號碼000-0000號自用小客車，沿基隆市安樂區麥金路直行往基金一路方向行駛，行經麥金路與安國橋路口欲右轉時，本應注意轉彎車應讓直行車先行，以避免危險或交通事故之發生，而當時為具自然光線之日間、柏油路面未積水、無障礙物且視距良好，並無不能注意之情事，竟疏於注意，即貿然右轉彎，因而與直行至該路口之原告發生碰撞，導致原告遭被告駕駛之汽車撞擊倒地，受有頭部外傷、腦部創傷性腦損傷、創傷性蜘蛛膜下出血、視力模糊、視神經受損、外斜視、垂直性斜視等傷害，其後並有壓力後創傷症候群、憂鬱症、適應性失眠症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（一）醫療費用：83,016元
1. 住院開刀醫療費用：53,122元
原告因本次事故於112年10月27日經急診入院，並於同日接受顱內監測器放置手術，後來於000年00月00日出院，期間之手術及住診費用共計支出53,122元，有基隆長庚紀念醫院（以下簡稱基隆長庚）復健科費用收據可稽。
2. 復健科、腦神經外科、神經科診療費用：14,822元
原告因頭部遭受撞擊而有頭部外傷、創傷性蜘蛛膜下出血等傷勢，並進而造成創傷性腦損傷，須接受復健治療，支出一般性高壓氧治療費用10,500元；神經科診療費用2次共802元、腦神經外科診療費用8次共3,520元，合計14,822元，有基隆長庚復健科之診斷證明書，與復健科、腦神經外科、神經科費用收據可稽。
3. 眼科診療費用：1,680元
原告因本次事故致視神經受損視力模糊，有外斜視、垂直斜視之傷勢，須至基隆長庚眼科回診接受治療共二次，支出診療費1,280元。且因視神經受損，平日間為聚焦看清物體，眼部肌肉須特別用力，導致眼睛較一般人更容易感到疲勞，另至基隆市瑞光眼科看診2次，支出看診費400元，以上費用合計1,680元，有基隆長庚眼科診斷證明書、費用收據，與瑞光眼科費用收據可稽。
4. 整形外科診療費用：11,932元
原告因本次事故而人車倒地，臉部與路面發生摩擦，致有臉部擦傷、上唇肥厚性疤痕色素沉澱，於112年12月20日、113年1月24日、113年5月28日三度至基隆長庚接受治療，支出看診費用11,832元，以及證明前開損害所用之診斷及證明書費100元，共計11,932元，有基隆長庚之整形外科診斷證明書與費用收據可稽。
5. 精神科與中醫診所診療費用：1,460元
原告因本次事故腦部受傷，致有壓力後創傷症候群、憂鬱症、適應性失眠症等症狀，於113年2月14日至基隆長庚精神科看診支出診療費510元；113年4月26日至000年0月0日間五度至基隆陳字斌中醫診所接受睡眠障礙症之治療並接受中醫藥劑調養，支出看診費850元，以及證明前開損害所用之診斷及證明書費100元，共計1,460元，有基隆長庚與陳字斌中醫診所之診斷書與醫療費用收據可稽。
（二）交通費用：215元
原告於113年5月28日因須至基隆長庚醫院整形外科回診，來回支出計程車交通費用215元。
（三）看護費用：525,000元
原告因本次事故受傷入院接受手術開刀治療後，112年12月18日經基隆長庚診斷「出院後宜休養3個月以上，並需專人24小時照護」；113年4月25日回診後，醫師認原告「創傷後視力及記憶力恢復不全，情緒不穩定，需專人長時間陪護照顧至少2個月」；113年6月13日回診後，醫師仍認「須專人長時間陪護照顧至少2個月以上」，此有歷次之診斷證明書可稽。原告共計有7個月之時間需由專人照護陪伴，依照最高法院94年度台上字第1543號裁判意旨，縱原告因親屬關係而無現實之看護費支出，仍應比照一般看護情形，認定原告受有相當於看護費之損害，以基隆長庚紀念醫院112年招募全日看護工照顧服務員之徵人啟事作為行情價標準，一般長時間專人照顧服務員每日薪資以2,500元計算，共計525,000元。
（四）無法家務勞動之損失：189,080元
原告因本次事故受傷，自112年10月27日起至113年5月26日止，共計7個月無法從事家務勞動，依行政院勞動部公布之基本工資計算，受有189,080元之損失。
（五）慰撫金：1,300,000元
原告因本次事故受有腦部創傷性腦損傷等傷害，經緊急手術後住院將近1個月，出院後亦因創傷性腦損傷、憂鬱症、記憶力衰退、視力受損造成生活諸多不便，且需定期回診接受治療，對於身心靈造成莫大痛苦。考量原告擔任家庭主婦，尚有二名未成年子女須扶養照顧，因本次事故致無法照顧未成年子女與從事家務勞動，爰請求慰撫金1,300,000元。
（六）綜上所陳，被告應賠償原告之損害，包含醫療費用83,016元、交通費用215元、看護費用525,000元、無法家務勞動之損失189,080元及慰撫金1,300,000元，總計2,097,311元。</t>
        </is>
      </c>
      <c r="E4" s="9" t="n">
        <v>75</v>
      </c>
      <c r="F4" s="2" t="inlineStr">
        <is>
          <t>法條錯誤引用§187
事實少了敘述原告受傷情形、原告關於慰撫金事實、醫療費用金額有誤</t>
        </is>
      </c>
    </row>
    <row r="5" ht="30" customHeight="1" thickBot="1">
      <c r="A5" t="n">
        <v>4</v>
      </c>
      <c r="B5" s="2" t="inlineStr">
        <is>
          <t>一、事故發生緣由:
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二、原告受傷情形:
原告因本件車禍事故受有左肩、左前臂、左手擦傷、左踝擦挫傷等傷害。
三、請求賠償的事實根據:
原告主張因本件車禍受傷至淡水馬偕紀念醫院、祐民聯合診所就醫，支出醫療費用5萬4,741元，並且在111年9月27日購買藥品支出1,890元，以上有淡水馬偕紀念醫院醫療費用收據、祐民聯合診所醫療費用收據可以證明，而後至112年仍需要雷射除疤、中醫調養門診、來往醫院交通費用、自費醫材等預估醫療費用18萬元，並且有113年3月29日美仕媞時尚醫美診所1萬8,444元醫療收據可以證明原告後續預估的醫療費用有後續治療之必要及實際支出。
原告主張因受到系爭傷害，馬偕紀念醫院乙種診斷證明書上記載「患者甲○○於本院民國111年8月7日急診診1次…因患者甲○○左側足踝慢性傷口遲未癒合，為進一步治療，於本院自民國111年9月7日入院，於民國111年9月8日接受清創及人工真皮植皮手術，術後使用負壓照護系統。需專人照護一個月。」，因此原告因本件事故自111年9月7日至111年9月13日共7日住院治療，出院後需專人照護一個月，於111年9月13日至111年10月13日期間，以一般醫院全日看護之收費行情為2,000元以上計算，一共支出看護費用7萬4,000元（即每日2,000元×37日＝7萬4,000元）。
原告主張本件事故發生前原告受僱康舒科技股份有限公司，每個月月薪7萬2,800元，因本件車禍受傷導致3個月期間無法工作，因此請求受有3個月不能工作之薪資損害大約共42萬元，有診斷證明書、110年度綜合所得稅各類所得資料清單、健保櫃檯個人投保紀錄等可以作為證據。
原告主張因本件事故，衣褲毀損支出購置費用1,580元、因鞋子毀損支出購置費用1,393元；其機車因毀損而支出修理費用合計2萬0,900元。
原告因本件事故受有左肩、左前臂、左手擦傷、左踝擦挫傷等傷害，並且經過持續回診之情形，精神上受有相當痛苦；而原告為大學畢業，原任職於康舒科技股份有限公司，月薪7萬2,800元，請求鈞院衡量原告所受傷勢、本件事故發生原因及兩造財產資力等一切情狀，命被告支付精神慰撫金99萬元，以填補原告所受非財產上損害。</t>
        </is>
      </c>
      <c r="C5" s="2" t="inlineStr">
        <is>
          <t>一、事實概述：
緣被告於民國000年0月0日下午18時14分許，駕駛車號000-0000自用小客車，沿新北市淡水區淡金路往臺北方向行駛，行至該路段欲右轉進入中正東路一段時，本應注意轉彎車應禮讓直行車先行，詎被告竟未注意即貿然右轉，當時原告葉銘倫正騎乘車號000-0000普通重型機車搭載原告，同向行駛在被告車輛之右側，因閃避不及遭被告所駕之自用小客車碰撞而人車倒地。此外，被告之行為已構成過失傷害，經臺灣士林地方法院112年度交易字第44號刑事判處拘役50日，上訴後，經最高法院112年度交上易字第199號判決駁回確定，可見被告確實存在過失。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（一）醫療費用：81,075元
原告因本次事故受傷就醫，支出醫療費用及藥品費用共計81,075元。
（二）預估醫療費用：180,000元
原告因本次事故後續仍需雷射除疤、中醫調養等治療，預估醫療費用為180,000元。
（三）看護費用：74,000元
原告因本次事故需住院及出院後專人照護，支出看護費用共計74,000元。
（四）工作損失：420,000元
原告因本次事故無法工作，受有3個月薪資損失共計420,000元。
（五）財物損失：23,873元
原告因本次事故衣褲、鞋子及機車受損，財物損失共計23,873元。
（六）精神慰撫金：990,000元
原告因本次事故身心受創，請求精神慰撫金共計990,000元。
四、結論：綜上所陳，被告應賠償原告甲○○之損害，包含醫療費用81,075元、預估醫療費用180,000元、看護費用74,000元、工作損失420,000元、財物損失23,873元、精神慰撫金990,000元，總計1,768,948元，並自起訴狀副本送達翌日起至清償日止，按年息5%計算之利息。</t>
        </is>
      </c>
      <c r="D5" s="8" t="inlineStr">
        <is>
          <t>一、緣被告於民國111年8月7日下午18時14分許，駕駛車號000-0000自用小客車，沿新北市淡水區淡金路往臺北方向行駛，行至該路段欲右轉進入中正東路一段時，應注意轉彎車應禮讓直行車先行，竟未注意即貿然右轉，致訴外人葉銘倫騎乘車號000-0000普通重型機車搭載原告，同向行駛在被告車輛之右側，因閃避不及遭被告所駕之自用小客車碰撞而人車倒地。被告之行為涉及過失，經臺灣士林地方法院112年度交易字第44號刑事判處拘役50日，上訴後，經鈞院刑事庭112年度交上易字第199號判決上訴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（一）醫療費用：234,185元
1. 已支出醫療費用：56,741元
原告因本次事故受有左肩、左前臂、左手擦傷、左踝擦挫傷等傷害，至淡水馬偕紀念醫院、祐民聯合診所就醫，支出醫療費用54,741元，及購買藥品支出1,890元。
2. 預估醫療費用：177,444元
原告後續需進行雷射除疤、中醫調養門診、來往醫院交通費用、自費醫材等治療，預估費用177,444元，有113年3月29日美仕媞時尚醫美診所18,444元醫療收據可稽。
（二）看護費用：74,000元
依馬偕紀念醫院乙種診斷證明書記載，原告於111年9月7日至111年9月13日住院治療，出院後需專人照護一個月，以每日2,000元計算，共計37日，總計74,000元。
（三）工作損失：420,000元
原告原任職於康舒科技股份有限公司，每月薪資72,800元，因本次事故受傷導致3個月無法工作，損失薪資共計420,000元。
（四）財物損失：26,873元
1. 衣褲毀損：1,580元
2. 鞋子毀損：1,393元
3. 機車修理費用：20,900元
（五）慰撫金：990,000元
原告因本次事故受有左肩、左前臂、左手擦傷、左踝擦挫傷等傷害，經持續回診，且原告為大學畢業，原任職於康舒科技股份有限公司，月薪72,800元，爰請求慰撫金990,000元。
（六）綜上所陳，被告應賠償原告之損害，包含醫療費用234,185元、看護費用74,000元、工作損失420,000元、財物損失26,873元及慰撫金990,000元，總計1,745,058元。</t>
        </is>
      </c>
      <c r="E5" s="9" t="n">
        <v>75</v>
      </c>
      <c r="F5" s="2" t="inlineStr">
        <is>
          <t>法條錯誤引用§188
事實少了敘述原告受傷情形、原告關於慰撫金事實、部分財物損失金額有誤</t>
        </is>
      </c>
    </row>
    <row r="6" ht="30" customHeight="1" thickBot="1">
      <c r="A6" t="n">
        <v>5</v>
      </c>
      <c r="B6" s="2" t="inlineStr">
        <is>
          <t>一、事故發生緣由:
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二、原告受傷情形:
原告因為此次交通事故受有左側脛骨遠端骨折、左側腓骨外踝骨折、左側腎臟撕裂、左下眼瞼及鼻淚管撕裂、舌部撕裂、左耳鼓膜破損、左側第4第5第6第7肋骨骨折等傷害。
三、請求賠償的事實根據:
原告主張其因被告之侵權行為自車禍發生後先後至北港馬祖醫院、嘉義長庚醫院、北港仁一醫院就診，支出醫療費用225,086元，此有醫療費用單據83紙可為證據。並且因為前揭傷害，支出購買東洋參、大七厘散、韓國人參、龜鹿二仙膠、健步丸等身體恢復營養補充費用合計65,000元。又自車禍發生後，於111年7月10日至長庚醫療財團法人嘉義長庚紀念醫院就診，於111年7月11日轉入加護病房治療，於111年7月12日轉入普通病房，於000年0月00日出院，原告於111年7月10日起至111年7月25日住院期間，需專人全日看護照顧。另原告出院後至111年8月29日，需半日看護照顧其日常生活起居，有彰化基督教醫療財團法人彰化基督教醫院鑑定報告書、看護費用收據、長照人員服務證明可為證據。又看護工作較一般工作之時間為長，且須隨時注意傷患之病情反應，是原告主張以其實際支出之看護費用每日2,800元計算原告就看護費用部分請求之金額為92,400元（計算式：2,800元×16日＝44,800元，2,800元×34日×1/2＝47,600元，合計為92,400元）。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萬元，名下有1部自小客車，請求鈞院衡量原告所受傷勢、本件事故發生原因及兩造財產資力等一切情狀，命被告支付精神慰撫金100萬元，以填補原告所受精神痛苦。</t>
        </is>
      </c>
      <c r="C6" s="2" t="inlineStr">
        <is>
          <t>一、事實概述：
緣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（一）醫療費用：225,086元
原告因本次事故受傷就醫，支出醫療費用共計225,086元。
（二）營養補充費用：65,000元
原告因本次事故為恢復身體機能，支出營養補充費用共計65,000元。
（三）看護費用：92,400元
原告因本次事故需專人照顧，支出看護費用共計92,400元。
（四）工作損失：950,400元
原告因本次事故導致無法工作，受有薪資損失共計950,400元。
（五）精神慰撫金：1,000,000元
原告因本次事故受有身心痛苦，請求精神慰撫金1,000,000元。
四、結論：綜上所陳，被告應賠償原告之損害，包含原告醫療費用225,086元、營養補充費用65,000元、看護費用92,400元、工作損失950,400元、精神慰撫金1,000,000元，總計2,332,886元，並自起訴狀副本送達翌日起至清償日止，按年息5%計算之利息。</t>
        </is>
      </c>
      <c r="D6" s="8" t="inlineStr">
        <is>
          <t>一、緣被告於民國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（一）醫療費用：225,086元
原告因本次事故受有左側脛骨遠端骨折、左側腓骨外踝骨折、左側腎臟撕裂、左下眼瞼及鼻淚管撕裂、舌部撕裂、左耳鼓膜破損、左側第4第5第6第7肋骨骨折等傷害，先後至北港馬祖醫院、嘉義長庚醫院、北港仁一醫院就診，支出醫療費用225,086元，有醫療費用單據83紙可稽。
（二）營養補充費用：65,000元
原告因前揭傷害，支出購買東洋參、大七厘散、韓國人參、龜鹿二仙膠、健步丸等身體恢復營養補充費用65,000元。
（三）看護費用：92,400元
原告於111年7月10日至111年7月25日住院期間，需專人全日看護照顧，出院後至111年8月29日，需半日看護照顧其日常生活起居，以每日2,800元計算，共計92,400元（計算式：2,800元×16日＋2,800元×34日×1/2＝92,400元）。
（四）工作損失：950,400元
原告因本次車禍受傷，3年無法工作，以每月薪資4萬元計算，共計950,400元。
（五）慰撫金：1,000,000元
原告因本次車禍受有前揭傷害，歷經手術治療及多次門診治療，其身體及精神均受有相當之痛苦。考量原告所受傷勢、本件事故發生原因及兩造財產資力等一切情狀，爰請求慰撫金1,000,000元。
（六）綜上所陳，被告應賠償原告之損害，包含醫療費用225,086元、營養補充費用65,000元、看護費用92,400元、工作損失950,400元及慰撫金1,000,000元，總計2,332,886元。</t>
        </is>
      </c>
      <c r="E6" s="9" t="n">
        <v>82</v>
      </c>
      <c r="F6" s="2" t="inlineStr">
        <is>
          <t>事實少了敘述原告受傷情形、看護費用等</t>
        </is>
      </c>
    </row>
    <row r="7" ht="30" customHeight="1" thickBot="1">
      <c r="A7" t="n">
        <v>6</v>
      </c>
      <c r="B7" s="2" t="inlineStr">
        <is>
          <t>一、事故發生緣由:
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二、原告受傷情形:
原告因為系爭事故而受有左側踝部挫傷及擦傷、左側手肘挫傷及擦傷、左側髖擦傷、左側膝部擦傷、頭部外傷合併左後枕部挫傷、頭部外傷症候群等傷害。
三、請求賠償的事實根據:
（一）機車維修費用6,900元
原告所有的機車因系爭車禍受損而需要更換全新零件，經機車行估計維修價格為6,900元，此有龍騎士車業有限公司估價單可佐證。
（二）（台北馬偕紀念醫院）醫療費用5,371元
原告因系爭車禍事故受有左側踝部挫傷及擦傷、左側手肘挫傷及擦傷、左側髖擦傷、左側膝部擦傷、頭部外傷合併左後枕部挫傷、頭部外傷症候群等傷害，除於事故發生當日先送往台北馬偕紀念醫院急診治療，再陸續至該院骨科、神經外科、一般外科門診追蹤治療，共花費5,371元，此均有台北馬偕紀念醫院急診醫學科、骨科、神經外科診斷證明書暨原告傷勢照片、醫療費用收據可作為證據。
（三）（和睦家診所）醫療費用暨交通費用9,895元
原告因右肩擦挫傷勢，乃再自107年5月26日起至同年11月3日止搭乘計程車前往和睦家診所家醫科就診治療，共花費9,895元，此均有和睦家診所家醫科診斷證明書暨醫療費用收據、計程車乘車證明可作為證據。
（四）傷口包紮所需醫療器材費用2,145元
原告因系爭車禍事故導致身體部位多處擦傷須購買如敷料等醫療用品加以包紮，乃陸續支出相關醫療器材費用共2,145元，此分別有承泰藥局、華康藥局、吉杏展業股份有限公司馬偕門市部、雅登藥局、日揚藥局所開立之統一發票可作為證據。
（五）（全昌堂中醫診所）醫療費用9,225元
原告另因左側手部、膝部挫傷與頭痛、偏頭痛等徵狀，乃自107年5月30日起至109年1月17日止前往全昌堂中醫診所就診治療，共花費9,225元，此均有全昌堂中醫診所內科診斷證明書暨醫療費用收據可作為證據。
（六）（新光吳火獅紀念醫院）醫療費用1,870元
原告且因偏頭痛徵狀，又陸續於108年7月23日、30日暨同年8月27日至新光吳火獅紀念醫院神經內科門診治療，共花費1,870元，此均有新光吳火獅紀念醫院神經內科診斷證明書暨醫療費用收據可作為證據。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萬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t>
        </is>
      </c>
      <c r="C7" s="2" t="inlineStr">
        <is>
          <t>一、事實概述：
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且被告因系爭事故涉犯過失傷害罪，經鈞院108年度審交簡字第308號判決有期徒刑3月，足證被告對系爭事故之發生確實有過失。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（一）醫療費用：5,371元
原告因本次事故受傷就醫，支出醫療費用共計5,371元。
（二）醫療暨交通費用：9,895元
原告因本次事故受傷，支出醫療及交通費用共計9,895元。
（三）醫療器材費用：2,145元
原告因本次事故受傷，支出醫療器材費用共計2,145元。
（四）中醫醫療費用：9,225元
原告因本次事故受傷，支出中醫醫療費用共計9,225元。
（五）神經內科醫療費用：1,870元
原告因本次事故受傷，支出神經內科醫療費用共計1,870元。
（六）工作損失：141,092元
原告因本次事故遭解雇，受有四個月薪資損失共計141,092元。
（七）精神慰撫金：623,502元
原告因本次事故受有身心痛苦，請求精神慰撫金共計623,502元。
四、結論：綜上所陳，被告應賠償原告之損害，包含醫療費用5,371元、醫療暨交通費用9,895元、醫療器材費用2,145元、中醫醫療費用9,225元、神經內科醫療費用1,870元、工作損失141,092元、精神慰撫金623,502元，總計793,100元，並自起訴狀副本送達翌日起至清償日止，按年息5%計算之利息。</t>
        </is>
      </c>
      <c r="D7" s="7" t="inlineStr">
        <is>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且被告因本次事故涉犯過失傷害罪，業經鈞院108年度審交簡字第308號判決有期徒刑3月，足證被告對本次事故之發生確實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（一）機車維修費用：6,900元
原告所有之機車因本次事故受損而需要更換全新零件，經機車行估計維修價格為6,900元，此有龍騎士車業有限公司估價單可佐。
（二）醫療費用：26,366元
1. 台北馬偕紀念醫院醫療費用：5,371元
原告因本次事故受有左側踝部挫傷及擦傷、左側手肘挫傷及擦傷、左側髖擦傷、左側膝部擦傷、頭部外傷合併左後枕部挫傷、頭部外傷症候群等傷害，於事故發生當日及後續至該院骨科、神經外科、一般外科門診追蹤治療，共花費5,371元。
2. 和睦家診所醫療費用暨交通費用：9,895元
原告因右肩擦挫傷勢，自107年5月26日起至同年11月3日止搭乘計程車前往和睦家診所家醫科就診治療，共花費9,895元。
3. 全昌堂中醫診所醫療費用：9,225元
原告因左側手部、膝部挫傷與頭痛、偏頭痛等徵狀，自107年5月30日起至109年1月17日止前往全昌堂中醫診所就診治療，共花費9,225元。
4. 新光吳火獅紀念醫院醫療費用：1,870元
原告因偏頭痛徵狀，於108年7月23日、30日暨同年8月27日至新光吳火獅紀念醫院神經內科門診治療，共花費1,870元。
（三）醫療器材費用：2,145元
原告因本次事故導致身體部位多處擦傷須購買敷料等醫療用品加以包紮，支出相關醫療器材費用2,145元。
（四）薪資損失：141,092元
原告於本次事故發生前原任職遠東國際專利商標事務所，每月薪資35,273元，因被告過失傷害行為致遭解雇，經休養四個月後始任職於新光吳火獅紀念醫院擔任行政工作，每月薪資3萬元，故請求四個月薪資損失141,092元。
（五）慰撫金：623,502元
原告因本次事故受傷後，每當外出時均擔憂會再度遭恣意由巷弄間竄出之車輛撞擊，導致身心經常處於緊繃不安之狀態。且因頭部遭受強力撞擊需定期回醫院門診追蹤治療、長期服用止痛藥、抗癲癇藥物抑制偏頭痛，更於事故發生後5日遽遭原任職遠東國際專利商標事務所解雇，造成原告身心所承受之痛苦深鉅。且被告始終未對原告表示過關心或慰問之意，毫無任何誠意可言，爰請求慰撫金623,502元。
（六）綜上所陳，被告應賠償原告之損害，包含機車維修費用6,900元、醫療費用26,366元、醫療器材費用2,145元、薪資損失141,092元及慰撫金623,502元，總計800,005元。</t>
        </is>
      </c>
      <c r="E7" s="9" t="n">
        <v>80</v>
      </c>
      <c r="F7" s="2" t="inlineStr">
        <is>
          <t>事實少了敘述原告受傷情形、賠償項目也少了機車維修費用</t>
        </is>
      </c>
    </row>
    <row r="8" ht="30" customHeight="1" thickBot="1">
      <c r="A8" t="n">
        <v>7</v>
      </c>
      <c r="B8" s="2" t="inlineStr">
        <is>
          <t>一、事故發生緣由:
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二、原告受傷情形:
原告受有頭部挫傷、頭暈、噁心想吐、頸部挫傷、疑腦震盪、背部拉傷、耳鳴等傷害，另受有急性壓力疾患、創傷性壓力症候群、急性壓力反應、適應障礙症併焦慮及憂鬱情緒等症狀（下稱系爭身心症狀）。
三、請求賠償的事實根據:
原告主張因本件車禍所受傷害，因而致臺大竹分院生醫醫院就醫支出醫療費用10,740元；並且原告因本件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原告主張其所有系爭車輛因本件事故受損、需以計程車代步，請求被告給付9,442元。
原告因本件事故所受傷害而於111年2月14日起至112年1月31日止期間，不能工作而受有薪資損失320,372元。
系爭車輛於106年8月出廠，在車況正常、保養情形良好下，經過新竹區汽車商業同業公會於111年4月28日鑑定之合理市價為33萬元，又原告於111年4月23日將系爭車輛以價金20萬元出賣予訴外人王其能，因此原告主張向被告請求賠償系爭車輛因本件事故所導致交易價值減損為13萬元。
原告主張系爭嬰兒車因本件事故受損致無法使用而需購買新品，而系爭嬰兒車經扣除折舊後之損害為10,850元。
原告主張因本件車禍而受有支出系爭車輛拖吊費1,171元。
原告因本件車禍受有頭部挫傷、頭暈、噁心想吐、頸部挫傷、疑腦震盪、背部拉傷等傷害，造成原告身心因此承受重大痛苦，並導致系爭身心症狀。又原告為碩士畢業，任職高中老師、月收入約8萬元，請求鈞院斟酌兩造經濟、身分地位，及被告前揭過失肇事及侵害情節、致原告受有前開傷害之程度、對原告所造成之痛苦等一切情狀，命被告賠償精神慰撫金300,000元。</t>
        </is>
      </c>
      <c r="C8" s="2" t="inlineStr">
        <is>
          <t>一、事實概述：
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是因被告前述疏失，致原告所駕駛之車輛受損，原告因此遭受財物損失。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（一）醫療費用：10,740元
原告因本次事故受傷就醫，支出醫療費用共計10,740元。
（二）經顱磁刺激費用：200,000元
原告因事故罹患身心症狀，醫師建議以自費經顱磁刺激治療，請求相關費用共計200,000元。
（三）看護費用：880,000元
原告因事故需專人看護，支出看護費用共計880,000元。
（四）代步交通費：9,442元
原告因車輛受損需代步，支出交通費用共計9,442元。
（五）工作損失：320,372元
原告因事故無法工作，受有薪資損失共計320,372元。
（六）車輛交易價值減損：130,000元
原告因事故導致車輛交易價值減損，請求賠償共計130,000元。
（七）嬰兒車損害：10,850元
原告因事故導致嬰兒車損壞，請求賠償共計10,850元。
（八）拖吊費：1,171元
原告因事故支出拖吊費用共計1,171元。
（九）精神慰撫金：300,000元
原告因事故遭受身心痛苦，請求精神慰撫金共計300,000元。
四、結論：綜上所陳，被告應賠償原告之損害，包含醫療費用10,740元、經顱磁刺激費用200,000元、看護費用880,000元、代步交通費9,442元、工作損失320,372元、車輛交易價值減損130,000元、嬰兒車損害10,850元、拖吊費1,171元、精神慰撫金300,000元，總計1,851,725元，並自起訴狀副本送達翌日起至清償日止，按年息5%計算之利息。</t>
        </is>
      </c>
      <c r="D8" s="8" t="inlineStr">
        <is>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致原告受有頭部挫傷、頭暈、噁心想吐、頸部挫傷、疑腦震盪、背部拉傷、耳鳴等傷害，並罹患急性壓力疾患、創傷性壓力症候群、急性壓力反應、適應障礙症併焦慮及憂鬱情緒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（一）醫療費用：210,740元
1. 已支出醫療費用：10,740元
原告因本次事故受傷，於臺大竹分院生醫醫院就醫支出醫療費用10,740元。
2. 未來醫療費用：200,000元
原告因本次事故罹患系爭身心症狀，需以自費之經顱磁刺激（eTMS）進行治療，費用為200,000元，有臺大竹分院生醫醫院111年3月30日及111年7月20日診斷證明書、平衡身心診所111年12月15日診斷證明書可稽。
（二）看護費用：880,000元
原告因本次事故受傷，自111年2月14日起至112年1月31日止期間，需由家屬擔任全日看護，以每日2,500元計算，共計880,000元。
（三）車輛損害：143,442元
1. 車輛交易價值減損：130,000元
原告所有之系爭車輛經新竹區汽車商業同業公會鑑定之合理市價為330,000元，原告以200,000元出售予訴外人王其能，損失交易價值130,000元。
2. 嬰兒車損害：10,850元
原告之系爭嬰兒車因本次事故受損致無法使用，經扣除折舊後之損害為10,850元。
（四）代步費用：1,171元
原告因本次事故支出車輛拖吊費1,171元。
（五）工作損失：320,372元
原告因本次事故自111年2月14日起至112年1月31日止期間，不能工作而受有薪資損失320,372元。
（六）慰撫金：300,000元
原告因本次事故受有頭部挫傷、頭暈、噁心想吐、頸部挫傷、疑腦震盪、背部拉傷等傷害，並罹患急性壓力疾患、創傷性壓力症候群、急性壓力反應、適應障礙症併焦慮及憂鬱情緒等症狀，造成原告身心承受重大痛苦。考量原告為碩士畢業，任職高中老師、月收入約8萬元，及被告前揭過失肇事及侵害情節、致原告受有前開傷害之程度、對原告所造成之痛苦等一切情狀，爰請求慰撫金300,000元。
（七）綜上所陳，被告應賠償原告之損害，包含醫療費用210,740元、看護費用880,000元、車輛損害143,442元、代步費用1,171元、工作損失320,372元及慰撫金300,000元，總計1,855,725元。</t>
        </is>
      </c>
      <c r="E8" s="9" t="n">
        <v>80</v>
      </c>
      <c r="F8" s="2" t="inlineStr">
        <is>
          <t>事實少了敘述原告受傷情形、慰撫金事實</t>
        </is>
      </c>
    </row>
    <row r="9" ht="30" customHeight="1" thickBot="1">
      <c r="A9" t="n">
        <v>8</v>
      </c>
      <c r="B9" s="2" t="inlineStr">
        <is>
          <t xml:space="preserve">一、事故發生緣由:
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二、原告受傷情形:
本件事故使原告受有右鎖骨骨折、四肢多處挫傷、右側遠端鎖骨骨折、右側股骨外髁軟骨骨折、右臂神經叢損傷及右上肢失去功能等重傷害（下稱系爭傷害）。
三、請求賠償的事實根據:
原告主張自系爭車禍發生已支出聯合醫院醫療費用460元、臺大醫院醫療費用8萬1,356元、長庚醫院醫療費用2,290元、高雄義大醫院108年11月22日至109年4月24日醫療費用47萬6,103元、高雄義大醫院109年7月17日至111年12月16日醫療費用5萬3,804元、高雄義大醫院112年3月10日至112年6月9日醫療費用4,280元、義大癌治療醫院112年9月1日醫療費用50元、義大癌治療醫院112年11月24日醫療費用50元，以上均有門診收據可證，以及原告因有持續復健需求，故支出物理矯正治療費用4萬5,500元，並有永春物理治療所治療收據可證。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萬1,600元。原告前往高雄義大醫院就醫支出之交通費用、高速公路過路費用、油資共4萬9,299元。系爭車禍導致機車受損，修理費用為5萬0,250元，且均為零件費用，此有山維修估價單為證。另查原告住院起至出院後，共需專人協助生活照料至少3個月已如上述，是原告因系爭事故不能工作之日數應為前開醫囑所載之期間即系爭事故發生日108年9月12日至109年3月7日，共計176日，又原告於系爭事故發生前之平均每月薪資為4萬9,791元，因此原告因系爭傷害後無法工作，而受有176日薪資損失即29萬2,160元（計算式：1,660元×176日＝29萬2,160元）。另外原告因本件事故經醫院鑑定勞動能力減損76%，查原告係00年0月00日出生，其勞動能力減損應自事發翌日（即108年9月13日）起算至其法定退休年齡65歲（即152年4月23日），共計43年7月10日。是依每月3萬元勞動能力減損76％計算，原告每月減損勞動能力之損失為2萬2,800元（計算式：3萬元×76％＝2萬2,800元），依霍夫曼式計算法扣除中間利息（首期給付不扣除中間利息）其勞動力減損金額為新臺幣633萬9,232元。並且原告至少需復健5年，未來需支出復健費用51萬元。原告另請求其支出診斷證明書費用、影印費用、鑑定報告書費用共計1萬2,966元。查本件原告於事發時為21歲，職業為工程師，卻因被告之過失行為致受有系爭傷害，右臂神經叢損傷與右上肢失去功能，目前右上肢嚴重萎縮且領有身心障礙手冊，已嚴重影響生活及未來職涯，已如前述，足見原告身心確受有相當程度痛苦，因此請求慰撫金50萬元。
</t>
        </is>
      </c>
      <c r="C9" s="2" t="inlineStr">
        <is>
          <t>一、事實概述：
緣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造成原告人車倒地。又被告因上開過失駕駛行為，經鈞院109年度審交易字第672號、臺灣高等法院109年度交上易字第412號判決，均認犯過失致重傷罪，足證被告針對本件事故之發生具有過失。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（一）醫療費用：819,580元
原告因本次事故受傷就醫，支出各醫院醫療費用共計819,580元。
（二）交通費：49,299元
原告因就醫產生交通、過路費、油資等交通費用共計49,299元。
（三）看護費用：391,600元
原告因本次事故需專人照護，支出看護費用共計391,600元。
（四）機車修理費：50,250元
原告因事故導致機車受損，修理費用共計50,250元。
（五）工作損失：292,160元
原告因本次事故無法工作，受有薪資損失共計292,160元。
（六）勞動力減損：6,339,232元
原告因事故導致勞動能力減損，計算損失共計6,339,232元。
（七）未來復健費：510,000元
原告預估未來需持續復健，所需費用共計510,000元。
（八）診斷鑑定費：12,966元
原告因事故產生診斷證明書、影印費、鑑定報告書等相關費用共計12,966元。
（九）慰撫金：500,000元
原告因本次事故受有身心痛苦，請求精神慰撫金500,000元。
四、結論：綜上所陳，被告應賠償原告之損害，包含醫療費用819,580元、交通費49,299元、看護費用391,600元、機車修理費50,250元、工作損失292,160元、勞動力減損6,339,232元、未來復健費510,000元、診斷鑑定費12,966元、慰撫金500,000元，總計8,965,087元，並自起訴狀副本送達翌日起至清償日止，按年息5%計算之利息。</t>
        </is>
      </c>
      <c r="D9" s="4" t="inlineStr">
        <is>
          <t xml:space="preserve">一、緣被告於民國108年9月12日上午8時36分許，騎乘車牌號碼000-000號普通重型機車，沿新北市中和區華中橋行駛時，本應注意變換車道時應讓直行車先行，並注意安全距離，竟疏未注意而貿然變換車道，致擦撞右側原告所騎乘之車牌000-0000號普通重型機車，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（一）醫療費用：614,329元
1. 聯合醫院醫療費用：460元
2. 臺大醫院醫療費用：81,356元
3. 長庚醫院醫療費用：2,290元
4. 高雄義大醫院醫療費用：576,187元（包含108年11月22日至109年4月24日之476,103元、109年7月17日至111年12月16日之53,804元、112年3月10日至112年6月9日之4,280元）
（二）復健費用：45,500元
原告因本次事故受有右鎖骨骨折、四肢多處挫傷、右側遠端鎖骨骨折、右側股骨外髁軟骨骨折、右臂神經叢損傷及右上肢失去功能等重傷害，需持續復健，支出物理矯正治療費用45,500元。
（三）看護費用：391,600元
原告因傷害導致生活無法自理，自108年9月12日至109年3月7日共計178日，由專人及家人照護，以全日照護費用每日2,200元計算，共計391,600元。
（四）交通費用：49,299元
原告前往高雄義大醫院就醫所支出之交通費用、高速公路過路費用、油資共計49,299元。
（五）車輛修理費用：50,250元
原告所騎乘之機車因本次事故受損，修理費用為50,250元。
（六）不能工作損失：292,160元
原告因本次事故自108年9月12日至109年3月7日共計176日無法工作，依其事故發生日之平均每月薪資49,791元計算，共受有292,160元之薪資損失。
（七）勞動能力減損：6,339,232元
原告因本次事故經醫院鑑定勞動能力減損76%，自事發翌日即108年9月13日起算至其法定退休年齡65歲即152年4月23日止，共計43年7月10日。依每月3萬元勞動能力減損76%計算，每月減損22,800元，扣除中間利息後之勞動力減損金額為6,339,232元。
（八）未來復健費用：510,000元
原告因本次事故需持續復健5年，預計支出復健費用510,000元。
（九）其他費用：12,966元
原告支出診斷證明書費用、影印費用、鑑定報告書費用共計12,966元。
（十）慰撫金：500,000元
查原告於事發時為21歲，職業為工程師，因本次事故受有右上肢嚴重萎縮，且領有身心障礙手冊，已嚴重影響其生活及未來職涯，且需持續復健5年，身心確受有相當程度痛苦，爰請求慰撫金500,000元。
（十一）綜上所陳，被告應賠償原告之損害，包含醫療費用614,329元、復健費用45,500元、看護費用391,600元、交通費用49,299元、車輛修理費用50,250元、不能工作損失292,160元、勞動能力減損6,339,232元、未來復健費用510,000元、其他費用12,966元及慰撫金500,000元，總計8,493,236元。
</t>
        </is>
      </c>
      <c r="E9" s="9" t="n">
        <v>80</v>
      </c>
      <c r="F9" s="2" t="inlineStr">
        <is>
          <t>事實少了敘述原告受傷情形、慰撫金相關事實</t>
        </is>
      </c>
    </row>
    <row r="10" ht="30" customHeight="1" thickBot="1">
      <c r="A10" t="n">
        <v>9</v>
      </c>
      <c r="B10" s="2" t="inlineStr">
        <is>
          <t>一、事故發生緣由：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二、原告受傷情形：
原告乙○○因而受有頭部挫傷合併顏面多處擦傷及牙齒斷裂、下腹部挫傷合併恥骨之兩側下分枝斷裂（骨折）、右側卵巢巧克力囊腫破裂致腹膜炎等傷害，丙○○因而受有顱腦損傷、顱內出血、顏面骨骨折等傷害。
三、請求賠償的事實根據：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t>
        </is>
      </c>
      <c r="C10" s="2" t="inlineStr">
        <is>
          <t>一、事實概述：
緣被告於民國94年10月10日20時6分許，駕駛車牌號碼3191-XA號自小客車，沿台南縣山上鄉○○村○○○○○道路由東往西方向行駛，於行經明和村明和192之6號前時，本應注意汽車不得逆向行駛，且應注意車前狀況，並減速慢行，作好隨時準備煞車之安全措施。依當時天氣晴朗、路面平坦無缺陷、無障礙物、桅距良好等情形，並無不能注意之情事，竟仍疏未注意，逆向駛入對向車道，致其所駕駛之自小客車車頭與由原告乙○○所騎乘、後方搭載原告丙○○，行駛於對向車道之UWL-1855號輕型機車發生對撞，致原告乙○○、丙○○人車倒地。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（一）原告乙○○之損害：
1. 醫藥費用：274,874元
原告乙○○因本次事故受傷就醫，支出醫藥費用274,874元。
2. 不能工作之損失：180,942元
原告乙○○因本次事故無法工作，受有工作損失180,942元。
3. 精神慰撫金：2,000,000元
原告乙○○因本次事故導致卵巢受損，可能導致不孕，承受巨大精神痛苦，請求精神慰撫金2,000,000元。
（二）原告丙○○之損害：
1. 醫藥費用：38,706元
原告丙○○因本次事故受傷就醫，支出醫藥費用38,706元。
2. 不能工作之損失：69,728元
原告丙○○因本次事故無法工作，受有工作損失69,728元。
3. 精神慰撫金：300,000元
原告丙○○因本次事故導致顱內出血及顏面骨折，造成身心痛苦，請求精神慰撫金300,000元。
四、結論：綜上所陳，被告應賠償原告乙○○之醫藥費用274,874元、不能工作之損失180,942元、精神慰撫金2,000,000元；原告丙○○之醫藥費用38,706元、不能工作之損失69,728元、精神慰撫金300,000元，總計2,864,250元，並自起訴狀副本送達翌日起至清償日止，按年息5%計算之利息。</t>
        </is>
      </c>
      <c r="D10" s="4" t="inlineStr">
        <is>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所駕駛之自小客車車頭與由原告乙○○所騎乘、後方搭載原告丙○○之UWL-1855號輕型機車發生對撞，致原告乙○○、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醫療費用：38,706元
原告丙○○因本次事故受有顱腦損傷、顱內出血、顏面骨骨折等傷害，支出醫療費用38,706元。
2. 工作損失：69,728元
原告丙○○因傷至少2個月不能工作，以92年、93年度扣繳憑單給付總額之平均數1個月34,860元計算，共損失69,728元。
3. 慰撫金：300,000元
原告丙○○因本次事故導致顱內出血及顏面骨折，有頭疼、頭暈且記憶力減退之後遺症，嚴重影響生活、工作及外貌，導致精神痛苦不堪，爰請求慰撫金300,000元。
（二）原告乙○○部分：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原告乙○○因傷無法工作期間達6個月以上，以其92年度綜合所得稅各類所得資料可知其每月工作所得為30,157元，以6個月計算，共損失180,942元。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因而使原告極其痛苦，爰請求慰撫金2,000,000元。
（三）綜上所陳，被告應賠償原告丙○○之損害，包含醫療費用38,706元、工作損失69,728元及慰撫金300,000元，總計408,434元；應賠償原告乙○○之損害，包含醫療費用274,874元、工作損失180,942元及慰撫金2,000,000元，總計2,455,816元。</t>
        </is>
      </c>
      <c r="E10" s="9" t="n">
        <v>82</v>
      </c>
      <c r="F10" s="2" t="inlineStr">
        <is>
          <t>事實少了部分的2位原告受傷情形</t>
        </is>
      </c>
    </row>
    <row r="11" ht="30" customHeight="1" thickBot="1">
      <c r="A11" t="n">
        <v>10</v>
      </c>
      <c r="B11" s="2" t="inlineStr">
        <is>
          <t>一、事故發生緣由:
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二、原告受傷情形:
原告甲父因系爭事故受有脾臟重度撕裂傷合併腹內出血及休克、左側第6至第9肋骨骨折、左小腿及左腳踝大面積傷口、左側肺挫傷併少量血胸等傷害。
原告甲母因系爭事故受有四肢及臉部多處挫傷及擦傷。
原告甲因系爭事故受有左膝挫傷、擦傷及左手第五掌骨閉鎖性骨折之傷害。
三、請求賠償的事實根據: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t>
        </is>
      </c>
      <c r="C11" s="2" t="inlineStr">
        <is>
          <t>一、事實概述：
緣被告於民國000年0月00日下午5時許，駕駛車牌號碼0000-00號自用小客車，自基隆市中正區碧砂漁港駛出欲右轉往中正路方向行駛之際，於該址路口本應注意行駛在閃紅燈之支線道車應暫停讓幹線道車先行，以避免危險或交通事故之發生，且依當時天候及路況，並無不能注意之情事，竟疏未注意上情而貿然前行。此時原告甲父騎乘車牌號碼000-000號普通重型機車，附載原告甲及甲母行駛至系爭地點，雙方因而發生碰撞，致原告甲、甲父、甲母分別受有身體傷害及財物損失。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（一）原告甲父之損害：
1. 醫療費用：53,715元
原告甲父因事故受傷就醫，支出醫療費用53,715元。
2. 看護費用：152,500元
原告甲父因住院及休養需要專人照顧，支出看護費用152,500元。
3. 交通費用：965元
原告甲父因就醫需求，支出交通費用965元。
4. 工作收入損失：335,070元
原告甲父因事故無法工作，受有工作收入損失335,070元。
5. 精神慰撫金：800,000元
原告甲父因嚴重傷勢及後續不適，請求精神慰撫金800,000元。
6. 財物損失：14,227元
原告甲父因事故導致車輛及個人物品受損，受有財物損失14,227元。
（二）原告甲母之損害：
1. 精神慰撫金：50,000元
原告甲母因事故導致外觀受損，請求精神慰撫金50,000元。
（三）原告甲之損害：
1. 精神慰撫金：150,000元
原告甲因事故導致身體受傷，影響生活與學業，請求精神慰撫金150,000元。
四、結論：綜上所陳，被告應賠償原告甲父之損害，包含醫療費用53,715元、看護費用152,500元、交通費用965元、工作收入損失335,070元、精神慰撫金800,000元、財物損失14,227元；原告甲母之損害包含精神慰撫金50,000元；原告甲之損害包含精神慰撫金150,000元，總計1,556,477元，並自起訴狀副本送達翌日起至清償日止，按年息5%計算之利息。</t>
        </is>
      </c>
      <c r="D11" s="4" t="inlineStr">
        <is>
          <t>一、緣被告於民國110年2月16日下午5時許，駕駛車牌號碼0000-00號自用小客車，自基隆市中正區碧砂漁港駛出欲右轉往中正路方向行駛之際，本應注意行駛在閃紅燈之支線道車應暫停讓幹線道車先行，竟疏未注意而貿然前行，與原告甲父騎乘之車牌號碼000-000號普通重型機車發生碰撞，致原告甲父、甲母及甲受有身體傷害，並造成原告甲父所有之車輛及其他財物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（一）原告甲父部分：
1. 醫療費用：53,715元
原告甲父因本次事故受有脾臟重度撕裂傷合併腹內出血及休克、左側第6至第9肋骨骨折、左小腿及左腳踝大面積傷口、左側肺挫傷併少量血胸等傷害，為此赴衛生福利部基隆醫院、長庚財團法人基隆長庚紀念醫院就醫，支出醫療費用53,715元。
2. 看護費用：152,500元
原告甲父因受傷住院期間需專人全日照顧，術後需休養3個月，以每日看護費用2,500元計算，共計152,500元。
3. 交通費用：965元
原告甲父因就醫需求，於110年2月16日搭乘救護車及多次搭乘計程車往返住家及醫院，支出交通費用965元。
4. 工作收入損失：335,070元
原告甲父因受傷需休養3個月，依其110年度全年薪資折算之日薪3,723元計算，共計損失335,070元。
5. 財物損失：14,227元
原告甲父所有之機車受損需支出修理費用7,977元，且因本次事故造成其手機、眼鏡、手錶、安全帽及衣服破損，受有價值6,250元之損害，共計14,227元。
6. 慰撫金：800,000元
原告甲父因本次事故受有嚴重傷害，需進入加護病房治療並接受多次手術，且出院後仍需長期休養，身體機能無法回復，迄今仍覺身體不適，爰請求慰撫金800,000元。
（二）原告甲母部分：
慰撫金：50,000元
原告甲母因本次事故受有四肢及臉部多處挫傷及擦傷，造成破相及永久影響外觀，爰請求慰撫金50,000元。
（三）原告甲部分：
慰撫金：150,000元
原告甲因本次事故受有左膝挫傷、擦傷及左手第五掌骨閉鎖性骨折之傷害，經多次回診治療，左手掌需以外物固定而無法彎曲，生活學業均受影響，且有永久影響左手握力與日常生活功能之虞，爰請求慰撫金150,000元。
（四）綜上所陳，被告應賠償原告甲父之損害，包含醫療費用53,715元、看護費用152,500元、交通費用965元、工作收入損失335,070元、財物損失14,227元及慰撫金800,000元，總計1,356,477元；應賠償原告甲母慰撫金50,000元；應賠償原告甲慰撫金150,000元。</t>
        </is>
      </c>
      <c r="E11" s="9" t="n">
        <v>78</v>
      </c>
      <c r="F11" s="2" t="inlineStr">
        <is>
          <t>事實少了敘述3位原告許多受傷情形</t>
        </is>
      </c>
    </row>
    <row r="12" ht="30" customHeight="1" thickBot="1">
      <c r="A12" t="n">
        <v>11</v>
      </c>
      <c r="B12" s="2" t="inlineStr">
        <is>
          <t>一、事故發生緣由:
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二、原告受傷情形:
本件事故使原告林肜宇受有頭部、左側手肘、膝部、足部、雙側手部挫擦傷、左側第六肋骨及肩胛骨閉肩胛性骨折等傷害（下稱系爭傷害），並造成系爭機車受損。
另外原告吳彩雲則受有左側肩膀、手部、髖部及足部挫擦傷等傷害（下稱系爭傷勢）。
三、請求賠償的事實根據:
原告林肜宇主張因治療系爭傷害，支出醫療暨醫療耗材費用共2萬0185元，並提出新北市立聯合醫院急診醫療費用收據、固的診所自費醫療明細收據暨藥品明細收據、臺北榮民總醫院門診醫療費用明細收據暨急診醫療費用明細收據等作為證據。
並且根據臺北榮民總醫院111年10月28日診斷證明書記載：「病人因上述病症於111年8月5日、8月10日、8月24日、9月7日、9月28日、10月28日至本院門診，傷後需專人照顧兩個月及宜繼續門診治療追蹤複查。」顯示其需專人看護2個月，以每日看護2200元計算，費用為13萬2000元。
又因系爭傷害有2個月不能工作，事故發生前每月薪資為16萬2000元，故請求被告賠償其休養期間不能工作之損失為32萬4000元。
且因本件車禍足部受傷，回診必須搭乘計程車，已支付就醫交通費用1335元，並提出計程車乘車為證。
系爭機車受損修復費用一共7970元(均為零件)，有必榮機車材料行開立之估價單當作證據。
其因系爭傷害需要定期就醫回診，生活受到相當程度影響，受有相當之精神痛苦，故請求精神慰撫金20萬元。
原告吳彩雲主張因治療系爭傷勢，支出醫療費用3200元，並有新北市立聯合醫院急診醫療費用收據及臺北榮民總醫院門診醫療費用明細收據等作為證據。
其主張本件車禍發生前，任職於台鼎有限公司，每月收入薪資為3萬元，因系爭傷勢需休養3日無法工作，故向公司請假3日，以每月薪資3萬元計算受有薪資損失3000元，並有銀行存摺明細乙份作為證據。
其因系爭傷勢同樣需要就醫回診，承受身體不適及工作上受到相當程度影響，受有相當之精神痛苦，故請求精神慰撫金5萬元。</t>
        </is>
      </c>
      <c r="C12" s="2" t="inlineStr">
        <is>
          <t>一、事實概述：
緣被告於民國111年8月4日23時17分許，無駕駛執照，騎駛車牌號碼000-0000號普通重型機車，沿新北市三重區中正北路往蘆洲方向行駛，行經中正北路及中正北路312巷之交岔路口時，本應注意機車行駛時，駕駛人應注意車前狀況，並隨時採取必要之安全措施，而依當時天候晴朗，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林肜宇及吳彩雲均人車倒地。被告上開行為，經鈞院113年度審交簡字第50號刑事簡易判決判處拘役40日有罪確定，足證被告針對本件事故之發生具有過失。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（一）原告林肜宇之損害：
1. 醫療費用：20,185元
原告林肜宇因本次事故受傷就醫，支出醫療費用20,185元。
2. 看護費用：132,000元
原告林肜宇因本次事故需專人看護2個月，支出看護費用132,000元。
3. 工作損失：324,000元
原告林肜宇因本次事故無法工作2個月，受有工作損失324,000元。
4. 交通費：1,335元
原告林肜宇因本次事故就醫，支出交通費用1,335元。
5. 車輛損失：7,970元
原告林肜宇因本次事故機車受損，支出修復費用7,970元。
6. 慰撫金：200,000元
原告林肜宇因本次事故受有身心痛苦，請求精神慰撫金200,000元。
（二）原告吳彩雲之損害：
1. 醫療費用：3,200元
原告吳彩雲因本次事故受傷就醫，支出醫療費用3,200元。
2. 工作損失：3,000元
原告吳彩雲因本次事故無法工作3日，受有工作損失3,000元。
3. 慰撫金：50,000元
原告吳彩雲因本次事故受有身心痛苦，請求精神慰撫金50,000元。
四、結論：綜上所陳，被告應賠償原告林肜宇之損害，包含醫療費用20,185元、看護費用132,000元、工作損失324,000元、交通費1,335元、車輛損失7,970元、慰撫金200,000元；原告吳彩雲醫療費用3,200元、工作損失3,000元、慰撫金50,000元，總計741,690元，並自起訴狀副本送達翌日起至清償日止，按年息5%計算之利息。</t>
        </is>
      </c>
      <c r="D12" s="4" t="inlineStr">
        <is>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均人車倒地。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（一）原告林肜宇之損害：
1. 醫療費用：20,185元
原告林肜宇因本次事故受有頭部、左側手肘、膝部、足部、雙側手部挫擦傷、左側第六肋骨及肩胛骨閉肩胛性骨折等傷害，為治療上開傷勢而就醫，支出醫療暨醫療耗材費用20,185元。
2. 看護費用：132,000元
依臺北榮民總醫院111年10月28日診斷證明書記載，原告林肜宇需專人照顧2個月，以每日看護2,200元計算，共計132,000元。
3. 工作損失：324,000元
原告林肜宇因本次事故受傷，需休養2個月無法工作，依其事故發生前每月薪資162,000元計算，共計324,000元。
4. 交通費用：1,335元
原告林肜宇因足部受傷就醫需搭乘計程車，支出交通費用1,335元。
5. 車輛修復費用：7,970元
原告林肜宇所騎乘之機車因本次事故受損，修復費用為7,970元。
6. 慰撫金：200,000元
原告林肜宇因本次事故受有上開傷害，需定期就醫回診，生活受到相當程度影響，受有相當之精神痛苦，爰請求慰撫金200,000元。
（二）原告吳彩雲之損害：
1. 醫療費用：3,200元
原告吳彩雲因本次事故受有左側肩膀、手部、髖部及足部挫擦傷等傷害，為治療上開傷勢而就醫，支出醫療費用3,200元。
2. 工作損失：3,000元
原告吳彩雲任職於台鼎有限公司，每月薪資30,000元，因本次事故需請假3日無法工作，受有薪資損失3,000元。
3. 慰撫金：50,000元
原告吳彩雲因本次事故受有上開傷害，需就醫回診，承受身體不適及工作上受到相當程度影響，受有相當之精神痛苦，爰請求慰撫金50,000元。
（三）綜上所陳，被告應賠償原告林肜宇之損害，包含醫療費用20,185元、看護費用132,000元、工作損失324,000元、交通費用1,335元、車輛修復費用7,970元及慰撫金200,000元，總計685,490元；應賠償原告吳彩雲之損害，包含醫療費用3,200元、工作損失3,000元及慰撫金50,000元，總計56,200元。兩原告之請求金額合計741,690元，並自起訴狀副本送達翌日起至清償日止，按年息5%計算之利息。</t>
        </is>
      </c>
      <c r="E12" s="9" t="n">
        <v>80</v>
      </c>
      <c r="F12" s="2" t="inlineStr">
        <is>
          <t>事實少了敘述2位原告受傷情形</t>
        </is>
      </c>
    </row>
    <row r="13" ht="30" customHeight="1" thickBot="1">
      <c r="A13" t="n">
        <v>12</v>
      </c>
      <c r="B13" s="2" t="inlineStr">
        <is>
          <t>一、事故發生緣由:
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二、原告受傷情形:
甲○○受有左側鎖骨骨折、左肘、左手、右膝、雙腳小腿擦傷、胸部挫傷等傷害；乙○○受有右足、左下背、左大腿挫傷之傷害。
三、請求賠償的事實根據:
原告甲○○主張為此支出醫療費用167,384元（含轉診救護車費用），甲○○提出中科院石園聯合診所門診醫療費用明細收據可為證據。又甲○○主張111年11月23日國軍桃園總醫院防護民眾診療服務處診斷證明書記載「甲○○111年11月12日受傷急診入院，同日接受骨折復位及內固定手術，翌日出院，須休養3個月及專人照顧1個月。而甲○○因骨折型態為粉碎性骨折，術後一個月應禁止大幅度上臂活動，且因劇烈疼痛，需全日專人照顧」等情，因此甲○○以專人照顧1個月，每日2,500元，請求看護費用75,000元。甲○○因本次交通事故請假共3個月又4日，請求工作損失245,935元。另外甲○○之機車因拖吊支出機車拖吊費2,000元，此有免用統一發票1紙為證據。甲○○並主張系爭機車因被告之過失行為受損，經折舊後之價額為87,175元，再扣除變賣機車之24,000元，認被告應賠償63,175元。而甲○○的安全帽、藍芽通訊器、衣服、外套、手機架、大風鏡等物品因此次事故毀損，請求被告賠償財產損失共17,740元。查甲○○因被告之過失行為而有如上所述之傷害，住院兩次共3日，門診達20餘次，精神自受有相當痛苦，請求精神慰撫金35萬元。 另查乙○○因本次事故受有多處挫傷，並且飽受驚嚇，不敢騎車上路，身體似未完全康復，請求被告給付精神慰撫金5萬元。</t>
        </is>
      </c>
      <c r="C13" s="2" t="inlineStr">
        <is>
          <t>一、事實概述：
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之NME-3378號牌普通重型機車。被告因系爭事故過失傷害原告甲○○而為鈞院112年度交易字第614號刑事判決判刑確定，足證原告甲○○因被告之過失傷害行為受有損害。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（一）醫療費用：167,384元
原告因本次事故受傷就醫，支出醫療費用共計167,384元。
（二）看護費用：75,000元
原告因本次事故需專人照顧，支出看護費用共計75,000元。
（三）工作損失：245,935元
原告因本次事故無法工作，受有薪資損失共計245,935元。
（四）機車損害：63,175元
原告機車因事故受損，經折舊及變賣後之損失為63,175元。
（五）財物損失：17,740元
原告因事故導致安全帽等財物毀損，請求賠償財物損失共計17,740元。
（六）精神慰撫金（甲○○）：350,000元
原告甲○○因本次事故受有身心痛苦，請求精神慰撫金共計350,000元。
（七）精神慰撫金（乙○○）：50,000元
原告乙○○因本次事故受驚嚇及身體不適，請求精神慰撫金共計50,000元。
四、結論：綜上所陳，被告應賠償原告甲○○之損害，包含醫療費用167,384元、看護費用75,000元、工作損失245,935元、機車損害63,175元、財物損失17,740元、精神慰撫金350,000元；原告乙○○之精神慰撫金50,000元，總計969,234元，並自起訴狀副本送達翌日起至清償日止，按年息5%計算之利息。</t>
        </is>
      </c>
      <c r="D13" s="4" t="inlineStr">
        <is>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致原告甲○○受有左側鎖骨骨折、左肘、左手、右膝、雙腳小腿擦傷、胸部挫傷等傷害，原告乙○○受有右足、左下背、左大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（一）醫療費用：167,384元
原告甲○○因本次事故受傷，支出醫療費用167,384元（含轉診救護車費用），有中科院石園聯合診所門診醫療費用明細收據可稽。
（二）看護費用：75,000元
依國軍桃園總醫院防護民眾診療服務處診斷證明書記載，原告甲○○因骨折型態為粉碎性骨折，術後一個月應禁止大幅度上臂活動，且因劇烈疼痛，需全日專人照顧，故以專人照顧1個月，每日2,500元計算，共計75,000元。
（三）工作損失：245,935元
原告甲○○因本次交通事故請假共3個月又4日，計算工作損失為245,935元。
（四）車輛損害：63,175元
原告甲○○所有之NME-3378號牌普通重型機車因本次事故受損，經折舊後之價額為87,175元，再扣除變賣機車之24,000元，故請求63,175元。
（五）財物損失：17,740元
原告甲○○之安全帽、藍芽通訊器、衣服、外套、手機架、大風鏡等物品因本次事故毀損，損失金額為17,740元。
（六）慰撫金：
1. 原告甲○○：350,000元
原告甲○○因本次事故受有如上所述之傷害，住院兩次共3日，門診達20餘次，精神上受有相當痛苦，爰請求慰撫金350,000元。
2. 原告乙○○：50,000元
原告乙○○因本次事故受有多處挫傷，並且飽受驚嚇，不敢騎車上路，身體似未完全康復，爰請求慰撫金50,000元。
（七）綜上所陳，被告應賠償原告甲○○之損害，包含醫療費用167,384元、看護費用75,000元、工作損失245,935元、車輛損害63,175元、財物損失17,740元及慰撫金350,000元，總計919,234元；應賠償原告乙○○之損害為慰撫金50,000元。</t>
        </is>
      </c>
      <c r="E13" s="9" t="n">
        <v>85</v>
      </c>
      <c r="F13" s="2" t="inlineStr">
        <is>
          <t>比起GPT的答案，有正確出現刑事判決敘述
事實少了敘述2位原告受傷情形，哪些財物有損失的敘述也不完整</t>
        </is>
      </c>
    </row>
    <row r="14" ht="30" customHeight="1" thickBot="1">
      <c r="A14" t="n">
        <v>13</v>
      </c>
      <c r="B14" s="2" t="inlineStr">
        <is>
          <t>一、事故發生緣由:
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二、原告受傷情形:
原告陳慶華因此受有左肩及右小腿挫傷之傷害，原告朱庭慧則受有頭部外傷合併右眼瞼撕裂傷、牙齦挫傷等傷害。
三、請求賠償的事實根據:
（一）原告陳慶華部分：
1. 醫療費用1,036元：
原告陳慶華因本次車禍所受傷害，前往淡水馬偕醫院治療，支出醫療費用1,036 元，並有醫療費用單據為證。
2. 車損修理費用413,300元：
系爭自小客車因本次車禍嚴重受損，需支出修復費用預估為413,300元，並有鑫都材料行所出具之修復估價單為證。
3. 精神慰撫金30萬元：
原告陳慶華為大學畢業，於事故發生時為28歲，職業為甜點師，月收入約為3 萬8千元，而被告於本次車禍後拒絕承認肇事責任，亦不賠償原告損害，甚且誣指原告陳慶華肇事逃逸，更加深原告痛苦，爰請求被告給付精神慰撫金30萬元。
（二）原告朱庭慧部分：
1. 醫療費用4,862元：
原告朱庭慧因本次車禍所受傷害，前往淡水馬偕醫院急診及後續門診治療，合計支出醫療費用4,862 元。
2. 薪資損失3,225元：
原告朱庭慧因本次車禍受傷，向任職公司請假，而遭扣薪共3,225元。
3. 精神慰撫金30萬元：
原告為大學畢業，於事故發生時為27歲，職業為未婚聯誼顧問，月收入約為5 至6 萬元原告朱庭慧因本次車禍受傷，於臉上留下疤痕，身心恐懼，經常失眠，且因此自信受創，業績下降，被告事後拒絕承認肇事責任，亦不賠償原告損害，經檢察官起訴後仍毫無悔意，更加深原告痛苦，爰請求被告給付精神慰撫金30萬元。</t>
        </is>
      </c>
      <c r="C14" s="11" t="inlineStr">
        <is>
          <t>一、事實概述：
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陳慶華及原告朱庭慧兩人皆人車倒地受傷。被告前揭過失傷害行為，經鈞院刑事庭以107年度交易字第100號判決判處拘役55日，嗣經臺灣高等法院以107年度交上易字第483號判決駁回上訴而確定，足證被告具有過失。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（一）原告陳慶華之損害：
1. 醫療費用：1,036元
原告陳慶華因本次事故受傷就醫，支出醫療費用1,036元。
2. 車損修理費用：413,300元
原告陳慶華因本次事故車輛受損，支出修復費用413,300元。
3. 精神慰撫金：300,000元
原告陳慶華因被告拒絕承認責任及誣指肇事逃逸，遭受精神痛苦，請求精神慰撫金300,000元。
（二）原告朱庭慧之損害：
1. 醫療費用：4,862元
原告朱庭慧因本次事故受傷就醫，支出醫療費用4,862元。
2. 薪資損失：3,225元
原告朱庭慧因本次事故請假，遭受薪資扣除損失3,225元。
3. 精神慰撫金：300,000元
原告朱庭慧因臉部留下疤痕、自信受創、業績下降及被告拒絕承認責任，遭受精神痛苦，請求精神慰撫金300,000元。
四、結論：綜上所陳，被告應賠償原告陳慶華之損害，包含醫療費用1,036元、車損修理費用413,300元、精神慰撫金300,000元；原告朱庭慧之損害包含醫療費用4,862元、薪資損失3,225元、精神慰撫金300,000元，總計422,423元，並自起訴狀副本送達翌日起至清償日止，按年息5%計算之利息。</t>
        </is>
      </c>
      <c r="D14" s="12" t="inlineStr">
        <is>
          <t>一、事實概述：
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陳慶華及原告朱庭慧人車倒地受傷。被告前揭過失傷害行為，經鈞院刑事庭以107年度交易字第100號判決判處拘役55日，嗣經臺灣高等法院以107年度交上易字第483號判決駁回上訴而確定，足證被告具有過失。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（一）原告陳慶華之損害：
1. 醫療費用：1,036元
原告陳慶華因本次事故受傷就醫，支出醫療費用1,036元。
2. 車損修理費用：413,300元
原告陳慶華因本次事故車輛受損，支出修復費用413,300元。
3. 精神慰撫金：300,000元
原告陳慶華因被告拒絕承認肇事責任並誣指其肇事逃逸，承受精神痛苦，請求精神慰撫金300,000元。
（二）原告朱庭慧之損害：
1. 醫療費用：4,862元
原告朱庭慧因本次事故受傷就醫，支出醫療費用4,862元。
2. 薪資損失：3,225元
原告朱庭慧因本次事故請假，遭受薪資扣減3,225元。
3. 精神慰撫金：300,000元
原告朱庭慧因臉部留疤、自信受創且被告拒絕賠償，承受精神痛苦，請求精神慰撫金300,000元。
四、結論：綜上所陳，被告應賠償原告陳慶華之損害，包含醫療費用1,036元、車損修理費用413,300元、精神慰撫金300,000元；原告朱庭慧之損害包含醫療費用4,862元、薪資損失3,225元、精神慰撫金300,000元，總計1,027,285元，並自起訴狀副本送達翌日起至清償日止，按年息5%計算之利息。</t>
        </is>
      </c>
      <c r="E14" s="9" t="n">
        <v>80</v>
      </c>
      <c r="F14" s="2" t="inlineStr">
        <is>
          <t>GPT答案的欄位可能複製錯了?
少了2位原告大部分的受傷情形、慰撫金敘述</t>
        </is>
      </c>
    </row>
    <row r="15" ht="30" customHeight="1" thickBot="1">
      <c r="A15" t="n">
        <v>14</v>
      </c>
      <c r="B15" s="2" t="inlineStr">
        <is>
          <t>一、事故發生緣由:
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下稱系爭機車，李承祐當時係騎系爭機車搭載賴秀雲，沿黎明路由東往西方向行駛）擦撞之車禍事故（下稱系爭車禍事故）。
二、原告受傷情形:
因本件事故導致賴秀雲受有右肘、右足、右側胸壁挫傷、右足撕裂傷等傷害；李承祐受有腰椎椎間盤突出之傷害。
三、請求賠償的事實根據:
原告賴秀雲主張因系爭車禍事故受有上開傷害，而前往臺中榮民總醫院（下稱臺中榮總）就醫花費9,160元，於高堂中醫診所花費4萬4628元，花費蕭永明骨科診所診療費1萬5350元、新奇美診所診療費4,100元。
並且因系爭車禍事故受傷，支出紗布及藥水衍生損失4,050元，並有發票及收據為證。
其因系爭車禍事故受傷，受有不能工作之損失總計10週，金額合計6萬2970元，並有臺中榮總診斷證明書、員工薪資單為證。
並因系爭車禍事故而導致系爭機車損壞，維修之零件金額為1萬8200元，工資金額為1萬800元，零件經計算折舊後，加計工資之維修費用結果為1萬2620元，，有系爭機車維修估價單為證。
而賴秀雲之眼鏡架因系爭車禍事故損壞，損失4,250元。
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萬1225元。
賴秀雲更因系爭車禍事故受傷後，受有勞動力減損2萬3622元。
末查賴秀雲為國小畢業，目前已退休，無收入，系爭車禍事故發生前月薪約2萬6000元，無存款、無汽車及不動產，因系爭車禍事故受有右肘、右足、右側胸壁挫傷、右足撕裂傷等傷害，造成精神痛苦，爰請求精神慰撫金30萬元。
原告李承祐主張因系爭車禍事故受有上開傷害，前往臺中榮總就診花費醫藥費用9,290元、高堂聯合中醫診所醫藥費用1萬2000元以及蕭永明骨科診所醫藥費用2萬3150元。
另外李承祐因傷復健需要購買護腰莢1,242元。
而李承祐因上開傷害而不良於行，需支出就醫之交通費用1萬9755元。
李承祐並主張系爭車禍事故經其送交臺中市車輛行車事故鑑定委員會、臺中市車輛行車事故鑑定覆議委員會進行鑑定、覆議，支出鑑價費用5,000元，請求被告應給付一半即2,500元，並有鑑價費之統一發票為證。
李承祐另外主張因受有上開傷害而無法上班，受有薪資損失57萬6000元。
李承祐因系爭車禍事故經鑑定勞動能力減損12%，其係00年00月00日生，迄至110年12月13日發生車禍時，為45歲，經扣除李承祐前所主張不能工作損失之期間後，至自112年2月起算至李承祐65歲強制退休之年齡止，原告可工作之期間應為18年9月又21日；又李承祐於系爭車禍事故時並無工作，是以最低基本工資作為計算之標準，而依照行政院勞動部公布之110年最低基本工資為每月2萬4000元，則李承祐每月之勞動能力減損之金額應為2,880元，依霍夫曼式計算法扣除中間利息（首期給付不扣除中間利息）核計其金額為新臺幣45萬8897元。
查李承祐為高職肄業，目前為自由職業，無固定收入，無存款、有汽機車各1部，無不動產，因系爭車禍事故受有腰椎椎間盤突出之傷害，受有精神上痛苦，爰請求精神慰撫金30萬元。</t>
        </is>
      </c>
      <c r="C15" s="2" t="inlineStr">
        <is>
          <t>一、事實概述：
緣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李承祐當時係騎該車搭載賴秀雲，沿黎明路由東往西方向行駛）擦撞之車禍事故。因被告前述行為，致原告李承祐及賴秀雲受到損害。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（一）原告賴秀雲之損害：
1. 醫療費用：90,033元
原告賴秀雲因本次事故受傷就醫，支出醫療費用90,033元（臺中榮總9,160元+高堂中醫診所44,628元+蕭永明骨科診所15,350元+新奇美診所4,100元）。
2. 藥品及耗材費用：4,050元
原告賴秀雲因本次事故受傷，購買紗布及藥水產生費用4,050元。
3. 工作損失：62,970元
原告賴秀雲因本次事故受傷無法工作10週，受有工作損失62,970元。
4. 車輛維修費用：12,620元
原告賴秀雲因本次事故機車受損，維修費用為12,620元。
5. 交通費：未明確金額
原告賴秀雲因本次事故就醫產生交通費，但金額未明確列出。
6. 精神慰撫金：300,000元
原告賴秀雲因本次事故受有身心痛苦，請求精神慰撫金300,000元。
（二）原告李承祐之損害：
1. 醫療費用：未明確金額
原告李承祐因本次事故受傷就醫，但未明確列出醫療費用總額。
2. 工作損失：458,897元
原告李承祐因本次事故無法工作，受有工作損失458,897元。
3. 精神慰撫金：300,000元
原告李承祐因本次事故受有身心痛苦，請求精神慰撫金300,000元。
4. 車輛損失：未明確金額
原告李承祐因本次事故車輛受損，但未明確列出車輛損失總額。
四、結論：綜上所陳，被告應賠償原告賴秀雲之損害，包含醫療費用90,033元、藥品及耗材費用4,050元、工作損失62,970元、車輛維修費用12,620元、精神慰撫金300,000元；原告李承祐工作損失458,897元、精神慰撫金300,000元，總計701,808元，並自起訴狀副本送達翌日起至清償日止，按年息5%計算之利息。</t>
        </is>
      </c>
      <c r="D15" s="5" t="inlineStr">
        <is>
          <t>一、緣被告於110年12月13日10時1分許，駕駛車號00-0000號自用小客車，沿臺中市西屯區港隆街由凱旋路往黎明路方向行駛至黎明路岔路口時，因疏於注意減速讓幹道車優先通行，即貿然行駛，致與原告李承祐所騎車號000-0000普通重型機車發生擦撞，致原告賴秀雲受有右肘、右足、右側胸壁挫傷、右足撕裂傷等傷害，原告李承祐受有腰椎椎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（一）原告賴秀雲之損害：
1. 醫療費用：59,038元
原告賴秀雲因本次事故受傷，前往臺中榮民總醫院就醫花費9,160元，高堂中醫診所花費44,628元，蕭永明骨科診所診療費1,535元，新奇美診所診療費4,100元。
2. 醫療用品費用：4,050元
原告賴秀雲因本次事故受傷，支出紗布及藥水費用4,050元。
3. 不能工作損失：62,970元
原告賴秀雲因本次事故受傷，不能工作10週，受有薪資損失62,970元。
4. 車輛修復費用：12,620元
原告賴秀雲所騎乘之機車因本次事故受損，維修零件費用18,200元，工資金額10,800元，零件經計算折舊後，加計工資之維修費用為12,620元。
5. 眼鏡架損失：4,250元
原告賴秀雲之眼鏡架因本次事故損壞，損失4,250元。
6. 交通費用：21,225元
原告賴秀雲因本次事故受傷就醫需搭乘計程車，支出交通費用21,225元。
7. 勞動力減損：23,622元
原告賴秀雲因本次事故受傷，受有勞動力減損23,622元。
8. 慰撫金：300,000元
原告賴秀雲年滿71歲，因本次事故受有右肘、右足、右側胸壁挫傷、右足撕裂傷等傷害，造成身體及精神上之痛苦，爰請求慰撫金300,000元。
（二）原告李承祐之損害：
1. 醫療費用：32,440元
原告李承祐因本次事故受傷，前往臺中榮民總醫院就診花費9,290元，高堂聯合中醫診所醫藥費用12,000元，蕭永明骨科診所醫藥費用23,150元。
2. 醫療用品費用：1,242元
原告李承祐因本次事故受傷，需購買護腰莢1,242元。
3. 交通費用：19,755元
原告李承祐因傷復健需就醫，支出交通費用19,755元。
4. 鑑價費用：2,500元
原告李承祐因本次事故支出鑑價費用5,000元，請求被告給付一半即2,500元。
5. 薪資損失：576,000元
原告李承祐因本次事故受傷無法上班，受有薪資損失576,000元。
6. 勞動能力減損：458,897元
原告李承祐經鑑定勞動能力減損12%，自110年12月13日起算至65歲退休時止，勞動能力減損458,897元。
7. 慰撫金：300,000元
原告李承祐因本次事故受有腰椎椎間盤突出之傷害，造成身體及精神上之痛苦，爰請求慰撫金300,000元。
（三）綜上所陳，被告應賠償原告賴秀雲之損害，包含醫療費用59,038元、醫療用品費用4,050元、不能工作損失62,970元、車輛修復費用12,620元、眼鏡架損失4,250元、交通費用21,225元、勞動力減損23,622元及慰撫金300,000元，總計488,775元；應賠償原告李承祐之損害，包含醫療費用32,440元、醫療用品費用1,242元、交通費用19,755元、鑑價費用2,500元、薪資損失576,000元、勞動能力減損458,897元及慰撫金300,000元，總計1,390,834元。兩原告請求賠償總計1,879,609元。</t>
        </is>
      </c>
      <c r="E15" s="9" t="n">
        <v>70</v>
      </c>
      <c r="F15" s="2" t="inlineStr">
        <is>
          <t>法條錯誤引用§188
事實少了敘述2位原告受傷情形
李姓原告的車輛損害根據輸入內容可以得知，尚待鑑定，也就不需要在請求賠償寫「未明確列出車輛損失總額」</t>
        </is>
      </c>
    </row>
    <row r="16" ht="30" customHeight="1" thickBot="1">
      <c r="A16" t="n">
        <v>15</v>
      </c>
      <c r="B16" s="2" t="inlineStr">
        <is>
          <t>一、事故發生緣由:
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訴外人王惠滿，另一原告王惠華，沿同向行駛於上揭被告所駕駛車輛前方，嗣被告所駕上揭車輛竟自後追撞系爭車輛(下稱系爭事故)。
二、原告受傷情形:
系爭事故導致原告陳皆宏因而受有頭痛之傷害；原告王惠滿受有腦震盪之傷害。
三、請求賠償的事實根據:
原告陳皆宏為治療系爭事故所生之傷勢，前往廣福診所醫院治療，合計醫療費用支出466元。系爭事故後，因系爭車輛經拖吊，當日即有返家之交通費用1,855元支出。原告陳皆宏於治療系爭傷勢期間支出交通費用700元。系爭車輛於修復期間，故而無法使用，故而上下班、快出會議拜訪客戶、接送小孩、數次前往調解、法院之交通費用12,820元。末原告陳皆宏因系爭車輛無法使用，故而有以租賃代步，期間一個月之費用為34,000元。系爭車輛因系爭事故致交易價格減損，經原告向第三方鑑定單位鑑定後，系爭車輛事故發生前價值約950,000元，修復後之價值為840,000元，顯見其市場交易之價值貶損為100,000元。原告陳皆宏因本件系爭事故，前後前往調解至須請假而有工作損失3,000元，嗣因此遭公司非自願離職，為此請求損失5,000元；上合計8,000元。系爭車輛受損後，原告被迫接受無法用車之不便、需另外於住家與公司重新設定、已規劃之行程取消，及額外支出心力安撫親戚家人，故請求精神慰撫金10,000元。而原告王惠滿則為治療系爭事故所生之傷勢，前後前往臺北市立聯合醫院(下稱聯合醫院)、全心中醫診所回診、追蹤等治療，為此之支出醫療費用13,532元。並因受有系爭傷勢，致有後續門診回診之必要，並因此多次前往醫院就診復健，合計迄今原告支出之交通費用為23,525元。又因為系爭腦震盪傷勢致受有相當精神上之痛苦，故請求精神慰撫金72,000元。</t>
        </is>
      </c>
      <c r="C16" s="2" t="inlineStr">
        <is>
          <t>一、事實概述：
緣被告於民國000年0月00日下午5時35分許，駕駛車牌號碼000-0000號營業自小客車，沿國道三號高速公路由南往北方向行駛，行經桃園市○○區○道○號66公里100公尺處時，本應注意車前狀況並隨時採取必要之安全措施。依當時天候晴、日間自然光線、柏油路面乾燥、無缺陷、無障礙物阻擋、視距良好，並無不能注意之情事，竟疏未注意及此，即貿然前行。適有原告陳皆宏駕駛車牌號碼000-0000號自用小客車，車上搭載乘客訴外人王惠滿及另一原告王惠華，沿同向行駛於上揭被告所駕駛車輛前方，嗣被告所駕上揭車輛竟自後追撞原告陳皆宏所駕駛之系爭車輛，致發生本件交通事故。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（一）原告陳皆宏之損害：
1. 醫療費用：466元
原告陳皆宏因本次事故就醫，支出醫療費用466元。
2. 交通費：15,575元
原告陳皆宏因本次事故及車輛修復期間，支出交通費用15,575元（466+1,855+700+12,820）。
3. 代步租車費：34,000元
原告陳皆宏因車輛無法使用，支出代步租車費用34,000元。
4. 車輛價值減損：100,000元
原告陳皆宏因車輛受損，導致市場交易價值減損100,000元。
5. 工作損失：8,000元
原告陳皆宏因調解及公司非自願離職，受有工作損失8,000元。
6. 精神慰撫金：10,000元
原告陳皆宏因本次事故受有身心痛苦，請求精神慰撫金10,000元。
（二）原告王惠滿之損害：
1. 醫療費用：13,532元
原告王惠滿因本次事故就醫，支出醫療費用13,532元。
2. 交通費：23,525元
原告王惠滿因本次事故就醫，支出交通費用23,525元。
3. 精神慰撫金：72,000元
原告王惠滿因本次事故受有相當精神痛苦，請求精神慰撫金72,000元。
四、結論：綜上所陳，被告應賠償原告陳皆宏之醫療費用466元、交通費15,575元、代步租車費34,000元、車輛價值減損100,000元、工作損失8,000元、精神慰撫金10,000元；原告王惠滿之醫療費用13,532元、交通費23,525元、精神慰撫金72,000元，總計277,098元，並自起訴狀副本送達翌日起至清償日止，按年息5%計算之利息。</t>
        </is>
      </c>
      <c r="D16" s="5" t="inlineStr">
        <is>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車上搭載乘客訴外人王惠滿，另一原告王惠華，沿同向行駛於上揭被告所駕駛車輛前方，嗣被告所駕上揭車輛竟自後追撞系爭車輛，致原告陳皆宏受有頭痛之傷害，原告王惠滿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（一）原告陳皆宏之損害：
1. 醫療費用：466元
原告陳皆宏因本次事故受有頭痛之傷害，前往廣福診所醫院治療，支出醫療費用466元。
2. 交通費用：1,855元
原告陳皆宏因系爭車輛經拖吊，當日即有返家之交通費用1,855元支出。
3. 治療期間交通費用：700元
原告陳皆宏於治療系爭傷勢期間支出交通費用700元。
4. 代步交通費用：12,820元
原告陳皆宏因系爭車輛於修復期間無法使用，需多次前往處理上下班、會議、接送小孩等事宜，支出交通費用12,820元。
5. 租賃代步費用：34,000元
原告陳皆宏因系爭車輛無法使用，需以租賃車輛代步，期間一個月之費用為34,000元。
6. 車輛貶值損失：100,000元
系爭車輛因本次事故致交易價格減損，經鑑定後，事故發生前價值約950,000元，修復後之價值為840,000元，貶損100,000元。
7. 工作損失：8,000元
原告陳皆宏因本次事故需請假參與調解，受有工作損失3,000元，且因此遭公司非自願離職，受有損失5,000元，共計8,000元。
8. 慰撫金：10,000元
原告陳皆宏因本次事故受有頭痛之傷害，且因車輛受損造成生活不便，需另行安排行程，並承受額外精神壓力，爰請求慰撫金10,000元。
（二）原告王惠滿之損害：
1. 醫療費用：13,532元
原告王惠滿因本次事故受有腦震盪之傷害，前後前往臺北市立聯合醫院、全心中醫診所回診治療，支出醫療費用13,532元。
2. 交通費用：23,525元
原告王惠滿因本次事故需多次前往醫院就診復健，支出交通費用23,525元。
3. 慰撫金：72,000元
原告王惠滿因本次事故受有腦震盪之傷害，致受有相當精神上之痛苦，爰請求慰撫金72,000元。
（三）綜上所陳，被告應賠償原告陳皆宏之損害，包含醫療費用466元、交通費用1,855元、治療期間交通費用700元、代步交通費用12,820元、租賃代步費用34,000元、車輛貶值損失100,000元、工作損失8,000元及慰撫金10,000元，總計168,841元；應賠償原告王惠滿之損害，包含醫療費用13,532元、交通費用23,525元及慰撫金72,000元，總計109,057元。兩原告請求賠償金額合計277,898元，並自起訴狀副本送達翌日起至清償日止，按年息5%計算之利息。</t>
        </is>
      </c>
      <c r="E16" s="9" t="n">
        <v>85</v>
      </c>
      <c r="F16" s="2" t="inlineStr">
        <is>
          <t>事實少了敘述2位原告受傷情形</t>
        </is>
      </c>
    </row>
    <row r="17" ht="30" customHeight="1" thickBot="1">
      <c r="A17" t="n">
        <v>16</v>
      </c>
      <c r="B17" s="2" t="inlineStr">
        <is>
          <t>一、事故發生緣由：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二、原告受傷情形：
原告因本件車禍受有右手挫傷、右足踝挫傷、頭部外傷及右上下肢鈍挫傷之傷害。
三、請求賠償的事實根據：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is>
      </c>
      <c r="C17" s="2" t="inlineStr">
        <is>
          <t>一、事實概述：
緣被告沈柏佑於民國107年7月17日晚間11時48分許，騎乘車號000-000號普通重型機車搭載張世昌，沿臺南市永康區大灣一街由西往東方向行駛，至該路段與民族路口時，本應注意支線道車輛應讓幹道車輛先行，以避免發生危險。當時天候晴朗，夜間有道路照明，路面乾燥且無明顯缺陷，道路亦無任何障礙物，視距良好，並無任何不能注意之情事，詎被告沈柏佑竟疏未注意於此。適有被告汪建廷駕駛車號0000-00號自用小客貨車，沿臺南市永康區民族路由南往北方向行駛至該交岔路口時，亦未注意車前狀況及減速慢行，與被告沈柏佑所騎乘之上開機車發生碰撞，導致被告沈柏佑拋飛朝臺南市永康區文賢街口方向，撞擊原告所騎乘之車號000-000號普通重型機車，致原告人、車均倒地。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（一）醫療費用：11,240元
原告因本次事故受傷就醫，支出醫療費用共計新臺幣11,240元。
（二）工作損失：360,000元
原告因本次事故無法工作，受有薪資損失共計新臺幣360,000元。
（三）慰撫金：200,000元
原告因本次事故受有身心痛苦，請求精神慰撫金200,000元。
四、結論：綜上所陳，被告沈柏佑、汪建廷應連帶賠償原告之損害，包含原告醫療費用11,240元、工作損失360,000元、慰撫金200,000元，總計571,240元，並自起訴狀副本送達翌日起至清償日止，按年息5%計算之利息。</t>
        </is>
      </c>
      <c r="D17" s="5" t="inlineStr">
        <is>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沈柏佑、汪建廷因上開侵權行為，致原告受有下列損害，依前揭規定，被告應負連帶損害賠償責任：
（一）醫療費用：11,240元
原告因本次事故受有右手挫傷、右足踝挫傷、頭部外傷及右上下肢鈍挫傷之傷害，為治療上開傷勢而就醫，支出醫療費用11,240元。
（二）工作損失：360,000元
原告因本次事故受傷，致9個月無法工作，依原告每月薪資40,000元計算，共受有360,000元之工作損失。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
（四）綜上所陳，被告應連帶賠償原告之損害，包含醫療費用11,240元、工作損失360,000元及慰撫金200,000元，總計571,240元。</t>
        </is>
      </c>
      <c r="E17" s="9" t="n">
        <v>80</v>
      </c>
      <c r="F17" s="2" t="inlineStr">
        <is>
          <t>事實少了敘述原告受傷情形以及慰撫金請求的相關事實</t>
        </is>
      </c>
    </row>
    <row r="18" ht="30" customHeight="1" thickBot="1">
      <c r="A18" t="n">
        <v>17</v>
      </c>
      <c r="B18" s="2" t="inlineStr">
        <is>
          <t>一、事故發生緣由:
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二、原告受傷情形:
原告乙○○受有右側脛骨近端與腓骨上端之閉鎖性骨折、右側第二指骨封閉性骨折、左上門牙斷裂及右上門牙挫傷、脛骨踝骨折（右側）等傷害。
三、請求賠償的事實根據: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t>
        </is>
      </c>
      <c r="C18" s="11" t="inlineStr">
        <is>
          <t>一、事實概述：
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二、法律依據：
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（一）醫療費用：163,227元
原告因本次事故受傷就醫，支出醫療費用共計163,227元。
（二）增加生活必要費用：1,570元
原告因本次事故需使用輔具，購買助行器等輔具費用共計1,570元。
（三）看護費用：198,000元
原告因本次事故需專人照顧，支出看護費用共計198,000元。
（四）機車修復費用：19,250元
原告因本次事故機車受損，支出修復費用共計19,250元。
（五）不能工作之損失：150,000元
原告因本次事故無法處理家務，受有損失共計150,000元。
（六）精神慰撫金：未提及最終求償金額
原告因本次事故受有身心痛苦，請求精神慰撫金，具體金額未明確提及。
（七）減少勞動能力損失：2,206,934元
原告因本次事故導致肢體功能受損，減少勞動能力導致損失共計2,206,934元。
四、結論：綜上所陳，被告應賠償原告乙○○之損害，包含醫療費用163,227元、增加生活必要費用1,570元、看護費用198,000元、機車修復費用19,250元、不能工作之損失150,000元、減少勞動能力損失2,206,934元，總計2,738,981元，並自起訴狀副本送達翌日起至清償日止，按年息5%計算之利息。</t>
        </is>
      </c>
      <c r="D18" s="4" t="inlineStr">
        <is>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本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致原告乙○○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丙○○因上開侵權行為，致原告受有下列損害，依前揭規定，被告應負連帶損害賠償責任：
（一）醫療費用：163,227元
原告因本次事故受有右側脛骨近端與腓骨上端之閉鎖性骨折、右側第二指骨封閉性骨折、左上門牙斷裂及右上門牙挫傷、脛骨踝骨折（右側）等傷害，至臺中榮民總醫院、清泉醫院、中國醫藥大學附設醫院、柏青牙醫診所、鼎善十方中醫診所就診，並接受手術治療，支出醫療費用共計163,227元。
（二）增加生活必要費用：1,570元
原告因本次事故需使用助行器，購置助行器、四腳拐杖，支出費用1,570元。
（三）看護費用：198,000元
依臺中榮總診斷證明書處置意見，原告需專人看護3個月，依臺中市居家照顧之通常價格為1日2,200元，共計90天，總計198,000元。
（四）車輛修復費用：19,250元
原告騎乘之機車因本次事故受損，支出修復費用19,250元，車輛所有權人顧家豪已將損害賠償請求權讓與原告。
（五）工作損失：150,000元
原告因本次事故於休養期間6個月無法處理家務，需仰賴他人照顧，依原告留職停薪之薪資每月25,000元計算，共計150,000元。
（六）交通費用：25,430元
原告因本次事故右腳受傷，需搭乘計程車就醫，支出交通費用25,430元。
（七）減少勞動能力損失：2,206,934元
原告因本次事故雙腳一下肢縮短3公分以上，依勞工保險失能給付標準為第11級，勞動能力減損38.45%，依108年最低投保薪資23,100元計算，每月減少勞動損失8,881.95元，35年5個月之損失共計2,206,934元。
（八）慰撫金：450,000元
原告因本次事故受有門牙斷裂、右側脛骨近端腓骨之閉鎖性骨折施作鋼釘等傷害，且於術後需仰賴他人照護，身心受創甚鉅，爰請求慰撫金450,000元。
（九）綜上所陳，被告應連帶賠償原告之損害，包含醫療費用163,227元、增加生活必要費用1,570元、看護費用198,000元、車輛修復費用19,250元、工作損失150,000元、交通費用25,430元、減少勞動能力損失2,206,934元及慰撫金450,000元，總計3,214,411元。</t>
        </is>
      </c>
      <c r="E18" s="9" t="n">
        <v>70</v>
      </c>
      <c r="F18" s="2" t="inlineStr">
        <is>
          <t>法條少引用§185
事實少了敘述原告受傷情形
輸入內容有慰撫金金額，但Gemma沒有成功生成慰撫金金額</t>
        </is>
      </c>
    </row>
    <row r="19" ht="30" customHeight="1" thickBot="1">
      <c r="A19" t="n">
        <v>18</v>
      </c>
      <c r="B19" s="2" t="inlineStr">
        <is>
          <t>一、事故發生緣由: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二、原告受傷情形:
原告因此次事故受有左側肱骨近端骨折、左側骨盆恥骨及髖臼骨折、右側腰椎第四及五橫突骨折、右側第三根至第八根肋骨骨折、腦震盪合併顱內出血、右側第四節及第五節腰椎橫突骨折等嚴重傷害。
三、請求賠償的事實根據:
原告於台北馬偕紀念醫院醫療費用，除強制責任險已給付部分外，尚支出2,370元；並且其受有上開傷勢後需持續復健，因此於群康復健診所進行復健所支出之費用共計5,200元；購買歷次診斷證書費用共計1,030元；原告於住院期間所支出之病房內必要物品及洗頭費用共計2,074元。
原告因就醫須往返台北馬偕醫院及復健診所進行復健所支出之車資費用，以每次往返單次金額計算75元，共計15,710元。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原告從事流動性泥作師之體力工作，每月薪資收入約為30,000元，因被告高珮瑄之侵權行為，致12個月無法工作，且恢復後左手臂亦有後遺症，若以每月收入30,000元計算，則不能工作之損失共計360,000元（30,000×12）。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is>
      </c>
      <c r="C19" s="11" t="inlineStr">
        <is>
          <t>一、事實概述：
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又被告洪琮閔為上開車號000-0000號自用小客車之車主，其明知被告高珮瑄並未領有駕照，竟仍出借車輛予被告高珮瑄，應負共同侵權行為之責。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（一）醫療費用：2,370元
原告因本次事故就醫，支出台北馬偕紀念醫院醫療費用2,370元。
（二）復健費用：5,200元
原告因本次事故需持續復健，支出群康復健診所復健費用5,200元。
（三）診斷證書費用：1,030元
原告因本次事故需取得診斷證明，支出診斷證書費用1,030元。
（四）住院雜費：2,074元
原告因本次事故住院期間，支出病房內必要物品及洗頭費用2,074元。
（五）交通費：15,710元
原告因本次事故就醫復健往返，支出交通費用15,710元。
（六）看護費用：360,000元
原告因本次事故需專人看護，支出看護費用共計360,000元。
（七）工作損失：360,000元
原告因本次事故無法工作，受有薪資損失共計360,000元。
（八）精神慰撫金：300,000元
原告因本次事故受有身心痛苦，請求精神慰撫金300,000元。
四、結論：綜上所陳，被告高珮瑄、洪琮閔應連帶賠償原告之損害，包含原告醫療費用2,370元、復健費用5,200元、診斷證書費用1,030元、住院雜費2,074元、交通費15,710元、看護費用360,000元、工作損失360,000元、精神慰撫金300,000元，總計704,168元，並自起訴狀副本送達翌日起至清償日止，按年息5%計算之利息。</t>
        </is>
      </c>
      <c r="D19" s="4" t="inlineStr">
        <is>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重傷。又被告洪琮閔為上開車號000-0000號自用小客車之車主，其明知被告高珮瑄並未領有駕照，竟仍出借車輛予被告高珮瑄。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高珮瑄、洪琮閔因上開侵權行為，致原告受有下列損害，依前揭規定，被告應負連帶損害賠償責任：
（一）醫療費用：8,674元
1. 台北馬偕紀念醫院醫療費用：2,370元
2. 群康復健診所復健費用：5,200元
3. 診斷證明書費用：1,030元
（二）住院期間必要費用：2,074元
原告於住院期間所支出之病房內必要物品及洗頭費用共計2,074元。
（三）交通費用：15,710元
原告因就醫須往返台北馬偕醫院及復健診所進行復健，以每次往返單次金額計算75元，共計15,710元。
（四）看護費用：360,000元
原告因傷勢嚴重，住院14日，且必須修養6個月，期間生活無法自理，由原告之配偶以每日2,200元計算，共計360,000元（計算式：2,200×180－36,000）。
（五）工作損失：360,000元
原告從事流動性泥作師之體力工作，每月薪資收入約為30,000元，因本次事故致12個月無法工作，共計360,000元（30,000×12）。
（六）慰撫金：300,000元
原告因本次事故受有多處重傷，且事故發生原因係被告高珮瑄駕駛車輛於紅燈時未遵守交通號誌而穿越路口，致其對往來車輛心生恐懼，且長期因病臥床難以入眠，需服用止痛藥，洗澡及大小便均需他人扶助，在家及外出均無法久站，需乘坐輪椅，且必須長期復健，無法恢復正常生活，精神上承受嚴重折磨。
（七）綜上所陳，被告應連帶賠償原告之損害，包含醫療費用8,674元、住院期間必要費用2,074元、交通費用15,710元、看護費用360,000元、工作損失360,000元及慰撫金300,000元，總計1,046,458元。</t>
        </is>
      </c>
      <c r="E19" s="9" t="n">
        <v>80</v>
      </c>
      <c r="F19" s="2" t="inlineStr">
        <is>
          <t>事實少了許多慰撫金事實（GPT在這則案例的原告受傷情形生成的也不好）</t>
        </is>
      </c>
    </row>
    <row r="20" ht="30" customHeight="1" thickBot="1">
      <c r="A20" t="n">
        <v>19</v>
      </c>
      <c r="B20" s="2" t="inlineStr">
        <is>
          <t>一、事故發生緣由:
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
另按「汽車所有人允許未領有駕駛執照之違規駕駛人駕駛其汽車者，除依第1項規定處以罰鍰外，並記該汽車違規紀錄1次。」道路交通管理處罰條例第21條第5項定有明文。蓋未領有合格駕照之人，因其駕駛行為不具適格性，倘容許其等任意駕駛機動車輛行駛道路，不啻增加用路人之危險，故上開法律規定，應係保護他人之法律，違反時，應推定其有過失。查被告劉慧綾為車牌號碼000-000號普通重型機車之車主，將其車輛提供無駕照之被告余泳霖酒後駕駛，致發生本件交通事故，依民法第184條第2項、第185條第2項，被告劉慧綾就其違反保護他人法律之幫助行為，因結合被告余泳霖之過失侵權行為，被告劉慧綾應與被告余泳霖負連帶損害賠償責任。
二、原告受傷情形:
原告因本件車禍事故而受有右側手部挫傷、左側手部挫傷、左側手肘挫傷、左側大腿瘀青及挫傷、左側骨盆挫傷、左髖部挫傷、右側小腿挫傷、輕微腦震盪等傷害。
三、請求賠償的事實根據:
原告因受傷害而至南門綜合醫院診斷證明書、國立臺灣大學醫學院附設醫院新竹臺大分院新竹醫院、傅內兒科診所、南門醫院就醫，共計支付醫療費56,000元。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查原告為高中肄業，從事服務業，稱經濟狀況不好，另原告109年度所得總額12,284元，名下無財產，而被告余泳霖、劉慧綾就本件車禍交通事故之發生確均有過失，且原告亦因之受有前揭之傷害，已如前述，衡諸原告所受之傷害，堪認精神上應受有痛苦，故請求被告賠償精神上之損害10萬元。</t>
        </is>
      </c>
      <c r="C20" s="11" t="inlineStr">
        <is>
          <t>一、事實概述：
緣被告余泳霖於民國110年4月24日晚間10時許，於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 另按「汽車所有人允許未領有駕駛執照之違規駕駛人駕駛其汽車者，除依第1項規定處以罰鍰外，並記該汽車違規紀錄1次。」道路交通管理處罰條例第21條第5項定有明文。查被告劉慧綾為車牌號碼000-000號普通重型機車之車主，將其車輛提供無駕照之被告余泳霖酒後駕駛，致發生本件交通事故，依民法第184條第2項、第185條第2項，被告劉慧綾就其違反保護他人法律之幫助行為，因結合被告余泳霖之過失侵權行為，被告劉慧綾應與被告余泳霖負連帶損害賠償責任。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（一）醫療費用：56,000元
原告因本次事故受傷就醫，支出醫療費用共計56,000元。
（二）工作損失：84,000元
原告因本次事故無法工作，導致薪資損失共計84,000元。
（三）營養補充費：2,424元
原告因本次事故受傷，支出營養補充費用共計2,424元。
（四）復健費用：18,000元
原告因本次事故受傷，接受復健治療支出費用共計18,000元。
（五）機車損害：7,500元
原告因本次事故機車受損，必要修復費用共計7,500元。
（六）精神慰撫金：100,000元
原告因本次事故受有身心痛苦，請求精神慰撫金100,000元。
四、結論：綜上所陳，被告余泳霖、劉慧綾應連帶賠償原告之損害，包含原告醫療費用56,000元、工作損失84,000元、營養補充費2,424元、復健費用18,000元、機車損害7,500元、精神慰撫金100,000元，總計267,924元，並自起訴狀副本送達翌日起至清償日止，按年息5%計算之利息。</t>
        </is>
      </c>
      <c r="D20" s="7" t="inlineStr">
        <is>
          <t>一、緣被告余泳霖於民國110年4月24日晚間22時許，在新竹市○區○○路000號飲用啤酒後，仍處於不能安全駕駛動力交通工具之狀態，竟於翌日（25日）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余泳霖、劉慧綾因上開侵權行為，致原告受有下列損害，依前揭規定，被告應負連帶損害賠償責任：
（一）醫療費用：56,000元
原告因本次事故受有右側手部挫傷、左側手部挫傷、左側手肘挫傷、左側大腿瘀青及挫傷、左側骨盆挫傷、左髖部挫傷、右側小腿挫傷、輕微腦震盪等傷害，至南門綜合醫院、國立臺灣大學醫學院附設醫院新竹臺大分院新竹醫院、傅內兒科診所、南門醫院就醫，支出醫療費用56,000元。
（二）薪資損失：84,000元
原告原任職清潔工作，因受傷無法工作3個月，每日薪資1,200元，每月薪資28,000元，計損失薪資收入總共84,000元。
（三）營養補充費：2,424元
原告因受傷需支付營養補充費2,424元。
（四）復健費：18,000元
原告因受傷復健3週，支出復健費18,000元。
（五）車輛修復費用：7,500元
原告機車因本次事故受損，修復費用折舊後為7,500元。
（六）慰撫金：100,000元
原告因本次事故受有前述傷害，且被告余泳霖、劉慧綾就本件車禍交通事故之發生確均有過失，衡諸原告所受之傷害，堪認精神上應受有痛苦，爰請求慰撫金100,000元。
（七）綜上所陳，被告應連帶賠償原告之損害，包含醫療費用56,000元、薪資損失84,000元、營養補充費2,424元、復健費18,000元、車輛修復費用7,500元及慰撫金100,000元，總計267,924元。</t>
        </is>
      </c>
      <c r="E20" s="9" t="n">
        <v>85</v>
      </c>
      <c r="F20" s="2" t="inlineStr">
        <is>
          <t>事實少了敘述原告受傷情形</t>
        </is>
      </c>
    </row>
    <row r="21" ht="30" customHeight="1" thickBot="1">
      <c r="A21" t="n">
        <v>20</v>
      </c>
      <c r="B21" s="2" t="inlineStr">
        <is>
          <t>一、事故發生緣由:
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二、原告受傷情形:
原告因本件事故而受有左肩部及左腕挫傷、左手、雙手肘、雙膝、左踝、背部挫擦傷、左腕三角纖維骨破裂等傷害。
三、請求賠償的事實根據:
（一）醫療及醫療用品費用
原告因被告過失行為所致上開傷勢，在國軍醫院及龍合骨科診所治療，另購買外傷敷藥，支出醫療費用62,364元、醫療用品費用4,119元，有國軍醫院診斷證明書3紙暨醫療費用明細收據、龍合骨科診所診斷證明書暨門診醫療費用收據、客戶簽章單據、統一發票收據可證。
（二）就醫交通費用
查原告因所受傷勢已搭乘計程車前往國軍醫院及龍合骨科診所追蹤治療共24次，單趟車資120元，將來仍有繼續追蹤復健之需，請求被告給付交通費用93,780元。
（三）看護費用
原告並主張因所受左腕三角纖維軟骨破裂之傷害，於111年2月24日至同年月26日在國軍醫院住院接受內視鏡修補手術，需專人看護3日，此3日期間由親友看護，每日看護費以2,200元計算，共損失看護費6,600元。
（四）不能工作之薪資損失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（五）勞動能力減損
原告因其中左手腕纖維軟骨撕裂、左手腕滑膜炎等傷勢而經長庚醫療財團法人林口長庚紀念醫院（下稱林口長庚醫院）鑑定，認原告減少勞動能力程度為百分之7，有林口長庚醫院113年3月8日勞動力減損比例計算表可證，則被告應賠償自事故日110年11月29日至原告65歲即140年6月4日，共29年又6月期間之勞動力減損損害金378,159元。
（六）本件機車維修費用
查本件機車修理費用為30,100元（均為零件），有免用發票收據為證。
（七）精神慰撫金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t>
        </is>
      </c>
      <c r="C21" s="11" t="inlineStr">
        <is>
          <t>一、事實概述：
緣被告丙○○於110年11月29日7時52分前之某時許，將其所有車牌號碼000-0000號自用小客車駛至桃園市平鎮區中豐路山頂段417號前，原應注意交岔路口10公尺內不得臨時停車，在禁止臨時停車處所不得停車，而當時並無不能注意之情事，竟疏未注意，將A車停放於中豐路山頂段415巷與中豐路山頂段之交岔路口未達10公尺處，影響行車視線之桃園市○鎮區○○路○○段000號前。嗣被告甲○○於110年11月29日上午7時52分許，駕駛車牌號碼000-0000號B車，沿中豐路山頂段415巷由中豐路山頂段415巷47弄往中豐路山頂段方向行駛，行經中豐路山頂段415巷口欲右轉彎時，本應注意行經無號誌之交岔路口，支線道車應暫停讓幹線道車先行，且中豐路山頂段之分隔島上亦設有凸面鏡，兼具輔助通行中豐路山頂段415巷與中豐路山頂段交岔路口之車輛確認有無來車功能，更因受被告丙○○停放之A車影響其視線範圍，更應暫停禮讓幹線道車先行，依當時狀況並無不能注意之情形，竟疏未注意及此，即貿然右轉而未讓幹線道車先行，適有原告騎乘車牌號碼000-0000號重型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（一）醫療及醫療用品費用：66,483元
原告因本次事故受傷就醫，支出醫療及醫療用品費用共計66,483元。
（二）就醫交通費用：93,780元
原告因本次事故需多次就醫，產生交通費用共計93,780元。
（三）看護費用：6,600元
原告因本次事故住院需照護，支出看護費用共計6,600元。
（四）不能工作之薪資損失：176,750元
原告因本次事故休養無法工作，受有薪資損失共計176,750元。
（五）勞動能力減損：378,159元
原告因本次事故勞動能力減少，請求損害賠償金共計378,159元。
（六）機車維修費用：30,100元
原告因本次事故機車受損，支出維修費用共計30,100元。
（七）精神慰撫金：40,000元
原告因本次事故身心受創，請求精神慰撫金共計40,000元。
四、結論：綜上所陳，被告甲○○、被告丙○○均應連帶賠償原告之損害，包含原告醫療及醫療用品費用66,483元、就醫交通費用93,780元、看護費用6,600元、不能工作之薪資損失176,750元、勞動能力減損378,159元、機車維修費用30,100元、精神慰撫金40,000元，總計413,713元，並自起訴狀副本送達翌日起至清償日止，按年息5%計算之利息。</t>
        </is>
      </c>
      <c r="D21" s="8" t="inlineStr">
        <is>
          <t>一、緣被告丙○○於110年11月29日7時52分前之某時許，將其所有車牌號碼000-0000號自用小客車（下稱A車）駛至桃園市平鎮區中豐路山頂段415巷與中豐路山頂段之交岔路口（下稱本案交岔路口）未達10公尺處，影響行車視線。嗣被告甲○○於同日上午7時52分許，駕駛車牌號碼000-0000號（下稱B車），沿中豐路山頂段415巷由中豐路山頂段415巷47弄往中豐路山頂段方向行駛，行經本案交岔路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竟疏未注意及此，即貿然右轉而未讓幹線道車先行，致原告騎乘車牌號碼000-0000號重型機車（下稱本件機車），沿中豐路山頂段由龍潭往中壢方向行駛外側車道時，因受被告丙○○停放之A車影響視線範圍之際，緊急煞車，旋即人、車倒地並往前滑行與B車左側車身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
（一）醫療及醫療用品費用：66,483元
原告因本次事故受有左肩部及左腕挫傷、左手、雙手肘、雙膝、左踝、背部挫擦傷、左腕三角纖維骨破裂等傷害，在國軍醫院及龍合骨科診所治療，另購買外傷敷藥，支出醫療費用62,364元、醫療用品費用4,119元。
（二）就醫交通費用：93,780元
原告因所受傷勢需搭乘計程車前往國軍醫院及龍合骨科診所追蹤治療共24次，單趟車資120元，支出交通費用93,780元。
（三）看護費用：6,600元
原告於111年2月24日至同年月26日在國軍醫院住院接受內視鏡修補手術，需專人看護3日，此3日期間由親友看護，每日看護費以2,200元計算，共損失看護費6,600元。
（四）不能工作之薪資損失：176,750元
原告因本次事故自110年12月至111年6月底共休養7個月，依原告事故前為餐飲業負責人，每月薪資以110年度基本工資25,250元計算，共受有不能工作損失176,750元。
（五）勞動能力減損：378,159元
原告因左手腕纖維軟骨撕裂、左手腕滑膜炎等傷勢經林口長庚醫院鑑定，認原告減少勞動能力程度為百分之7，依原告出生年月日計算，自事故日110年11月29日至原告65歲即140年6月4日，共29年又6月期間之勞動力減損損害金為378,159元。
（六）機車修理費用：30,100元
本件機車因本次事故受損，修理費用為30,100元（均為零件）。
（七）慰撫金：40,000元
原告因本次事故受有左肩部及左腕挫傷、左手、雙手肘、雙膝、左踝、背部挫擦傷之傷害，並因左手腕纖維軟骨撕裂、左手腕滑膜炎等症，造成勞動能力減少百分之7，另接受內視鏡修補手術住院3日，受有身體及精神痛苦，爰請求慰撫金40,000元。
（八）綜上所陳，被告應連帶賠償原告之損害，包含醫療及醫療用品費用66,483元、就醫交通費用93,780元、看護費用6,600元、不能工作之薪資損失176,750元、勞動能力減損378,159元、機車修理費用30,100元及慰撫金40,000元，總計791,872元。</t>
        </is>
      </c>
      <c r="E21" s="9" t="n">
        <v>78</v>
      </c>
      <c r="F21" s="2" t="inlineStr">
        <is>
          <t>事實少了敘述原告受傷情形、薪資損失、勞動力減損情形</t>
        </is>
      </c>
    </row>
    <row r="22" ht="30" customHeight="1" thickBot="1">
      <c r="A22" t="n">
        <v>21</v>
      </c>
      <c r="B22" s="2" t="inlineStr">
        <is>
          <t>一、事故發生緣由:
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二、原告受傷情形:
原告因本件事故而受有薦椎骨骨折、右肩及尾椎挫傷、右側手腕及右大腿擦傷之傷害，復因薦椎骨骨折疼痛不堪，不能坐臥，無法成眠，因而短期內引發重度躁症，經醫師診斷為「雙相情緒障礙症，目前有精神病特徵的躁症，無精神病症狀的躁症發作，非特定發作，重度」。
三、請求賠償的事實根據:
原告主張其因本件車禍事故所受身體傷勢，就醫治療期間，支出骨科醫療費用2,210元，並有奇美醫療財團法人奇美醫院（下稱奇美醫院）醫療費用收據為證。
查原告所有之B車因本件車禍事故受損，修復費用為1萬3,183元，並有報價單為證。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萬5,250元，因而依原告所受上開傷勢及治療情形，原告需在家休養不能工作之期間為1個月。基此計算，原告因本件車禍事故受傷，致不能工作而受有之薪資損失金額，應為2萬5,250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萬元。</t>
        </is>
      </c>
      <c r="C22" s="11" t="inlineStr">
        <is>
          <t>一、事實概述：
緣被告乙○○於民國111年2月10日上午11時35分許，駕駛車牌號碼000-0000號普通重型機車沿臺南市永康區中華路由北往南方向行駛，行經中華路與勝華街之路口時，本應注意行經號誌管制路口，不應左偏行駛，依其情形無不能注意之情事，竟疏未注意左偏，適有原告駕駛其所有之車牌號碼000-0000號普通重型機車沿臺南市永康區中華路由北往南方向行駛，行經中華路與勝華街之路口時，本應注意於車陣中超越，應注意車前狀況，並隨時保持必要之安全措施，竟疏未注意貿然直行，致被告乙○○駕駛之A車閃避不及，與原告駕駛之B車發生碰撞。又被告甲○○於同日同時間駕駛車牌號碼0000-00號自用小客車沿臺南市永康區中華路內側車道由北往南方向起步行駛，本應注意車前狀況，並採取必要之安全措施，亦疏未注意貿然直行，與被告乙○○駕駛之A車及原告駕駛之B車發生碰撞，致B車受有車損。被告乙○○及被告甲○○就本件車禍事故之發生，均有前述過失情形，造成原告所有之B車受損，及原告受有身體傷勢，可認係共同不法侵害原告之財產權、身體權及健康權，並具有相當因果關係，被告乙○○及被告甲○○自應就原告所受損害，負共同侵權行為之連帶損害賠償責任。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（一）醫療費用：2,210元
原告因本次事故受傷就醫，支出骨科醫療費用共計2,210元。
（二）車輛損壞：13,183元
原告因本次事故車輛受損，修復費用為13,183元。
（三）工作損失：25,250元
原告因本次事故無法工作，致無法獲得薪資，損失共計25,250元。
（四）精神慰撫金：100,000元
原告因本次事故受傷，身心靈受創，請求精神慰撫金100,000元。
四、結論：綜上所陳，被告乙○○、甲○○應連帶賠償原告之損害，包含原告醫療費用2,210元、車輛損壞13,183元、工作損失25,250元、精神慰撫金100,000元，總計140,643元，並自起訴狀副本送達翌日起至清償日止，按年息5%計算之利息。</t>
        </is>
      </c>
      <c r="D22" s="8" t="inlineStr">
        <is>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（一）醫療費用：2,210元
原告因本次事故受有薦椎骨骨折、右肩及尾椎挫傷、右側手腕及右大腿擦傷之傷害，於奇美醫院就醫治療，支出醫療費用2,210元。
（二）車輛修復費用：13,183元
原告所有之B車因本次事故受損，修復費用為13,183元。
（三）工作損失：25,250元
原告於111年1月1日至111年12月31日期間，投保勞工保險、就業保險、勞工職業災害保險於臺南市成衣服飾整理加工業職業工會，投保薪資為基本薪資25,250元。因本次事故受傷需在家休養1個月，致不能工作而受有薪資損失25,250元。
（四）慰撫金：100,000元
原告因本次事故受有薦椎骨骨折、右肩及尾椎挫傷、右側手腕及右大腿擦傷等傷勢，經2次門診治療，於受傷治療及休養期間，對於其工作及生活均造成諸多不便，且因薦椎骨骨折疼痛不堪，不能坐臥，無法成眠，因而短期內引發重度躁症，經醫師診斷為「雙相情緒障礙症，目前有精神病特徵的躁症，無精神病症狀的躁症發作，非特定發作，重度」，精神上受有相當痛苦，爰請求慰撫金100,000元。
（五）綜上所陳，被告應連帶賠償原告之損害，包含醫療費用2,210元、車輛修復費用13,183元、工作損失25,250元及慰撫金100,000元，總計140,643元。</t>
        </is>
      </c>
      <c r="E22" s="9" t="n">
        <v>82</v>
      </c>
      <c r="F22" s="2" t="inlineStr">
        <is>
          <t>事實少了敘述原告受傷情形、薪資損失</t>
        </is>
      </c>
    </row>
    <row r="23" ht="30" customHeight="1" thickBot="1">
      <c r="A23" t="n">
        <v>22</v>
      </c>
      <c r="B23" s="2" t="inlineStr">
        <is>
          <t>一、事故發生緣由:
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二、原告受傷情形:
原告因本件事故受有頭部挫傷、雙腳及雙手擦挫傷、暈眩症、打嗝以及疑腦震盪後症候群。
三、請求賠償的事實根據:
原告因上開傷害而在長庚醫院、鹿基醫院、一品堂鹿港中醫診所、豐安診所就醫，共支出醫療費1,950元，並有醫療費收據為證。又原告受雇於尚墩股份有限公司（下稱尚墩公司）擔任作業員，另從事外送工作，每月收入合計70,000元，受傷後請假37日不能工作，短少收入74,000元，並有員工請假記錄卡為證。原告所有之眼鏡因本次事故毀損後無法使用，原價37,900元。甲車於000年0月出廠，車禍後支出拖吊費5,000元，委由順發機車行送往該行修復，支出修復費用75,500元，包含零件42,060元、工資33,440元，零件部分折舊後為39,431元，並有拖吊救援簽認單、估價單為證。甲車修復期間為35日，原告無法使用收益，另以每日租金500元單價，向順發機車行承租他輛機車，支出租金17,500元，並有車行代步車借用合約書為證。原告大學畢業，職業及經濟概況如上所述，被告乙係因無照駕車過失不法侵害原告之身體、健康，並遭此車禍導致精神痛苦不堪，爰請求慰撫金300,000元。</t>
        </is>
      </c>
      <c r="C23" s="11" t="inlineStr">
        <is>
          <t>一、事實概述：
緣於111年3月19日晚間，原告騎乘原告所有車牌號碼000-0000號普通重型機車，沿嘉義縣東石鄉臺17線公路由南往北方向行駛，行至該路與166線公路交岔路口。被告陳俊傑於當下無照駕駛被告徐阿屘所有並提供之車牌號碼000-0000號自用小客車，沿166線公路由東往西方向駛至。被告陳俊傑未注意其所駕駛之車輛為支線道車，且當時行向號誌呈現閃光紅燈，應減速接近並先停止於交岔路口前，讓行向號誌為閃光黃燈之幹線道車即原告所騎乘之甲車優先通行，詎被告陳俊傑竟貿然駛入交岔路口，致原告閃避不及，雙方發生碰撞，造成原告受傷，且原告所有甲車、眼鏡受損。被告陳俊傑因上述過失行為，應負侵權行為損害賠償責任。又被告徐阿屘明知被告陳俊傑無汽車駕駛執照，仍提供乙車允許其駕駛，造成本案車禍發生，顯有違反保護他人之法律規定，應與被告陳俊傑連帶負擔本案損害賠償責任。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（一）醫療費用：1,950元
原告因本次事故受傷就醫，支出醫療費用共計1,950元。
（二）工作損失：74,000元
原告因本次事故請假無法工作，導致薪資短少共計74,000元。
（三）眼鏡損失：37,900元
原告所有之眼鏡因本次事故損毀，造成財物損失共計37,900元。
（四）車輛修復費用：75,500元
原告車輛因本次事故受損，支出修復費用共計75,500元。
（五）車輛拖吊費用：5,000元
原告車輛因本次事故受損，支出拖吊費用共計5,000元。
（六）代步車租金：17,500元
原告車輛修復期間，另租借代步車，支出租金共計17,500元。
（七）精神慰撫金：300,000元
原告因本次事故受有身心痛苦，請求精神慰撫金300,000元。
四、結論：綜上所陳，被告陳俊傑、徐阿屘應連帶賠償原告之損害，包含原告醫療費用1,950元、工作損失74,000元、眼鏡損失37,900元、車輛修復費用75,500元、車輛拖吊費用5,000元、代步車租金17,500元、精神慰撫金300,000元，總計625,250元，並自起訴狀副本送達翌日起至清償日止，按年息5%計算之利息。</t>
        </is>
      </c>
      <c r="D23" s="4" t="inlineStr">
        <is>
          <t>一、緣原告於111年3月19日晚上，騎乘原告所有車牌號碼000-0000號普通重型機車（下稱甲車），沿嘉義縣東石鄉臺17線公路由南往北方向行駛，通過該路與166線公路交岔路口。被告陳俊傑（下稱乙）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乙、丙因上開侵權行為，致原告受有下列損害，依前揭規定，被告應負損害賠償責任：
（一）醫療費用：1,950元
原告因本次事故受有頭部挫傷、雙腳及雙手擦挫傷、暈眩症、打嗝以及疑腦震盪後症候群，於長庚醫院、鹿基醫院、一品堂鹿港中醫診所、豐安診所就醫，支出醫療費用1,950元。
（二）工作損失：74,000元
原告受雇於尚墩股份有限公司擔任作業員，另從事外送工作，每月收入合計70,000元，因本次事故受傷請假37日不能工作，短少收入74,000元。
（三）財物損害：113,400元
1. 眼鏡毀損：37,900元
2. 機車拖吊費：5,000元
3. 機車修復費用：75,500元（零件42,060元、工資33,440元，零件部分折舊後為39,431元）
（四）租車費用：17,500元
原告因甲車修復期間35日無法使用收益，以每日租金500元單價，向順發機車行承租他輛機車，支出租金17,500元。
（五）慰撫金：300,000元
原告因本次事故受有頭部挫傷、雙腳及雙手擦挫傷、暈眩症、打嗝以及疑腦震盪後症候群等傷害，且遭受精神痛苦，爰請求慰撫金300,000元。
（六）綜上所陳，被告應賠償原告之損害，包含醫療費用1,950元、工作損失74,000元、財物損害113,400元、租車費用17,500元及慰撫金300,000元，總計506,850元。</t>
        </is>
      </c>
      <c r="E23" s="9" t="n">
        <v>75</v>
      </c>
      <c r="F23" s="2" t="inlineStr">
        <is>
          <t>法條應該要引§185，錯誤引用成§188
事實少了敘述原告受傷情形</t>
        </is>
      </c>
    </row>
    <row r="24" ht="30" customHeight="1" thickBot="1">
      <c r="A24" t="n">
        <v>23</v>
      </c>
      <c r="B24" s="2" t="inlineStr">
        <is>
          <t>一、事故發生緣由: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二、原告受傷情形:
原告蕭曉峰及原告陳順華因本次連環追撞事故,均受有右側肩膀挫傷之傷害。此傷勢不僅造成身體上的疼痛,更影響其日常生活作息,需要就醫治療及復健,造成生活上的不便及精神上的痛苦。
三、請求賠償的事實根據: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is>
      </c>
      <c r="C24" s="11" t="inlineStr">
        <is>
          <t>一、事實概述：
緣於民國110年1月9日11時10分許，原告蕭曉峰駕駛車號000-0000號自小客車行經國道一號北上343.8公里處時，遭訴外人洪銘祥駕駛之車號000-0000號自小客車自後追撞。緊接在後，被告藍元孝駕駛車號0000-00號自小客車因未保持安全距離，再次自後追撞系爭B車。隨後，被告方冠殷駕駛車號0000-00號自小客車亦因未保持安全距離，又自後追撞被告藍元孝所駕駛之車輛。此三次追撞事故合力造成原告蕭曉峰所駕駛之系爭B車受損，並導致原告蕭曉峰及當時同車之原告陳順華受到傷害。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（一）原告蕭曉峰之損害：
1. 醫療費用：12,710元
原告蕭曉峰因本次事故受傷就醫，支出醫療費用12,710元。
2. 通勤費用：26,880元
原告蕭曉峰因系爭車輛受損期間需通勤，支出通勤費用26,880元。
3. 車輛鑑估費用：6,000元
原告蕭曉峰為確認車輛損害程度，支出車輛鑑估費用6,000元。
4. 車輛價值減損：100,000元
原告蕭曉峰因系爭車輛價值減損，請求賠償車輛價值減損100,000元。
5. 精神慰撫金：50,000元
原告蕭曉峰因事故受到驚嚇及精神痛苦，請求精神慰撫金50,000元。
（二）原告陳順華之損害：
1. 醫療費用：9,560元
原告陳順華因本次事故受傷就醫，支出醫療費用9,560元。
2. 交通費用：68,640元
原告陳順華因需往返就醫，支出交通費用68,640元。
3. 精神慰撫金：50,000元
原告陳順華因事故受到驚嚇及精神痛苦，請求精神慰撫金50,000元。
四、結論：綜上所陳，被告藍元孝、方冠殷應連帶賠償原告蕭曉峰醫療費用12,710元、通勤費用26,880元、車輛鑑估費用6,000元、車輛價值減損100,000元、精神慰撫金50,000元；以及原告陳順華醫療費用9,560元、交通費用68,640元、精神慰撫金50,000元，總計223,790元，並自起訴狀副本送達翌日起至清償日止，按年息5%計算之利息。</t>
        </is>
      </c>
      <c r="D24" s="5" t="inlineStr">
        <is>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交通費用：26,880元
原告蕭曉峰因系爭B車受損期間需往返通勤，上班24日計算，支出通勤費用26,880元。
3. 車輛鑑估費用：6,000元
原告蕭曉峰為確認車輛損害程度，支出車輛鑑估費用6,000元。
4. 車輛價值減損：100,000元
系爭B車雖為原告陳順華所有，但其已將車輛價值減損之損害賠償請求權讓與原告蕭曉峰。依高雄市汽車商業同業公會鑑定，系爭B車於事故前市價63萬元，修復後價值僅剩53萬元，故請求車輛價值減損10萬元。
5. 慰撫金：50,000元
原告蕭曉峰因本次事故受有驚嚇及精神痛苦，爰請求慰撫金50,000元。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原告陳順華因本次事故受有驚嚇及精神痛苦，爰請求慰撫金50,000元。
（三）綜上所陳，被告應連帶賠償原告蕭曉峰之損害，包含醫療費用12,710元、交通費用26,880元、車輛鑑估費用6,000元、車輛價值減損100,000元及慰撫金50,000元，總計195,590元；應連帶賠償原告陳順華之損害，包含醫療費用9,560元、交通費用68,640元及慰撫金50,000元，總計128,200元。</t>
        </is>
      </c>
      <c r="E24" s="9" t="n">
        <v>85</v>
      </c>
      <c r="F24" s="2" t="inlineStr">
        <is>
          <t>事實少了敘述2個原告受傷情形</t>
        </is>
      </c>
    </row>
    <row r="25" ht="30" customHeight="1" thickBot="1">
      <c r="A25" t="n">
        <v>24</v>
      </c>
      <c r="B25" s="2" t="inlineStr">
        <is>
          <t>一、事故發生緣由:
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二、原告受傷情形:
原告丁○○、丙○○均受有頭部外傷之傷害。
三、請求賠償的事實根據:
1.原告丁○○、丙○○請求之醫療費用部分：
原告2人主張其等因本件事故受傷就醫治療，而分別支出醫療費用740元、400元，並且有提出中醫新竹分院之診斷證明書及醫療收據等件影本作為證據。
2.原告丁○○、丙○○請求之交通費用：
原告2人並主張其等因傷往返住家與中醫新竹分院所支出之交通費用分別為1,760元、880元，並提出預估車資網頁資料及GOOGLE地圖路線圖為證。
3.原告丁○○、丙○○請求之不能工作之薪資損失部分：
原告2人再主張其等請假治療傷勢，而無法工作1週，每月平均薪資各為35,000元、56,000元，分別受有薪資損失8,167元、13,067元。
4.原告丁○○請求之系爭車輛修理費用部分：
原告丁○○主張系爭車輛因本件車禍事故受損，支付修復費用98,424元，而系爭車輛所有人徐玉桂已將系爭車輛損害賠償請求權讓與原告丁○○，並有維修明細表、電子發票及債權讓與證明書為證據。
5.原告丁○○、丙○○請求之精神慰撫金部分：
查原告丁○○、丙○○因本件事故受有「頭部外傷」之傷害，堪認身心均受有痛苦，因此原告丁○○、丙○○分別向被告請求50,000元、30,000之精神慰撫金，請求鈞院衡量原告所受傷勢、本件事故發生原因及兩造財產資力等一切情狀，命被告賠償精神慰撫金50,000元、30,000予原告2人。</t>
        </is>
      </c>
      <c r="C25" s="11" t="inlineStr">
        <is>
          <t>一、事實概述：
緣被告甲○○未領有適當駕駛執照，竟於110年10月9日14時3分許，駕駛車牌號碼000-0000號自小客車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又被告甲○○上開不法行為，業經臺灣新竹地方檢察署檢察官偵查後提起公訴，並經鈞院刑事庭以111年度竹交簡字第246號刑事簡易判決判處有罪，是被告甲○○應負損害賠償責任。按「汽車駕駛人，未領有駕駛執照駕駛小型車者，處6,000元以上12,000元以下罰鍰，並當場禁止其駕駛；汽車所有人允許第1項第1款之違規駕駛人駕駛其汽車者，除依第1項規定之罰鍰處罰外，並記該汽車違規紀錄1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二、法律依據：
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187條第1項、民法第191條之2、民法第193條第1項、民法第195條第1項前段分別定有明文。查被告因上開侵權行為，致原告受有下列損害，依前揭規定，被告應負損害賠償責任：
三、損害項目：
（一）原告丁○○之損害：
1. 醫療費用：740元
原告丁○○因本次事故受傷就醫，支出醫療費用740元。
2. 交通費：1,760元
原告丁○○因本次事故就醫，支出交通費用1,760元。
3. 工作損失：8,167元
原告丁○○因本次事故請假治療，受有薪資損失8,167元。
4. 車輛修理費用：98,424元
原告丁○○因本次事故車輛受損，支出修復費用98,424元。
5. 慰撫金：50,000元
原告丁○○因本次事故受有頭部外傷，請求精神慰撫金50,000元。
（二）原告丙○○之損害：
1. 醫療費用：400元
原告丙○○因本次事故受傷就醫，支出醫療費用400元。
2. 交通費：880元
原告丙○○因本次事故就醫，支出交通費用880元。
3. 工作損失：13,067元
原告丙○○因本次事故請假治療，受有薪資損失13,067元。
4. 慰撫金：30,000元
原告丙○○因本次事故受有頭部外傷，請求精神慰撫金30,000元。
四、結論：綜上所陳，被告應連帶賠償原告丁○○之醫療費用740元、交通費1,760元、工作損失8,167元、車輛修理費用98,424元、慰撫金50,000元；原告丙○○之醫療費用400元、交通費880元、工作損失13,067元、慰撫金30,000元，總計203,438元，並自起訴狀副本送達翌日起至清償日止，按年息5%計算之利息。</t>
        </is>
      </c>
      <c r="D25" s="5" t="inlineStr">
        <is>
          <t>一、緣被告甲○○未領有適當駕駛執照，於110年10月9日14時3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致原告等人受傷。被告甲○○上開不法行為業經臺灣新竹地方檢察署檢察官偵查後提起公訴，並經鈞院刑事庭以111年度竹交簡字第246號刑事簡易判決判處有罪。被告乙○○為肇事車輛之所有權人，其於出借該車時本應查核借用人有無合格駕駛執照，竟任意將系爭車輛出借予無駕駛執照之被告甲○○。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乙○○因上開侵權行為，致原告受有下列損害，依前揭規定，被告應負連帶損害賠償責任：
（一）醫療費用：1,140元
原告丁○○、丙○○因本次事故受有頭部外傷之傷害，分別支出醫療費用740元、400元。
（二）交通費用：2,640元
原告丁○○、丙○○因傷往返住家與中醫新竹分院就醫，分別支出交通費用1,760元、880元。
（三）薪資損失：21,234元
原告丁○○、丙○○因本次事故請假治療傷勢而無法工作1週，分別受有薪資損失8,167元、13,067元。
（四）車輛修理費用：98,424元
原告丁○○所有之系爭車輛因本次事故受損，修復費用為98,424元。車輛損害賠償請求權已由車主徐玉桂讓與原告丁○○。
（五）慰撫金：80,000元
原告丁○○、丙○○因本次事故受有頭部外傷之傷害，身心均受有痛苦，爰分別請求慰撫金50,000元、30,000元。
（六）綜上所陳，被告應連帶賠償原告之損害，包含醫療費用1,140元、交通費用2,640元、薪資損失21,234元、車輛修理費用98,424元及慰撫金80,000元，總計203,438元。</t>
        </is>
      </c>
      <c r="E25" s="9" t="n">
        <v>90</v>
      </c>
      <c r="F25" s="2" t="inlineStr">
        <is>
          <t>法條錯誤多引用了§187（可能是LLM誤認沒有駕照就是未成年人？）
賠償項目的格式比GPT的答案好</t>
        </is>
      </c>
    </row>
    <row r="26" ht="30" customHeight="1" thickBot="1">
      <c r="A26" t="n">
        <v>25</v>
      </c>
      <c r="B26" s="2" t="inlineStr">
        <is>
          <t>一、事故發生緣由:
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二、原告受傷情形:
原告羅靖崴因本件事故而受有頭部外傷併輕微腦震盪之傷害。
原告邱品妍則因本件車禍受有頭暈及頸部扭傷等傷害。
三、請求賠償的事實根據:
查原告羅靖崴因系爭車禍受有前揭傷害而前往聯新醫院就診，有聯新醫院診斷證明書可作為證據，其因而支出醫療費用2,443元、交通費1,235元。
原告羅靖崴因本件事故受傷，需在家休養16日而無法工作，又原告羅靖崴每月工資應為37,778元，又依聯新醫院診斷證明書分別於110年12月4日及111年1月10日建議原告羅靖崴應休養3日及兩週，是原告羅靖崴應有17日不能工作，但原告羅靖崴僅請求16日工資損失，因此請求不能工作之損失20,148元
原告羅靖崴因本件車禍而受有頭部外傷併輕微腦震盪之傷害，影響日常生活甚鉅，於精神上可能承受之無形痛苦，故請求被告賠償10,000元精神慰撫金。
原告邱品妍因系爭車禍受有前揭傷害同樣前往聯新醫院醫治，有聯新醫院診斷證明書作為證據，其因而支出醫療費用57,550元、交通費22,195元。
另外原告邱品妍因本件事故受傷，需在家休養1月又28日而無法工作，又原告邱品妍每月工資為34,535元，又依聯新醫院診斷證明書分別於110年12月4日、111年12月6日、 110年12月17日、110年12月24日、111年1月10日持續建議休養1週至1個月，總計1個月又28日，其不能工作之損失應為66,768元。
另查系爭車輛，因被告之過失行為，受有交易上價值貶損33,000元及支出鑑定費3,000元，因此原告邱品妍向被告請求賠償之本件車輛交易價值減損及鑑定費共計36,000元。
原告邱品妍因本件車禍受有頭暈及頸部扭傷等傷害，影響其工作、生活之行動，於精神上造成無形痛苦，故請求被告連帶賠償60,000元精神慰撫金。</t>
        </is>
      </c>
      <c r="C26" s="11" t="inlineStr">
        <is>
          <t>一、事實概述：
緣被告賴俊諺於民國110年12月4日上午10時27分許，無照駕駛被告賴惠敏所有車牌號碼000-0000號自用小貨車，沿桃園市新屋區中山東路1段往新屋方向行駛，行經同市區○○○○0段00號前時，本應注意車前狀況，並隨時採取必要之安全措施，然依當時天候晴、日間自然光線、柏油路面乾燥無缺陷、無障礙物且視距良好，並無不能注意之情事，竟疏未注意前方車輛停等紅燈，不慎自後追撞前方由原告羅靖崴所駕駛並搭載原告邱品妍之車牌號碼000-0000號自用小客車。 另查被告賴惠敏將其所有之車牌號碼000-0000號自用小貨車供未領有駕駛執照之被告賴俊諺駕駛，被告賴俊諺並於上開時地駕駛該車，未注意車前狀況，自後追撞系爭車輛，致原告羅靖崴及邱品妍均受有傷害。因此被告賴俊諺與賴惠敏應負共同侵權行為之連帶損害賠償責任。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（一）醫療費用：60,000元
原告因本次事故受傷就醫，支出醫療費用共計60,000元。
（二）交通費：1,235元
原告因本次事故就醫產生交通費用，共計1,235元。
（三）工作損失：20,148元
原告因本次事故無法工作，受有薪資損失共計20,148元。
（四）慰撫金：10,000元
原告因本次事故受有身心痛苦，請求精神慰撫金10,000元。
（五）醫療費用：57,550元
原告因本次事故受傷就醫，支出醫療費用共計57,550元。
（六）交通費：22,195元
原告因本次事故就醫產生交通費用，共計22,195元。
（七）工作損失：66,768元
原告因本次事故無法工作，受有薪資損失共計66,768元。
（八）車輛價值減損：33,000元
原告因本次事故車輛價值受損，請求賠償價值減損33,000元。
（九）鑑定費：3,000元
原告因本次事故產生鑑定費用，共計3,000元。
（十）慰撫金：60,000元
原告因本次事故受有身心痛苦，請求精神慰撫金60,000元。
四、結論：綜上所陳，被告賴俊諺、賴惠敏應連帶賠償原告邱品妍之損害，包含醫療費用60,000元、交通費1,235元、工作損失20,148元、慰撫金10,000元、醫療費用57,550元、交通費22,195元、工作損失66,768元、車輛價值減損33,000元、鑑定費3,000元及慰撫金60,000元，總計270,896元，並自起訴狀副本送達翌日起至清償日止，按年息5%計算之利息。</t>
        </is>
      </c>
      <c r="D26" s="5" t="inlineStr">
        <is>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羅靖崴所駕駛並搭載原告邱品妍之車牌號碼000-0000號自用小客車（下稱系爭車輛）。另查被告賴惠敏將其所有之系爭車輛供未領有駕駛執照之被告賴俊諺駕駛，致原告2人受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賴俊諺、賴惠敏因上開侵權行為，致原告受有下列損害，依前揭規定，被告應負連帶損害賠償責任：
（一）原告羅靖崴部分：
1. 醫療費用：2,443元
原告羅靖崴因本次事故受有頭部外傷併輕微腦震盪之傷害，前往聯新醫院就診，支出醫療費用2,443元。
2. 交通費用：1,235元
原告羅靖崴因本次事故就醫，支出交通費用1,235元。
3. 工作損失：20,148元
原告羅靖崴因本次事故受傷，需在家休養16日而無法工作，依其每月工資37,778元計算，受有工作損失20,148元。
4. 慰撫金：10,000元
原告羅靖崴因本次事故受有頭部外傷併輕微腦震盪之傷害，影響日常生活甚鉅，於精神上承受無形痛苦，爰請求慰撫金10,000元。
（二）原告邱品妍部分：
1. 醫療費用：57,550元
原告邱品妍因本次事故受有頭暈及頸部扭傷等傷害，前往聯新醫院就診，支出醫療費用57,550元。
2. 交通費用：22,195元
原告邱品妍因本次事故就醫，支出交通費用22,195元。
3. 工作損失：66,768元
原告邱品妍因本次事故受傷，需在家休養1月又28日而無法工作，依其每月工資34,535元計算，受有工作損失66,768元。
+D26
4. 車輛貶值損失：36,000元
系爭車輛因本次事故受有交易上價值貶損33,000元及支出鑑定費3,000元，合計36,000元。
5. 慰撫金：60,000元
原告邱品妍因本次事故受有頭暈及頸部扭傷等傷害，影響其工作、生活之行動，於精神上造成無形痛苦，爰請求慰撫金60,000元。
（三）綜上所陳，被告應連帶賠償原告羅靖崴之損害，包含醫療費用2,443元、交通費用1,235元、工作損失20,148元及慰撫金10,000元，總計33,826元；應連帶賠償原告邱品妍之損害，包含醫療費用57,550元、交通費用22,195元、工作損失66,768元、車輛貶值損失36,000元及慰撫金60,000元，總計242,513元。兩原告請求賠償之金額合計276,339元，並自起訴狀副本送達翌日起至清償日止，按年息5%計算之利息。</t>
        </is>
      </c>
      <c r="E26" s="9" t="n">
        <v>85</v>
      </c>
      <c r="F26" s="2" t="inlineStr">
        <is>
          <t>事實少了敘述原告受傷情形</t>
        </is>
      </c>
    </row>
    <row r="27" ht="30" customHeight="1" thickBot="1">
      <c r="A27" t="n">
        <v>26</v>
      </c>
      <c r="B27" s="2" t="inlineStr">
        <is>
          <t>一、事故發生緣由:
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二、原告受傷情形:
原告吳麗娟受有右眼球及眼眶組織挫傷、右眼瞼撕裂傷及右臂鈍傷併血腫等傷害。
原告陳碧翔受有頭部撕裂傷、右側胸壁挫傷、頸部及下巴挫傷及瘀血、後背部擦傷及右手擦傷等傷害。
三、請求賠償的事實根據:
原告陳碧翔因本件車禍支出醫療費用，包含臺北榮民總醫院（下稱臺北榮總）6,080元、馬偕紀念醫院1,500元及中醫費用5,600 元，另因頭部右側遭受重擊，假牙因而脫落，需重新安裝假牙裝置，費用為2萬4,000元。原告陳碧翔為高職畢業，除受外傷外，尚因受撞擊拉扯，須長期治療及復健，加上需重裝假牙之時間，造成生活多處不便，故請求慰撫金20萬元。 原告吳麗娟因本件車禍導致後下背腰痛、雙側韌帶撕裂傷，支出醫療費用為臺北榮總1,490 元、馬偕紀念醫院1,580 元、內湖菁英診所6,000 元及中醫1, 750元等，另經榮民總醫院確診原告吳麗娟發生腰椎第一、二節脊椎滑脫，有傷及神經癱瘓之虞，將來手術費用預計26萬4,379 元。原告吳麗娟為商專畢業，其除了受外傷外，尚因受撞擊拉扯，須長期治療及復健，痛楚非筆墨所能形容，未來更要負擔沉重手術費用，故請求慰撫金20萬元。 原告2人因身體受猛烈撞擊震盪，養傷期間均無生活自主能力，必須仰賴專人看護照顧，自107年7 月24日起至107年11月23日止，支出看護費用共計30萬5,000 元。另外原告2人均因本件車禍受傷，搭乘計程車前往醫院就診及復健，共支出計程車車資3萬9,370 元。</t>
        </is>
      </c>
      <c r="C27" s="11" t="inlineStr">
        <is>
          <t>一、事實概述：
緣被告鄭凱祥於民國107年7月24日凌晨2時59分許，無照駕駛車牌號碼000-0000號自用小貨車，行經新北市○○區○○路0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號營業小客車搭載原告吳麗娟、陳碧翔，自上述三岔路口左轉，欲駛入國道一號北上入口，因而遭被告鄭凱祥駕駛之系爭車輛撞擊；又被告鄭凱祥上開過失行為，經鈞院以108年度審交簡字第446號判決認定犯過失傷害罪，判處有期徒刑4月，得易科罰金在案，足證其有過失侵權行為。而被告吳阿燕明知被告鄭凱祥未領有駕駛執照，竟交付系爭車輛供被告鄭凱祥駕駛，已違反道路交通管理處罰條例第21條第1項第1款、第28條規定，依民法第184條第2項應推定具有過失，亦構成侵權行為，因此被告吳阿燕、鄭凱祥應成立共同侵權行為。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（一）原告陳碧翔之損害：
1. 醫療費用：13,180元
原告陳碧翔因本次事故受傷就醫，支出醫療費用共計13,180元。
2. 假牙裝置費用：24,000元
原告陳碧翔因本次事故假牙脫落，需重新安裝假牙裝置，費用為24,000元。
3. 慰撫金：200,000元
原告陳碧翔因本次事故受傷及生活不便，請求精神慰撫金200,000元。
4. 看護費用：152,500元
原告陳碧翔因本次事故失去生活自主能力，支出看護費用152,500元（總額305,000元之半）。
5. 交通費：19,685元
原告陳碧翔因本次事故就醫及復健，支出交通費用19,685元（總額39,370元之半）。
（二）原告吳麗娟之損害：
1. 醫療費用：8,720元
原告吳麗娟因本次事故受傷就醫，支出醫療費用共計8,720元。
2. 未來手術費用：264,379元
原告吳麗娟因本次事故確診腰椎滑脫，預計未來手術費用為264,379元。
3. 慰撫金：200,000元
原告吳麗娟因本次事故受傷及未來手術負擔，請求精神慰撫金200,000元。
4. 看護費用：152,500元
原告吳麗娟因本次事故失去生活自主能力，支出看護費用152,500元（總額305,000元之半）。
5. 交通費：19,685元
原告吳麗娟因本次事故就醫及復健，支出交通費用19,685元（總額39,370元之半）。
四、結論：綜上所陳，被告鄭凱祥、吳阿燕應連帶賠償原告陳碧翔之醫療費用13,180元、假牙費用24,000元、精神慰撫金200,000元、看護費用152,500元、交通費用19,685元；原告吳麗娟之醫療費用8,720元、未來手術費用264,379元、精神慰撫金200,000元、看護費用152,500元、交通費用19,685元，總計999,019元，並自起訴狀副本送達翌日起至清償日止，按年息5%計算之利息。</t>
        </is>
      </c>
      <c r="D27" s="7" t="inlineStr">
        <is>
          <t>一、緣被告鄭凱祥於民國107年7月24日凌晨2時59分許，無照駕駛車牌號碼000-0000號自用小貨車（下稱系爭車輛），行經新北市○○區○○路0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號營業小客車搭載原告吳麗娟、陳碧翔，自上述三岔路口左轉，欲駛入國道一號北上入口，因而遭被告鄭凱祥駕駛之系爭車輛撞擊。被告鄭凱祥上開過失行為，業經鈞院以108年度審交簡字第446號判決認定犯過失傷害罪，判處有期徒刑4月，得易科罰金在案。被告吳阿燕明知被告鄭凱祥未領有駕駛執照，竟交付系爭車輛供被告鄭凱祥駕駛，已違反道路交通管理處罰條例第21條第1項第1款、第28條規定。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鄭凱祥、吳阿燕因上開侵權行為，致原告受有下列損害，依前揭規定，被告應負連帶損害賠償責任：
（一）醫療費用：
1. 原告陳碧翔已支出醫療費用13,180元，包含臺北榮民總醫院6,080元、馬偕紀念醫院1,500元、中醫費用5,600元。
2. 原告吳麗娟已支出醫療費用9,820元，包含臺北榮民總醫院1,490元、馬偕紀念醫院1,580元、內湖菁英診所6,000元及中醫1,750元。
3. 原告吳麗娟需預支手術費用264,379元。
（二）假牙費用：24,000元
原告陳碧翔因本次事故導致假牙脫落，需重新安裝假牙裝置，費用為24,000元。
（三）看護費用：305,000元
原告2人因身體受猛烈撞擊震盪，養傷期間均無生活自主能力，必須仰賴專人看護照顧，自107年7月24日起至107年11月23日止，支出看護費用305,000元。
（四）交通費用：39,370元
原告2人因本件車禍受傷，搭乘計程車前往醫院就診及復健，支出計程車車資39,370元。
（五）慰撫金：
1. 原告陳碧翔：200,000元
原告陳碧翔為高職畢業，因本次事故受有頭部撕裂傷、右側胸壁挫傷、頸部及下巴挫傷及瘀血、後背部擦傷及右手擦傷等傷害，須長期治療及復健，加上需重裝假牙之時間，造成生活多處不便，爰請求慰撫金200,000元。
2. 原告吳麗娟：200,000元
原告吳麗娟為商專畢業，因本次事故受有右眼球及眼眶組織挫傷、右眼瞼撕裂傷及右臂鈍傷併血腫等傷害，且經榮民總醫院確診發生腰椎第一、二節脊椎滑脫，有傷及神經癱瘓之虞，將來需負擔沉重手術費用，爰請求慰撫金200,000元。
（六）綜上所陳，被告應連帶賠償原告之損害，包含原告陳碧翔之醫療費用13,180元、看護費用305,000元、交通費用39,370元、假牙費用24,000元及慰撫金200,000元，總計581,550元；以及原告吳麗娟之醫療費用9,820元、看護費用305,000元、交通費用39,370元、未來手術費用264,379元及慰撫金200,000元，總計818,569元。</t>
        </is>
      </c>
      <c r="E27" s="9" t="n">
        <v>75</v>
      </c>
      <c r="F27" s="2" t="inlineStr">
        <is>
          <t>事實少了部分原告受傷情形，另外在輸入內容中看護費用、交通費的金額是2位原告共同支出，不應該平分後拆成2個人請求</t>
        </is>
      </c>
    </row>
    <row r="28" ht="30" customHeight="1" thickBot="1">
      <c r="A28" t="n">
        <v>27</v>
      </c>
      <c r="B28" s="2" t="inlineStr">
        <is>
          <t>一、事故發生緣由:
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二、原告受傷情形:
原告丁○○受有頸部無疼痛、左胸、左手肘、前臂及左手背挫傷合併擦傷、左手腕挫傷、左膝挫傷合併擦傷等傷害；原告丙○○受有左前臂及左手背挫傷合併擦傷、左膝挫傷合併擦傷疑韌帶挫傷、頭部外傷等傷害。
三、請求賠償的事實根據: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is>
      </c>
      <c r="C28" s="11" t="inlineStr">
        <is>
          <t>一、事實概述：
緣被告甲○○於民國109年10月14日上午9時54分許，駕駛車牌號碼000-0000號自用小客車，沿西往東方向臨停在臺北市○○區○○○路0段00○0號劃有禁止臨時停車之紅線路段，其後欲向左起步駛入車道，詎其疏未注意車輛起駛前應注意前後左右有無車輛及讓行進中車輛行人優先通行，貿然起駛。此時原告丁○○騎乘車牌號碼000-000號普通重型機車搭載原告丙○○沿同路段同向行駛至上開地點，見被告甲○○之車起駛，遂煞車減速並向左偏閃避。詎被告乙○○騎乘車牌號碼000-0000號普通重型機車沿同路段同向行駛在原告丁○○後方，亦疏未注意機車行駛時應注意車前狀況及兩車併行之間隔，並隨時採取必要之安全措施，竟貿然繼續直行，因而撞擊原告丁○○所騎乘之普通重型機車，致原告丁○○、丙○○人車倒地。被告甲○○、乙○○前揭行為，經鈞院111年度審交簡字第110號刑事簡易判決以被告甲○○、乙○○各犯過失傷害罪，處被告甲○○拘役40日、被告乙○○拘役30日，足證被告甲○○、乙○○對本件事故發生均有過失，應共同負連帶賠償責任。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（一）原告丁○○之損害：
1. 醫療費用：59,572元
原告丁○○因本次事故受傷就醫，支出醫療費用59,572元。
2. 看護費用：14,000元
原告丁○○因本次事故需專人照護，支出看護費用14,000元。
3. 計程車費用：9,450元
原告丁○○因就醫需求，支出計程車費用9,450元。
4. 薪資損失：187,680元
原告丁○○因傷勢無法工作，損失薪資187,680元。
5. 機車維修費用：6,150元
原告丁○○因機車損壞，支出維修費用6,150元。
6. 住宿費用：未明確分攤，暫不列入
7. 醫療用品費用：477元
原告丁○○因本次事故，支出醫療用品費用477元。
8. 精神慰撫金：100,000元
原告丁○○因本次事故身心受損，請求精神慰撫金100,000元。
（二）原告丙○○之損害：
1. 醫療費用：59,572元
原告丙○○因本次事故受傷就醫，支出醫療費用59,572元。
2. 看護費用：14,000元
原告丙○○因本次事故需專人照護，支出看護費用14,000元。
3. 計程車費用：9,450元
原告丙○○因就醫需求，支出計程車費用9,450元。
4. 住宿費用：未明確分攤，暫不列入
5. 醫療用品費用：477元
原告丙○○因本次事故，支出醫療用品費用477元。
6. 精神慰撫金：100,000元
原告丙○○因本次事故身心受損，請求精神慰撫金100,000元。
四、結論：綜上所陳，被告甲○○、乙○○應連帶賠償原告丁○○之醫療費用59,572元、看護費用14,000元、計程車費用9,450元、工作損失187,680元、車輛損失6,150元、醫療用品費用477元、精神慰撫金100,000元；以及原告丙○○之醫療費用59,572元、看護費用14,000元、計程車費用9,450元、醫療用品費用477元、精神慰撫金100,000元，總計450,901元，並自起訴狀副本送達翌日起至清償日止，按年息5%計算之利息。</t>
        </is>
      </c>
      <c r="D28" s="7" t="inlineStr">
        <is>
          <t>一、緣被告甲○○於民國109年10月14日上午9時54分許，駕駛車牌號碼000-0000號自用小客車，先沿西往東方向臨停在臺北市○○區○○○路0段00○0號劃有禁止臨時停車之紅線路段，其後欲向左起步駛入車道，本應注意車輛起駛前，應注意前後左右有無車輛，並應讓行進中之車輛行人優先通行，竟疏未注意及此，貿然起駛，適有原告丁○○騎乘車牌號碼000-000號普通重型機車搭載原告丙○○沿同路段同向行駛至上開地點，見狀煞車減速並向左偏閃避，然被告乙○○騎乘車牌號碼000-0000號普通重型機車沿同路段同向行駛在原告丁○○後方，本應注意機車行駛時，應注意車前狀況及兩車併行之間隔，並隨時採取必要之安全措施，竟疏未注意及此，貿然繼續直行，因而撞擊原告丁○○所騎乘之普通重型機車，致原告丁○○、丙○○人車倒地。被告甲○○、乙○○均因前開行為，經鈞院111年度審交簡字第110號刑事簡易判決以被告甲○○、乙○○各犯過失傷害罪，處被告甲○○拘役40日、被告乙○○拘役30日，足證被告等人對本件事故發生均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（一）醫療費用：77,162元
1. 原告丁○○：59,572元
2. 原告丙○○：17,590元
（二）看護費用：28,000元
原告丁○○、丙○○因本次事故受傷，生活上均需要專人全日照護7日，以每日2,000元計算，各14,000元，共計28,000元。
（三）交通費用：18,900元
原告丁○○、丙○○因本次事故需前往臺北市立聯合醫院和平院區、崇生中醫診所、亞東紀念醫院與臺北榮民總醫院回診，各9,450元，共計18,900元。
（四）薪資損失：187,680元
原告丁○○因本次事故請假92天，以其109年4月至109年10月間平均6個月薪資為61,200元，每日薪資為2,040元計算，共損失187,680元。
（五）筆電維修費用：21,599元
原告丙○○因本次事故導致筆電損壞，支出維修費用21,599元。
（六）機車維修費用：6,150元
原告丁○○因本次事故導致所騎乘之機車受損，支出修繕費用6,150元。
（七）住宿費用：7,000元
原告丁○○、丙○○因本次事故於109年10月14日至同年月19日期間，需住宿於醫院隔壁之飯店，支出住宿費用7,000元。
（八）醫療用品費用：954元
原告丁○○、丙○○因本次事故各支出醫療用品費用477元，共計954元。
（九）慰撫金：200,000元
1. 原告丁○○：100,000元
2. 原告丙○○：100,000元
（十）綜上所陳，被告應連帶賠償原告之損害，包含醫療費用77,162元、看護費用28,000元、交通費用18,900元、薪資損失187,680元、筆電維修費用21,599元、機車維修費用6,150元、住宿費用7,000元、醫療用品費用954元及慰撫金200,000元，總計518,445元。</t>
        </is>
      </c>
      <c r="E28" s="9" t="n">
        <v>82</v>
      </c>
      <c r="F28" s="2" t="inlineStr">
        <is>
          <t>和GPT的答案一樣事實少了部分原告受傷情形，不過在住宿費用的部分，因為輸入內容沒有給明確金額導致生成不出來</t>
        </is>
      </c>
    </row>
    <row r="29" ht="30" customHeight="1" thickBot="1">
      <c r="A29" t="n">
        <v>28</v>
      </c>
      <c r="B29" s="2" t="inlineStr">
        <is>
          <t>一、事故發生緣由:
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二、原告受傷情形:
原告鄭和昌因而受有頭部外傷合併蜘蛛網膜下出血及硬腦膜下出血、頭皮撕裂傷1.5×0.5公分等傷害，原告鄭劉菊則受有頭部外傷合併蜘蛛網膜下出血及硬腦膜下出血等傷害（下合稱系爭傷害）。
三、請求賠償的事實根據:
原告鄭和昌主張因本件事故受傷而支出醫療費用23,262元，並有彰基醫院、廖慶龍骨科診所之門診收據為證。
另查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末查鄭和昌因本件事故致傷，除身體受有莫大痛苦外，因鄭和昌年事已高，身體本已不堪勞損，卻因被告施彥宏之過失致傷，甚至住進加護病房，事發至今已一年餘仍需往返醫療院所就醫，深恐年老之身體無法復原將對子女造成拖累，心靈上之恐懼與痛苦自是難以言喻。惟被告不僅餘事故發生當肇事逃逸，事發至今亦不聞不問，拒不負責，爰請求精神慰撫金300,000元。
原告鄭劉菊則主張因本件事故受傷而支出醫療費用18,472元，並有彰基醫院、廖慶龍骨科診所之門診收據為證。
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原告2人為治療系爭傷害，因而購買尿布、便器等用品，而由原告鄭劉菊支出1,348元。
鄭劉菊因本件事故致上開嚴重傷害，除身心受有莫大痛苦外，因原告鄭劉菊年事已高，身體本已不堪勞損，卻因被告施彥宏之上開過失致傷，同樣住進加護病房，事發至今已一年餘仍需往返醫療院所就醫，並且深恐年老之身體無法復原將對子女造成拖累，心靈上之恐懼與痛苦自是難以言喻。惟被告不僅餘事故發生當肇事逃逸，事發至今亦不聞不問，拒不負責，爰請求精神慰撫金300,000元。</t>
        </is>
      </c>
      <c r="C29" s="11" t="inlineStr">
        <is>
          <t>一、事實概述：
緣被告施彥宏於民國110年1月21日13時許，雖未領有駕駛執照，仍駕駛被告呂明昌所有車牌號碼0000-00號自用小客貨車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劉菊騎乘車牌號碼000-000號普通重型機車搭載其妻即原告鄭劉菊，於被告施彥宏所駕駛車輛右側沿同路段同向行駛在前，遭被告施彥宏自後方超車時擦撞到系爭車輛左側，致原告鄭劉菊、鄭劉菊人、車倒地；又被告施彥宏於肇事後，知悉原告2人遭擦撞倒地受傷，另基於肇事逃逸之犯意，未停留在現場等候警方處理或協助將傷者送醫救治，即逕行駕車離去。被告施彥宏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（一）原告鄭和昌之損害：
1. 醫療費用：23,262元
原告鄭和昌因本次事故受傷就醫，支出醫療費用23,262元。
2. 看護費用：221,500元
原告鄭和昌因本次事故導致生活無法自理，需要聘請看護，請求看護費用221,500元。
3. 精神慰撫金：300,000元
原告鄭和昌因本次事故身心受創，且被告肇事逃逸，拒不負責，請求精神慰撫金300,000元。
（二）原告鄭劉菊之損害：
1. 醫療費用：18,472元
原告鄭劉菊因本次事故受傷就醫，支出醫療費用18,472元。
2. 看護費用：221,500元
原告鄭劉菊因本次事故導致生活無法自理，需要聘請看護，請求看護費用221,500元。
3. 尿布及便器費用：1,348元
原告鄭劉菊因本次事故需要購買尿布、便器等用品，支出費用1,348元。
4. 精神慰撫金：300,000元
原告鄭劉菊因本次事故身心受創，且被告肇事逃逸，拒不負責，請求精神慰撫金300,000元。
四、結論：綜上所陳，被告施彥宏、呂明昌應連帶賠償原告鄭和昌醫療費用23,262元、精神慰撫金300,000元；原告鄭劉菊醫療費用18,472元、精神慰撫金300,000元，總計43,082元，並自起訴狀副本送達翌日起至清償日止，按年息5%計算之利息。</t>
        </is>
      </c>
      <c r="D29" s="8" t="inlineStr">
        <is>
          <t>一、緣被告施彥宏於民國110年1月21日13時許，無照駕駛被告呂明昌所有車牌號碼0000-00號自用小客貨車，沿彰化縣花壇鄉花秀路由西往東方向行駛，途經彰化縣○○鄉○○路000號前，本應注意於汽車行駛時，不得跨越分向限制線超車，且於超車過程亦應保持半公尺以上之安全間隔，依當時情形，並無不能注意之情事，竟貿然跨越分向限制線行駛，且超車時未保持安全間隔，適有原告鄭和昌騎乘車牌號碼000-000號普通重型機車搭載其妻即原告鄭劉菊，於被告施彥宏所駕駛車輛右側沿同路段同向行駛在前，遭被告施彥宏自後方超車時擦撞到系爭車輛左側，致原告鄭和昌、鄭劉菊人、車倒地。被告施彥宏於肇事後，知悉原告2人遭擦撞倒地受傷，竟基於肇事逃逸之犯意，未停留在現場等候警方處理或協助將傷者送醫救治，即逕行駕車離去。被告施彥宏之行為業經鈞院刑事庭以110年度交訴字第144號判決應執行有期徒刑1年5月；又被告呂明昌明知並出借肇事車輛供無駕駛執照而駕駛技術不純熟及交通法規知識之欠缺之被告施彥宏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施彥宏、呂明昌因上開侵權行為，致原告受有下列損害，依前揭規定，被告應負連帶損害賠償責任：
（一）原告鄭和昌部分：
1. 醫療費用：23,262元
原告鄭和昌因本次事故受有頭部外傷合併蜘蛛網膜下出血及硬腦膜下出血、頭皮撕裂傷1.5×0.5公分等傷害，支出醫療費用23,262元。
2. 看護費用：221,500元
原告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慰撫金：300,000元
原告鄭和昌年事已高，身體本已不堪勞損，因本次事故受傷住進加護病房，事發至今已一年餘仍需往返醫療院所就醫，深恐年老之身體無法復原將對子女造成拖累，心靈上之恐懼與痛苦自是難以言喻。惟被告不僅餘事故發生當肇事逃逸，事發至今亦不聞不問，拒不負責，爰請求慰撫金300,000元。
（二）原告鄭劉菊部分：
1. 醫療費用：18,472元
原告鄭劉菊因本次事故受有頭部外傷合併蜘蛛網膜下出血及硬腦膜下出血等傷害，支出醫療費用18,472元。
2. 看護費用：221,500元
原告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生活用品費用：1,348元
原告鄭劉菊因本次事故致上開嚴重傷害，為原告鄭和昌購買尿布、便器等用品，支出費用1,348元。
4. 慰撫金：300,000元
原告鄭劉菊年事已高，身體本已不堪勞損，因本次事故受傷住進加護病房，事發至今已一年餘仍需往返醫療院所就醫，並且深恐年老之身體無法復原將對子女造成拖累，心靈上之恐懼與痛苦自是難以言喻。惟被告不僅餘事故發生當肇事逃逸，事發至今亦不聞不問，拒不負責，爰請求慰撫金300,000元。
（三）綜上所陳，被告應連帶賠償原告鄭和昌之損害，包含醫療費用23,262元、看護費用221,500元、慰撫金300,000元，總計544,762元；應連帶賠償原告鄭劉菊之損害，包含醫療費用18,472元、看護費用221,500元、生活用品費用1,348元、慰撫金300,000元，總計541,320元。</t>
        </is>
      </c>
      <c r="E29" s="9" t="n">
        <v>75</v>
      </c>
      <c r="F29" s="2" t="inlineStr">
        <is>
          <t>事實少了原告受傷情形
另外在車禍事實敘述也有錯誤，輸入內容是「原告鄭和昌騎乘車牌號碼000-000號普通重型機車（下稱系爭車輛）搭載其妻即原告鄭劉菊」
卻生成為「適有原告『鄭劉菊』騎乘車牌號碼000-000號普通重型機車搭載其妻即原告鄭劉菊」原告變成兩個同姓名的人</t>
        </is>
      </c>
    </row>
    <row r="30" ht="30" customHeight="1" thickBot="1">
      <c r="A30" t="n">
        <v>29</v>
      </c>
      <c r="B30" s="2" t="inlineStr">
        <is>
          <t>一、事故發生緣由:
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二、原告受傷情形:
原告莊士紘受有右側眼瞼及眼周圍區域鈍傷之傷害，原告林淑玲受有右側遠端股骨粉碎性骨折之傷害。
三、請求賠償的事實根據:
原告主張因本件車禍，致原告莊士紘支出醫藥費800元、原告林淑玲支出醫藥及輔具費14萬5,563元，並提出醫療費用收據、統一發票可證。原告林淑玲主張其因本件車禍事故受有右側遠端股骨粉碎性骨折之傷害，其就醫有搭乘他人駕駛車輛接送之需要，故往返醫院就醫共支出交通接送費6,105元，並有醫療收據為證。另按由親屬看護時，雖無現實看護費之支付，仍應認被害人受有相當於看護費之損害，得向加害人請求賠償，原告林淑玲因本件車禍受有右側遠端股骨粉碎性骨折之傷害，診斷證明書更記載：「於110年6月18日經急診入院治療，接受開放性復位鋼板釘內固定手術並植入人工骨膠手術，於000年0月00日出院共計9天，...受傷需專人照顧日常生活一個月...」，故林淑玲確實需他人看護照顧一個月，以每日2,200元計算請求一個月看護費損害6萬6,000元。系爭汽車（含行車紀錄器、隔熱紙）修理費合計43萬8,069元。莊士紘因本件車禍受有眼鏡毀損，重新配戴眼鏡支出6,800元，有取貨單1紙為證。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萬2,000元。末查原告莊士紘大學畢業，車禍前從事保險經紀人，月收入約2萬多元，110年度所得給付總額15萬5,175元、財產給付總額403萬3,350元，原告林淑玲沒有工作，沒有月收入，110年度所得給付總額5,111元、財產給付總額0元，原告二人均因本件事故受有上開傷勢，受有精神痛苦，原告莊士紘爰請求慰撫金3萬元、原告林淑玲爰請求慰撫金15萬元。</t>
        </is>
      </c>
      <c r="C30" s="2" t="inlineStr">
        <is>
          <t>一、事實概述：
緣被告楊進傳於110年6月18日上午10時34分許，駕駛二牙堆高機，在臺中市豐原區豐原大道6段外側車道行駛至該段地下道後，不當慢速行駛，未開啟燈光及任何警示措施。當時原告莊士紘駕駛車牌號碼000-0000號自用小客車搭載其母原告林淑玲在該地下道內同向在後行駛，原告莊士紘並未注意車前狀況、未開啟頭燈、未與前車保持安全距離，遂撞擊前方被告楊進傳所駕駛之堆高機尾部，致堆高機往前旋轉，其二根牙杈插入原告莊士紘所駕駛之汽車車底，並將該汽車推向地下道牆壁，以上情節構成本件車禍。又被告楊進傳於本件車禍發生時係在執行其駕駛堆高機之職務，且被告楊進傳係受雇於被告韓昇忠，被告韓昇忠對於被告楊進傳之駕駛行為，具有指揮、監督之責任，應與被告楊進傳負連帶賠償責任。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（一）原告莊士紘之損害：
1. 醫療費用：800元
原告莊士紘因本次事故受傷就醫，支出醫療費用800元。
2. 眼鏡損壞：6,800元
原告莊士紘因本次事故眼鏡損壞，重新配戴眼鏡支出6,800元。
3. 工作損失：5,600元
原告莊士紘因本次事故休養一週，受有工作損失5,600元。
4. 慰撫金：30,000元
原告莊士紘因本次事故受有精神痛苦，請求精神慰撫金30,000元。
（二）原告林淑玲之損害：
1. 醫療費用：145,563元
原告林淑玲因本次事故受傷就醫，支出醫療費用145,563元。
2. 交通費：6,105元
原告林淑玲因本次事故就醫，支出交通接送費6,105元。
3. 看護費：66,000元
原告林淑玲因本次事故需專人照顧，請求看護費66,000元。
4. 工作損失：72,000元
原告林淑玲因本次事故休養三個月，受有工作損失72,000元。
5. 慰撫金：150,000元
原告林淑玲因本次事故受有精神痛苦，請求精神慰撫金150,000元。
四、結論：綜上所陳，被告楊進傳、韓昇忠應連帶賠償原告莊士紘之損害，包含醫療費用800元、工作損失5,600元、精神慰撫金30,000元；原告林淑玲之損害包含醫療費用145,563元、交通費6,105元、工作損失72,000元、精神慰撫金150,000元，總計482,868元，並自起訴狀副本送達翌日起至清償日止，按年息5%計算之利息。</t>
        </is>
      </c>
      <c r="D30" s="8" t="inlineStr">
        <is>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被告楊進傳於本件車禍發生時係在執行其駕駛堆高機之職務，且其係受雇於被告韓昇忠，被告韓昇忠對於被告楊進傳之駕駛行為，具有指揮、監督之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進傳、韓昇忠因上開侵權行為，致原告受有下列損害，依前揭規定，被告應負連帶損害賠償責任：
（一）醫療費用：146,363元
1. 原告莊士紘醫療費用：800元
2. 原告林淑玲醫療費用：145,563元
（二）交通費用：6,105元
原告林淑玲因本件車禍受有右側遠端股骨粉碎性骨折之傷害，需搭乘他人駕駛車輛接送往返醫院就醫，支出交通費用6,105元。
（三）看護費用：66,000元
原告林淑玲因本件車禍受有右側遠端股骨粉碎性骨折之傷害，需他人看護照顧一個月，以每日2,200元計算，共計66,000元。
（四）財物損害：454,869元
1. 系爭汽車修理費：438,069元
2. 原告莊士紘眼鏡毀損：6,800元
（五）工作損失：77,600元
1. 原告莊士紘工作損失：5,600元
2. 原告林淑玲工作損失：72,000元
（六）慰撫金：180,000元
1. 原告莊士紘：30,000元
2. 原告林淑玲：150,000元
（七）綜上所陳，被告應連帶賠償原告之損害，包含醫療費用146,363元、交通費用6,105元、看護費用66,000元、財物損害454,869元、工作損失77,600元及慰撫金180,000元，總計930,937元。</t>
        </is>
      </c>
      <c r="E30" s="9" t="n">
        <v>85</v>
      </c>
      <c r="F30" s="2" t="inlineStr">
        <is>
          <t>跟GPT的答案一樣正確引用§188而不是§185
賠償事實的部分生成的比GPT答案還多，但一樣漏掉原告受傷情形</t>
        </is>
      </c>
    </row>
    <row r="31" ht="30" customHeight="1" thickBot="1">
      <c r="A31" t="n">
        <v>30</v>
      </c>
      <c r="B31" s="2" t="inlineStr">
        <is>
          <t>一、事故發生緣由：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二、原告受傷情形：
原告因本次車禍事故受有頸椎管狹窄併脊髓損傷之傷害，導致下肢乏力、經常跌倒及行動不便，需要持續復健治療，至今仍步態不穩蹣跚，行動能力明顯受到障礙。
三、請求賠償的事實根據：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is>
      </c>
      <c r="C31" s="2" t="inlineStr">
        <is>
          <t>一、事實概述：
緣被告乙○○於民國96年12月5日18時35分許，騎乘車牌號碼922-BER號機車，自臺北市○○路由東往西行駛，途經青年新城前時，適原告正在穿越青年路行走，被告乙○○本應注意車前狀況及依規定暫停讓行人先行通過，然當時天候陰、夜間有照明、柏油路面乾燥無缺陷、無障礙物、視距良好之情況下，被告乙○○竟疏未注意撞及原告，致原告倒地受傷。又事故發生時被告乙○○未滿20歲，被告丙○○為其法定代理人，依法應連帶負賠償之責。
二、法律依據：
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187條第1項、民法第191條之2、民法第193條第1項、民法第195條第1項前段分別定有明文。查被告因上開侵權行為，致原告受有下列損害，依前揭規定，被告應負損害賠償責任：
三、損害項目：
（一）醫療費用：12,372元
原告因本次事故受傷就醫，產生住院及門診醫療費用共計12,372元。
（二）交通費：86,800元
原告因行動不便，往返醫院復健需搭乘計程車，產生交通費用共計86,800元。
（三）看護費：500,000元
原告因行動不便，需僱用幫傭協助生活起居，產生看護費用共計500,000元。
（四）財物損失：38,000元
原告因事故遭受財物損害，包含衣物、鞋子、手錶及牙齒等，損失共計38,000元。
（五）精神慰撫金：500,000元
原告因本次事故受有嚴重傷害及身心痛苦，請求精神慰撫金500,000元。
四、結論：綜上所陳，被告乙○○、丙○○應連帶賠償原告之損害，包含原告醫療費用12,372元、交通費86,800元、看護費500,000元、財物損失38,000元、精神慰撫金500,000元，總計637,172元，並自起訴狀副本送達翌日起至清償日止，按年息5%計算之利息。</t>
        </is>
      </c>
      <c r="D31" s="4" t="inlineStr">
        <is>
          <t>一、緣被告乙○○於民國96年12月5日18時35分許，騎乘車牌號碼922-BER號機車，自臺北市○○路由東往西行駛，途經青年新城前時，適原告正在穿越青年路行走。當時天候陰、夜間有照明、柏油路面乾燥無缺陷、無障礙物、視距良好，被告乙○○本應注意車前狀況及依規定暫停讓行人先行通過，竟疏未注意撞及原告，致原告倒地受傷。又事故發生時被告乙○○未滿20歲，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原告因本次事故導致身上所穿戴之衣服、褲子、鞋子、手錶及牙齒受損，損害共計38,000元。
（五）慰撫金：500,000元
原告因本次事故受有頸椎管狹窄併脊髓損傷之重傷，不僅造成行動不便，更因此無法親自照顧長年臥病在床之配偶，身心俱疲。且原告年事已高，復原情況不佳，對未來生活品質造成嚴重影響，爰請求慰撫金500,000元。
（六）綜上所陳，被告應連帶賠償原告之損害，包含醫療費用12,372元、交通費用86,800元、看護費用500,000元、財物損失38,000元及慰撫金500,000元，總計1,137,172元。</t>
        </is>
      </c>
      <c r="E31" s="9" t="n">
        <v>77</v>
      </c>
      <c r="F31" s="2" t="inlineStr">
        <is>
          <t>法條不用引用§185
事實少了部分原告受傷情形、慰撫金等相關敘述</t>
        </is>
      </c>
    </row>
    <row r="32" ht="30" customHeight="1" thickBot="1">
      <c r="A32" t="n">
        <v>31</v>
      </c>
      <c r="B32" s="2" t="inlineStr">
        <is>
          <t>一、事故發生緣由:
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二、原告受傷情形:
原告受有右側遠端脛骨、腓骨骨折、胸骨線狀骨折、右側近端肱骨線狀骨折、尾椎骨骨折等傷害。
三、請求賠償的事實根據:
1.醫療費用：
原告因系爭事故受有系爭傷害，受有支出醫療費用一共72,355元之損害，並且有高雄榮民總醫院、高雄醫學大學附設中和紀念醫院之醫療費用收據、門診醫療費用收據作為證據。
2.就醫交通費用：
⑴計程車車資10,890元：
原告因系爭事故受有系爭傷害，需搭乘計程車往返醫院與住家就診，因而受有支出交通費用10,890元之損害。
⑵救護車費用1,900元：
原告因系爭事故受有系爭傷害而住院，至108年4月8日始出院，返家時支出救護車費用1,900元。
3.看護費用：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萬元（計算式：2,000元/日×90日＝18萬元）之損害。
4.承租及購買醫療器材與醫療用品：
⑴承租醫療器材費用4,300 元：
原告因系爭事故受有系爭傷害，向一祥醫療器材有限公司承租輪椅、氣墊床、病床等醫療器材，原告受有承租醫療器材費用4,300元之損害。
⑵購買醫療器材費用61,400元：
原告因系爭事故受有系爭傷害，依醫囑建議使用平躺式輪椅及電動床，又原告行動不便，用餐需使用餐桌板，腿部骨折支撐需使用生腳架，原告受有支出購買醫療器材費用61,400元之損害。
⑶其他醫療用品及藥品費用35,187元：
原告因系爭事故受有系爭傷害，有使用其他醫療用品及藥品之必要，受有支出其他醫療用品及藥品費用35,187元之損害。
5.精神慰撫金：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萬元。</t>
        </is>
      </c>
      <c r="C32" s="2" t="inlineStr">
        <is>
          <t>一、事實概述：
緣被告甲○○（民國00年0月00日生）為未成年人，其法定代理人即被告丙○○。被告乙○○為被告甲○○之祖母。被告乙○○明知被告甲○○未領有駕駛執照，竟將其所有車牌號000-0000號普通重型機車出借予被告甲○○使用。被告甲○○於108年4月3日22時30分許騎乘系爭機車沿高雄市○○路○○道南向北直行，至崇德路口時，疏未注意車前狀況及禮讓行人，貿然通過路口，適原告沿文強路、文自路201巷西向東步行至此，被告甲○○因而撞及原告，致原告受有傷害。又被告甲○○未經合法駕駛訓練即貿然駕車上路，顯因駕駛技術不熟練而致未能採取即時反應，就系爭事故之發生有過失。被告甲○○肇事時為限制行為能力人，然已具備識別能力，其法定代理人即被告丙○○亦應與被告甲○○負連帶損害賠償責任。另被告乙○○明知被告甲○○未領有合法駕駛執照之情形下，仍貿然出借系爭機車，致生系爭事故，被告乙○○自應與被告甲○○及被告丙○○負連帶損害賠償責任。
二、法律依據：
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187條第1項、民法第191條之2、民法第193條第1項、民法第195條第1項前段分別定有明文。查被告因上開侵權行為，致原告受有下列損害，依前揭規定，被告應負損害賠償責任：
三、損害項目：
（一）醫療費用：72,355元
原告因本次事故受傷就醫，支出醫療費用共計72,355元。
（二）就醫交通費用：12,790元
原告因本次事故就醫需搭乘交通工具，支出交通費用共計12,790元。
（三）看護費用：180,000元
原告因本次事故多處骨折無法自理，需專人照護，支出看護費用共計180,000元。
（四）承租醫療器材費用：4,300元
原告因本次事故需租賃醫療器材，支出費用共計4,300元。
（五）購買醫療器材費用：61,400元
原告因本次事故需購買醫療器材，支出費用共計61,400元。
（六）醫療用品及藥品費用：35,187元
原告因本次事故需使用醫療用品及藥品，支出費用共計35,187元。
（七）精神慰撫金：1,200,000元
原告因本次事故身心受創，請求精神慰撫金共計1,200,000元。
四、結論：綜上所陳，被告甲○○、丙○○、乙○○應連帶賠償原告原告之損害，包含醫療費用72,355元、就醫交通費用12,790元、看護費用180,000元、承租醫療器材費用4,300元、購買醫療器材費用61,400元、醫療用品及藥品費用35,187元、精神慰撫金1,200,000元，總計1,566,032元，並自起訴狀副本送達翌日起至清償日止，按年息5%計算之利息。</t>
        </is>
      </c>
      <c r="D32" s="8" t="inlineStr">
        <is>
          <t>一、緣被告甲○○（民國00年0月00日生，行為時為未滿18歲之少年）為限制行為能力人，其母即被告丙○○為法定代理人，被告乙○○為被告甲○○之祖母。被告乙○○明知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致原告受有右側遠端脛骨、腓骨骨折、胸骨線狀骨折、右側近端肱骨線狀骨折、尾椎骨骨折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
（一）醫療費用：72,355元
原告因本次事故受有右側遠端脛骨、腓骨骨折、胸骨線狀骨折、右側近端肱骨線狀骨折、尾椎骨骨折等傷害，支出醫療費用72,355元。
（二）就醫交通費用：12,790元
1. 計程車車資：10,890元
2. 救護車費用：1,900元
（三）看護費用：180,000元
原告因多處骨折生活無法自理，依高雄榮民總醫院醫囑需專人照護3個月，均由家人照顧、看護以每日2,000元、共90日計算，受有看護費用180,000元之損害。
（四）醫療器材及醫療用品費用：101,887元
1. 承租醫療器材費用：4,300元
2. 購買醫療器材費用：61,400元
3. 其他醫療用品及藥品費用：35,187元
（五）慰撫金：1,200,000元
原告因本次事故受有全身多處骨折之傷害，迄今仍因當日事故之陰影而對駕駛動力交通工具心生恐懼，且生活起居需仰賴家人協助照顧，受有重大之精神痛苦，爰請求慰撫金1,200,000元。
（六）綜上所陳，被告應連帶賠償原告之損害，包含醫療費用72,355元、就醫交通費用12,790元、看護費用180,000元、醫療器材及醫療用品費用101,887元及慰撫金1,200,000元，總計1,567,032元。</t>
        </is>
      </c>
      <c r="E32" s="9" t="n">
        <v>80</v>
      </c>
      <c r="F32" s="2" t="inlineStr">
        <is>
          <t>比起GPT的答案少引用§185，有正確引用§185跟187
但事實還是少了原告受傷的情形</t>
        </is>
      </c>
    </row>
    <row r="33" ht="30" customHeight="1" thickBot="1">
      <c r="A33" t="n">
        <v>32</v>
      </c>
      <c r="B33" s="2" t="inlineStr">
        <is>
          <t>一、事故發生緣由:
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二、原告受傷情形:
原告因本次事故而受有左側鎖骨閉鎖性骨折、左側第2、3肋骨閉鎖性骨折、左側肩胛骨骨折、左側足部第3蹠骨閉鎖性骨折等傷害（下稱系爭傷害）。
三、請求賠償的事實根據:
原告主張因本件交通事故發生後，因受到系爭傷害，而前往淡水馬偕紀念醫院、新光吳火獅紀念醫院、大順中醫診所就醫，支出相關就醫費用共130,698元，另外因診斷證明書稱宜門診持續追蹤治療，因此預估仍有將來醫療費用共15萬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原告主張根據診斷證明書記載原告所受傷勢，因傷及足部而有礙行動，因此有搭乘計程車之必要性，參考網路查詢自原告住家至新光醫院、太順中醫診所、蔡嘉哲骨科診所、六善堂中醫診所之單程計程車車資各為455元、85元、165元、185元後，總計支出往返就醫交通費25,885元。
原告因系爭傷害，須購買吊腕帶、石膏鞋、背架等醫療用品，支出45,749元。
原告因系爭傷害購買膠原蛋白營養品支出18,000元，並提出收據為證。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系爭車輛因本件事故受有損害，原告為此支付維修費用13,750元，有估價單可作為證據。
原告因系爭事故所受之傷害未能治癒，並且造成原告勞動能力減損，因此請求被告賠償勞動能力減損之損害20萬元。
最後，原告為小學畢業，擔任清潔員工作，每月收入2萬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萬元。</t>
        </is>
      </c>
      <c r="C33" s="2" t="inlineStr">
        <is>
          <t>一、事實概述：
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沿五福路6巷往成泰路方向駛來，致原告反應不及而與之碰撞。又被告乙○○於事故發生時為未成年人，被告丙○○、甲○○為其法定代理人，應與被告乙○○負連帶賠償責任。
二、法律依據：
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187條第1項、民法第188條第1項本文、民法第191條之2、民法第193條第1項、民法第195條第1項前段分別定有明文。查被告因上開侵權行為，致原告受有下列損害，依前揭規定，被告應負損害賠償責任：
三、損害項目：
（一）醫療費用：176,447元
原告因本次事故受傷就醫，支出醫療費用共計176,447元。
（二）交通費：25,885元
原告因就醫產生交通費用，共計25,885元。
（三）看護費用：368,000元
原告因本次事故需專人照顧，支出看護費用共計368,000元。
（四）醫療用品：45,749元
原告因本次事故購買醫療用品，支出共計45,749元。
（五）營養品：18,000元
原告因本次事故購買營養品，支出共計18,000元。
（六）工作損失：156,000元
原告因本次事故無法工作，受有薪資損失共計156,000元。
（七）車輛維修：13,750元
原告因車輛受損支付維修費用共計13,750元。
（八）勞動能力減損：200,000元
原告因本次事故造成勞動能力減損，請求賠償共計200,000元。
（九）精神慰撫金：600,000元
原告因本次事故受有身心痛苦，請求精神慰撫金共計600,000元。
四、結論：綜上所陳，被告乙○○、丙○○應連帶賠償原告之損害，包含原告醫療費用176,447元、交通費用25,885元、看護費用368,000元、醫療用品45,749元、營養品18,000元；總計1,403,831元，並自起訴狀副本送達翌日起至清償日止，按年息5%計算之利息。</t>
        </is>
      </c>
      <c r="D33" s="8" t="inlineStr">
        <is>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沿五福路6巷往成泰路方向駛來，致原告反應不及而與之碰撞。又被告乙○○於事故發生時為未成年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（一）醫療費用：280,698元
1. 已支出醫療費用：130,698元
原告因本次事故受有左側鎖骨閉鎖性骨折、左側第2、3肋骨閉鎖性骨折、左側肩胛骨骨折、左側足部第3蹠骨閉鎖性骨折等傷害，前往淡水馬偕紀念醫院、新光吳火獅紀念醫院、大順中醫診所就醫，支出相關就醫費用130,698元。
2. 未來醫療費用：150,000元
依診斷證明書記載，原告需門診持續追蹤治療，預估尚需醫療費用150,000元。
（二）看護費用：368,000元
依新光吳火獅紀念醫院110年10月8日診斷證明書記載，原告需全日專人照顧6個月，由原告媳婦全日照顧被上訴人而辭職在家，每日餵食、按摩、換藥及協助日常生活起居，並帶原告回診及作復健，依照以目前社會經濟情形及一般看護標準，全日看護費用以每日2,000元計算，共計368,000元。
（三）交通費用：25,885元
原告因傷及足部而有礙行動，需搭乘計程車往返就醫，參考自原告住家至新光醫院、太順中醫診所、蔡嘉哲骨科診所、六善堂中醫診所之單程計程車車資各為455元、85元、165元、185元後，總計支出往返就醫交通費25,885元。
（四）醫療用品費用：63,749元
1. 醫療用品：45,749元
原告因本次事故需購買吊腕帶、石膏鞋、背架等醫療用品，支出45,749元。
2. 營養品：18,000元
原告因本次事故購買膠原蛋白營養品支出18,000元。
（五）工作損失：156,000元
原告因本次事故需全日專人照顧6個月而不能工作，依原告受傷前平均月薪資26,000元計算，共計156,000元。
（六）車輛修復費用：13,750元
原告之系爭車輛因本次事故受損，支出維修費用13,750元。
（七）勞動能力減損：200,000元
原告因本次事故造成勞動能力減損，請求200,000元。
（八）慰撫金：600,000元
原告為小學畢業，擔任清潔員工作，每月收入26,000元，名下無不動產。因本次事故受有多處骨折，接受骨釘內固定手術，手術後需使用氣護踝支架、石膏鞋、輪椅及柺杖，並由專人全日照顧184日，受傷休養後復職時仍需每日身穿護腰鐵衣工作，精神上受有極大痛苦，爰請求慰撫金600,000元。
（九）綜上所陳，被告應連帶賠償原告之損害，包含醫療費用280,698元、看護費用368,000元、交通費用25,885元、醫療用品費用63,749元、工作損失156,000元、車輛修復費用13,750元、勞動能力減損200,000元及慰撫金600,000元，總計1,708,082元。</t>
        </is>
      </c>
      <c r="E33" s="9" t="n">
        <v>77</v>
      </c>
      <c r="F33" s="2" t="inlineStr">
        <is>
          <t>法條錯誤引用§188
事實缺少原告受傷情形跟慰撫金相關敘述</t>
        </is>
      </c>
    </row>
    <row r="34" ht="30" customHeight="1" thickBot="1">
      <c r="A34" t="n">
        <v>33</v>
      </c>
      <c r="B34" s="2" t="inlineStr">
        <is>
          <t>一、事故發生緣由:
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二、原告受傷情形:
原告因本次交通事故受有雙側橈骨遠端閉鎖性骨折、左側尺骨莖突閉鎖性骨折、三角纖維軟骨複合體損傷、雙側手腕扭挫傷、左手挫傷等傷害。
三、請求賠償的事實根據:
原告主張因被告過失傷害行為受有雙側橈骨遠端閉鎖性骨折、左側尺骨莖突閉鎖性骨折、三角纖維軟骨複合體損傷、雙側手腕扭挫傷、左手挫傷左側閉鎖性骨折等傷害，因而至衛生福利部臺北醫院、長宏骨科診所支出醫療費用190,948元，並且有醫療費用收據作為證明。而原告因事故後1個月內生活無法自理需專人看護，故由其配偶即訴外人甲○○請假1個月在家照顧，以甲○○1個月收入3萬元計算，爰請求看護費用3萬元，且倘若如此計算下，每日看護費用僅1,000元（計算式：30,000/30＝1,000），應未超出在現行看護費用行情2,000元。原告再主張其因本件事故受傷，而衛生福利部臺北醫院診斷證明書載明有回診之必要性，因此自住家往返醫院診療，共回診34次，每次搭乘計程車車資為150元，計支出交通費用10,200元。並且原告於本件事故發生前任職於上揚後勤服務有限公司，每月薪資約50,000元，因本件事故受傷至骨科治療，經骨科建議休養5個月，復經復健科建議再休養2個月，共計7個月無法工作，受有不能工作損失35萬元。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萬8,000元，名下無財產，請求法院審酌雙方身分資力與加害程度後，命被告賠償慰撫金50萬元。</t>
        </is>
      </c>
      <c r="C34" s="2" t="inlineStr">
        <is>
          <t>一、事實概述：
緣被告游○強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被告游○強為未成年人，被告游○強、林○芬為其法定代理人，被告游○強、林○芬應就被告游○強之上開行為負連帶賠償責任。
二、法律依據：
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187條第1項、民法第191條之2、民法第193條第1項、民法第195條第1項前段分別定有明文。查被告因上開侵權行為，致原告受有下列損害，依前揭規定，被告應負損害賠償責任：
三、損害項目：
（一）醫療費用：190,948元
原告因本次事故受傷就醫，支出醫療費用共計190,948元。
（二）看護費用：30,000元
原告因事故後需專人照顧，支出看護費用共計30,000元。
（三）交通費用：10,200元
原告因就醫回診，產生交通費用共計10,200元。
（四）工作損失：350,000元
原告因事故導致無法工作，受有薪資損失共計350,000元。
（五）慰撫金：500,000元
原告因本次事故遭受身心傷害，請求精神慰撫金共計500,000元。
四、結論：綜上所陳，被告游○如、游○強應連帶賠償原告之損害，包含原告醫療費用190,948元、看護費用30,000元、交通費用10,200元、工作損失350,000元、精神慰撫金500,000元，總計1,081,148元，並自起訴狀副本送達翌日起至清償日止，按年息5%計算之利息。</t>
        </is>
      </c>
      <c r="D34" s="8" t="inlineStr">
        <is>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如、游○強、林○芬因上開侵權行為，致原告受有下列損害，依前揭規定，被告應負連帶損害賠償責任：
（一）醫療費用：190,948元
原告因本次事故受有雙側橈骨遠端閉鎖性骨折、左側尺骨莖突閉鎖性骨折、三角纖維軟骨複合體損傷、雙側手腕扭挫傷、左手挫傷等傷害，至衛生福利部臺北醫院、長宏骨科診所就醫，支出醫療費用190,948元。
（二）看護費用：30,000元
原告因本次事故後1個月內生活無法自理需專人看護，由其配偶即訴外人甲○○請假1個月在家照顧，以甲○○1個月收入3萬元計算。
（三）交通費用：10,200元
原告自住家往返衛生福利部臺北醫院診療，共回診34次，每次搭乘計程車車資150元，計支出交通費用10,200元。
（四）工作損失：350,000元
原告任職於上揚後勤服務有限公司，每月薪資約50,000元，因本件事故受傷至骨科治療，經骨科建議休養5個月，復經復健科建議再休養2個月，共計7個月無法工作，受有工作損失350,000元。
（五）慰撫金：500,000元
原告因本次事故受有雙側橈骨遠端閉鎖性骨折、左側尺骨莖突閉鎖性骨折、三角纖維軟骨複合體損傷、雙側手腕扭挫傷、左手挫傷等傷害，且於出院後仍須持續回診復健，又因傷無法工作，並需他人從旁協助日常生活，造成精神上受有一定程度之痛苦。考量原告為大專畢業，事故當時擔任房務員，目前為清潔人員，月薪約28,000元，名下無財產，爰請求慰撫金500,000元。
（六）綜上所陳，被告應連帶賠償原告之損害，包含醫療費用190,948元、看護費用30,000元、交通費用10,200元、工作損失350,000元及慰撫金500,000元，總計1,081,148元。</t>
        </is>
      </c>
      <c r="E34" s="9" t="n">
        <v>78</v>
      </c>
      <c r="F34" s="2" t="inlineStr">
        <is>
          <t>法條不用引用§185
事實少了部分原告受傷情形、慰撫金等相關敘述</t>
        </is>
      </c>
    </row>
    <row r="35" ht="30" customHeight="1" thickBot="1">
      <c r="A35" t="n">
        <v>34</v>
      </c>
      <c r="B35" s="2" t="inlineStr">
        <is>
          <t>一、事故發生緣由:
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二、原告受傷情形:
此次車禍造成原告因而受有雙下肢大片撕脫傷、骨盆骨折等傷害。
三、請求賠償的事實根據: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is>
      </c>
      <c r="C35" s="2" t="inlineStr">
        <is>
          <t>一、事實概述：
緣被告甲○○○於民國112年6月23日上午10時3分許，駕駛微型電動二輪車，沿臺南市永康區富強路1段由南往北方向行駛，行經富強路1段350號前時，本應注意慢車不得侵入快車道行駛，而依當時狀況並無不能注意之情事，竟疏未注意而行駛內側快車道。適有原告駕駛車牌號碼000-000號普通輕型機車，於車道中停等，欲由東往西跨越車道，未看清來往車輛，致二車發生碰撞。又甲○○○於本件車禍事故發生時已年滿14歲，為未滿18歲之限制行為能力人，且有識別能力，應由其法定代理人即被告乙○○○與甲○○○負連帶損害賠償責任。
二、法律依據：
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187條第1項、民法第191條之2、民法第193條第1項、民法第195條第1項前段分別定有明文。查被告因上開侵權行為，致原告受有下列損害，依前揭規定，被告應負損害賠償責任：
三、損害項目：
（一）醫療費用：23,877元
原告因本次事故受傷就醫，支出醫療費用共計23,877元。
（二）看護費用：111,250元
原告因本次事故需專人照顧，支出看護費用共計111,250元 (18,900 + 11,550 + 23,800 + 78,400)。
（三）增加生活上必要費用：2,901元
原告因本次事故購買醫療耗材，支出費用共計2,901元。
（四）工作損失：316,800元
原告因本次事故無法工作，受有薪資損失共計316,800元。
（五）精神慰撫金：200,000元
原告因本次事故受有身心痛苦，請求精神慰撫金200,000元。
四、結論：綜上所陳，被告甲○○、乙○○應連帶賠償原告原告之損害，包含醫療費用23,877元、看護費用111,250元、增加生活上必要費用2,901元、工作損失316,800元、精神慰撫金200,000元，總計654,828元，並自起訴狀副本送達翌日起至清償日止，按年息5%計算之利息。</t>
        </is>
      </c>
      <c r="D35" s="8" t="inlineStr">
        <is>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（一）醫療費用：23,877元
原告因本次事故受有雙下肢大片撕脫傷、骨盆骨折等傷害，就醫急診、住院及門診治療期間，支出醫療費用23,877元。
（二）看護費用：132,650元
1. 112年6月25日至112年7月8日之上半日，委請慈惠聘雇照顧服務員，支出18,900元。
2. 112年7月26日下半日至112年8月2日，委請群富旺看護中心看護，支出11,550元。
3. 112年7月9日至112年7月25日之上半日、112年8月3日至112年9月7日，由親屬提供看護，費用分別為23,800元、78,400元。
（三）醫療耗材費用：2,901元
原告因本次事故受傷，購買各式醫療耗材，支出2,901元。
（四）工作損失：316,800元
原告於本次事故發生前從事家庭代工工作，每月收入以最低基本工資26,400元計算，因本次事故受傷，於112年6月23日至113年6月24日，共1年又2日不能工作，請求1年之工作損失316,800元。
（五）慰撫金：200,000元
原告因本次事故受有雙下肢大片撕脫傷、骨盆骨折等傷勢，經急診、住院接受雙下肢原位植皮重建手術，及多次門診治療，且於受傷治療及休養期間，應對於其行動、生活均造成諸多不便，精神上受有相當痛苦，爰請求慰撫金200,000元。
（六）綜上所陳，被告應連帶賠償原告之損害，包含醫療費用23,877元、看護費用132,650元、醫療耗材費用2,901元、工作損失316,800元及慰撫金200,000元，總計676,228元。</t>
        </is>
      </c>
      <c r="E35" s="9" t="n">
        <v>78</v>
      </c>
      <c r="F35" s="2" t="inlineStr">
        <is>
          <t>法條不用引用§185
事實少了原告受傷情形、慰撫金等相關敘述</t>
        </is>
      </c>
    </row>
    <row r="36" ht="30" customHeight="1" thickBot="1">
      <c r="A36" t="n">
        <v>35</v>
      </c>
      <c r="B36" s="2" t="inlineStr">
        <is>
          <t>一、事故發生緣由:
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二、原告受傷情形:
原告因本件事故受有右側第8-12肋骨骨折併血胸、肝臟撕裂傷、右腎臟撕裂傷、腰椎第3-5肋骨骨折、骨盆骨折、右腳脛腓骨開放骨折、左側肩胛骨骨折、左肱骨骨折等傷害。
三、請求賠償的事實根據:
原告主張其因本件車禍受傷支出醫療費用287,957元，並有衛生福利部豐原醫院（下稱豐原醫院）以及中國醫藥大學附設醫院（下稱中國附醫）之醫療費用收據、統一發票（二聯式）收據及統一發票為證。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原告所受傷害嚴重，並在中國附醫開刀並住院長達27天，原告身體多處骨折，期間生活無法自理，只能仰賴紙尿褲、濕紙巾等用品來幫助日常生活所需；住院開刀及後續復健時，也依照醫院指示，購買負壓海綿、氣管固定器、血氧機、鼻導管、加濕瓶、租賃氧氣製造機、呼吸訓練球、鼻管、電動床、高背輪椅、拐杖等用具以進行術後的照護、復健，包含肺部的呼吸訓練、下肢的行走練習等等；而原告右下肢遭被告撞擊造成開放性骨折，雖外傷已痊癒，但明顯可看出與正常之左小腿有明顯差異，往後一輩子均需由枴杖輔助才可緩步行走，有照片可證，是原告因系爭車禍受傷購買住院耗材、負壓海綿、尿布等47項醫療用品，均係因本件車禍事故而額外產生生活上必要支出，共76,963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萬元。</t>
        </is>
      </c>
      <c r="C36" s="2" t="inlineStr">
        <is>
          <t>一、事實概述：
緣被告甲○○於111年1月2日上午5時59分許，無駕駛執照，騎乘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負起法定代理人對其行為所產生之責任，與被告甲○○負連帶損害賠償責任。
二、法律依據：
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187條第1項、民法第191條之2、民法第193條第1項、民法第195條第1項前段分別定有明文。查被告因上開侵權行為，致原告受有下列損害，依前揭規定，被告應負損害賠償責任：
三、損害項目：
（一）醫療費用：364,920元
原告因本次事故受傷就醫，支出醫療費用共計364,920元（287,957 + 76,963）。
（二）看護費用：475,200元
原告因本次事故需專人照顧，支出看護費用共計475,200元（21,600 + 432,000 + 21,600）。
（三）交通費：3,224元
原告因本次事故就醫復健需搭乘交通工具，產生交通費用共計3,224元。
（四）精神慰撫金：500,000元
原告因本次事故受有身心痛苦，請求精神慰撫金共計500,000元。
四、結論：綜上所陳，被告甲○○、乙○○應連帶賠償原告之損害，包含原告醫療費用364,920元、看護費用475,200元、交通費3,224元；總計1,343,344元，並自起訴狀副本送達翌日起至清償日止，按年息5%計算之利息。</t>
        </is>
      </c>
      <c r="D36" s="4" t="inlineStr">
        <is>
          <t>一、緣被告甲○○於111年1月2日上午5時59分許，無駕駛執照騎乘車牌號碼000-0000號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之行人穿越道標線，騎乘上開機車撞擊行進中之原告，致原告受有右側第8-12肋骨骨折併血胸、肝臟撕裂傷、右腎臟撕裂傷、腰椎第3-5肋骨骨折、骨盆骨折、右腳脛腓骨開放骨折、左側肩胛骨骨折、左肱骨骨折等傷害。被告甲○○係未滿18歲之未成年人，被告乙○○為被告甲○○之父親。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（一）醫療費用：287,957元
原告因本次事故受傷，於衛生福利部豐原醫院及中國醫藥大學附設醫院就醫，支出醫療費用287,957元。
（二）看護費用：453,600元
1. 住院期間看護費用：21,600元
2. 出院後看護費用：432,000元
原告因傷勢嚴重，於住院期間及出院後均需專人照護，以每日2,400元計算，共計6個月。
（三）醫療用品費用：76,963元
原告因傷勢嚴重，於住院及復健期間購買負壓海綿、氣管固定器、血氧機、鼻導管、加濕瓶、租賃氧氣製造機、呼吸訓練球、鼻管、電動床、高背輪椅、拐杖等47項醫療用品，共計76,963元。
（四）交通費用：3,224元
原告因傷勢不良於行，須搭乘交通工具至中國附醫回診及復健26次，每次往返需支付124元，共計3,224元。
（五）慰撫金：500,000元
原告因本次事故受有多處骨折等嚴重傷害，身體及精神均受有痛苦，且因年齡77歲，擔任家管員，110年所得為54,322元，無財產，爰請求慰撫金500,000元。
（六）綜上所陳，被告應連帶賠償原告之損害，包含醫療費用287,957元、看護費用453,600元、醫療用品費用76,963元、交通費用3,224元及慰撫金500,000元，總計1,321,744元。</t>
        </is>
      </c>
      <c r="E36" s="9" t="n">
        <v>78</v>
      </c>
      <c r="F36" s="2" t="inlineStr">
        <is>
          <t>法條不用引用§185
事實少了原告受傷情形、慰撫金等相關敘述</t>
        </is>
      </c>
    </row>
    <row r="37" ht="30" customHeight="1" thickBot="1">
      <c r="A37" t="n">
        <v>36</v>
      </c>
      <c r="B37" s="2" t="inlineStr">
        <is>
          <t>一、事故發生緣由:
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二、原告受傷情形:
原告因本件事故受有左側肩膀挫傷、左側前胸壁挫傷、下背和骨盆挫傷及第4、5腰椎第1薦椎椎間盤破裂伴有神經根壓迫等傷害。
三、請求賠償的事實根據:
原告主張其因丁○○上開過失行為，支出醫療及就診交通費用合計25萬5830元，並有聯新國際醫院（下稱聯新醫院）診斷證明書為證。另按親屬間之看護應比照一般看護情形，認被害人受有相當於看護費之損害，命加害人賠償；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萬元。原告主張自111年7月13日本件事故發生後，陸續因急診、診診追蹤或接受手術想任職公司請假，且所受傷勢按醫囑需休養3個月，是在111年7月13日至111年11月30日共4.5月期間無法工作，請假在家休養，無法工作，以111年度每月基本工資2萬5250元計算，受有之薪資損失為11萬3625元。查丁○○因前開過失行為致原告受有左側肩膀挫傷、左側前胸壁挫傷、下背和骨盆挫傷及第4、5腰椎第1薦椎椎間盤破裂伴有神經根壓迫之傷害，則原告受有身體及精神痛苦，堪可認定，是原告請求被告賠償慰撫金30萬元。</t>
        </is>
      </c>
      <c r="C37" s="2" t="inlineStr">
        <is>
          <t>一、事實概述：
緣被告丁○○明知未領有機車駕駛執照，於民國111年7月13日6時18分許，騎乘被告乙○○所有車牌號碼000-000號普通重型機車，行經桃園市○○區○○路○○○路○○○○號誌管制之交岔路口時超速闖紅燈，適逢原告甲○○○騎乘車牌號碼000-0000號普通重型機車依綠燈號誌指示駛入上開交岔路口，因閃避不及，兩車發生碰撞。又本件事故發生時，被告丁○○尚未成年，其父即被告丙○○疏於法定代理人之監督責任，被告乙○○為肇事車輛所有人，明知被告丁○○無機車駕駛執照仍除出藉肇事機車允許其駕駛。
二、法律依據：
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187條第1項、民法第191條之2、民法第193條第1項、民法第195條第1項前段分別定有明文。查被告因上開侵權行為，致原告受有下列損害，依前揭規定，被告應負損害賠償責任：
三、損害項目：
（一）醫療費用：255,830元
原告因本次事故受傷就醫，支出醫療及交通費用共計255,830元。
（二）看護費用：270,000元
原告因本次事故需專人照顧，支出看護費用共計270,000元。
（三）工作損失：113,625元
原告因本次事故無法工作，受有薪資損失共計113,625元。
（四）慰撫金：300,000元
原告因本次事故受有身心痛苦，請求精神慰撫金300,000元。
四、結論：綜上所陳，被告丁○○、乙○○、丙○○應連帶賠償原告甲○○○之損害，包含醫療費用255,830元、看護費用270,000元、工作損失113,625元、精神慰撫金300,000元，總計939,455元，並自起訴狀副本送達翌日起至清償日止，按年息5%計算之利息。</t>
        </is>
      </c>
      <c r="D37" s="5" t="inlineStr">
        <is>
          <t>一、緣被告丁○○明知未領有機車駕駛執照，竟於民國111年7月13日6時18分許，騎乘被告乙○○所有車牌號碼000-000號普通重型機車，行經桃園市○○區○○路○○○路○○○○號誌管制之交岔路口超速闖紅燈，適逢原告甲○○○騎乘車牌號000-0000號普通重型機車依綠燈號誌指示駛入上開交岔路口，因閃避不及，導致兩車發生碰撞。查本件事故發生時，被告丁○○尚未成年，其父即被告丙○○疏於法定代理人之監督責任，其母即被告乙○○為肇事車輛所有人，明知丁○○無機車駕駛執照仍除出藉肇事機車允許其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乙○○、丙○○因上開侵權行為，致原告受有下列損害，依前揭規定，被告應負連帶損害賠償責任：
（一）醫療及就診交通費用：255,830元
原告因本次事故受有左側肩膀挫傷、左側前胸壁挫傷、下背和骨盆挫傷及第4、5腰椎第1薦椎椎間盤破裂伴有神經根壓迫等傷害，支出醫療及就診交通費用255,830元，有聯新國際醫院診斷證明書可稽。
（二）看護費用：270,000元
依聯新醫院於110年3月18日出具之診斷證明書記載：「……，於民國111年7月13日06：44入急診就醫治療，……於民國111年8月25日出院，共住院3日，09月01日門診追蹤治療，宜休養3個月，須專人照護3個月」，原告自111年7月13日起至111年8月25日止住院治療，其後至111年11月30日止共計4.5月有看護之必要，以每日2,000元計算，共計270,000元。
（三）工作損失：113,625元
原告因本次事故受傷，自111年7月13日至111年11月30日共4.5月期間無法工作，以111年度每月基本工資25,250元計算，受有工作損失113,625元。
（四）慰撫金：300,000元
原告因本次事故受有左側肩膀挫傷、左側前胸壁挫傷、下背和骨盆挫傷及第4、5腰椎第1薦椎椎間盤破裂伴有神經根壓迫等傷害，造成身體及精神上之痛苦，爰請求慰撫金300,000元。
（五）綜上所陳，被告應連帶賠償原告之損害，包含醫療及就診交通費用255,830元、看護費用270,000元、工作損失113,625元及慰撫金300,000元，總計939,455元。</t>
        </is>
      </c>
      <c r="E37" s="9" t="n">
        <v>85</v>
      </c>
      <c r="F37" s="2" t="inlineStr">
        <is>
          <t>比起GPT錯誤引用成§185，這邊法條有正確引用成§187
事實少了原告受傷情形</t>
        </is>
      </c>
    </row>
    <row r="38" ht="30" customHeight="1" thickBot="1">
      <c r="A38" t="n">
        <v>37</v>
      </c>
      <c r="B38" s="2" t="inlineStr">
        <is>
          <t>一、事故發生緣由：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二、原告受傷情形：
原告因此受有肢體鈍挫傷併右側橈骨遠端閉鎖性骨折及右側股骨開放性粉碎性骨折之傷害。
三、請求賠償的事實根據：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is>
      </c>
      <c r="C38" s="2" t="inlineStr">
        <is>
          <t>一、事實概述：
緣被告徐金坤係被告尤彰寶即典坤企業行受僱之大貨車司機，於民國109年4月7日8時16分許，駕駛車牌號碼000-00號營業用大貨車，在屏東縣○○鎮○○路000號旁欲倒車駛入南灣路面。詎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並無不能注意之情形，被告徐金坤竟疏未注意車後方往來人車之動向且無人在後指揮，即貿然倒車，致撞擊原告所騎乘之車牌號碼516-ENL普通重型機車，致原告人車倒地。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（一）醫療費用：182,690元
原告因本次事故受傷就醫，支出醫療費用共計182,690元。
（二）看護費用：246,000元
原告因本次事故需專人照護，支出看護費用共計246,000元。
（三）交通費用：10,380元
原告因本次事故就醫期間，支出交通費用共計10,380元。
（四）醫療用品費用：4,464元
原告因本次事故需購買醫療用品，支出費用共計4,464元。
（五）工作損失：485,000元
原告因本次事故無法工作，受有薪資損失共計485,000元。
（六）精神慰撫金：1,559,447元
原告因本次事故受有傷勢及身心痛苦，請求精神慰撫金1,559,447元。
四、結論：綜上所陳，被告徐金坤、尤彰寶應連帶賠償原告之損害，包含原告醫療費用182,690元、看護費用246,000元、交通費用10,380元、醫療用品費用4,464元、工作損失485,000元、精神慰撫金1,559,447元，總計2,487,981元，並自起訴狀副本送達翌日起至清償日止，按年息5%計算之利息。</t>
        </is>
      </c>
      <c r="D38" s="5" t="inlineStr">
        <is>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原告因本次事故受傷，於南門醫院、雲林基督教醫院就醫治療，支出醫療費用共計182,690元。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因本次事故受傷，依雲林基督教醫院及南門醫院診斷書記載，需休養一年，致無法工作一年，依原告108年度薪資所得合計485,922元計算，受有工作損失485,000元。
（六）慰撫金：1,559,447元
原告因本次事故受有重傷，且需多次手術治療，造成生活上極大不便及身心痛苦。考量原告所受傷勢非輕、需長期治療及休養，且對其日常生活造成重大影響，爰請求慰撫金1,559,447元。
（七）綜上所陳，被告應連帶賠償原告之損害，包含醫療費用182,690元、看護費用246,000元、交通費用10,380元、醫療用品費用4,464元、工作損失485,000元及慰撫金1,559,447元，總計2,477,981元。</t>
        </is>
      </c>
      <c r="E38" s="9" t="n">
        <v>85</v>
      </c>
      <c r="F38" s="2" t="inlineStr">
        <is>
          <t>事實缺少原告受傷情形</t>
        </is>
      </c>
    </row>
    <row r="39" ht="30" customHeight="1" thickBot="1">
      <c r="A39" t="n">
        <v>38</v>
      </c>
      <c r="B39" s="2" t="inlineStr">
        <is>
          <t>一、事故發生緣由:
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二、原告受傷情形:
原告因本件事故受有腦震盪、頸椎挫傷、頸椎韌帶扭傷、疑似頸椎損傷合併揮鞭樣損傷，並因此使原告受有慢性創傷後壓力症候群及歸類於他處其他疾病所致之失智症，伴有行為障礙等傷害(以下合稱系爭傷害)。
三、請求賠償的事實根據:
1.醫療費用4萬3,795元：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萬3,795元。
2.交通費9,600元：
原告因系爭傷害無法開車，自110年5月14日至111年8月2日就醫而花費交通費9,600元。
3.醫療器材支出6,000元：
原告因步態不穩，行動需要輔助，增加支出購買輪椅、助行器共計6,000元。
4.減少勞動損失300萬3,560元：
原告經慈濟醫院神經外科診斷，語文智商及作業智商分別落於邊緣及非常低的程度，終身僅能從事輕便工作，勞工保險傷病診斷書亦診斷伊無法恢復並從事一般性工作，而身心醫學科診斷，失能程度符合「中樞神經系統機能遺存顯著障害，終身無工作能力」，並已領取身心障礙手冊。而伊於110年5月薪資為45,800元，自110年5月12日車禍發生時起至116年8月20日伊年滿65歲止，尚有6年3月8日，依霍夫曼式計算法扣除中間利息(首期給付不扣除中間利息，下同)，核計減少勞動損失之金額為300萬3,560元。
5.看護費489萬5,591元：
於111年8月2日經身心醫學科診斷「確定認知功能有明顯缺陷，無法從事輕便工作，並且需要他人協助照料日常生活」，111年9月28日病症暨失能診斷證明書亦載「被看護者(即原告)年齡未滿80歲有全日照護需要」，因而有委請看護之必要。伊於00年0月00日生，自111年8月2日診斷確定需看護時為60歲，參照109年簡易生命表，平均餘命尚有24.81年，以基本薪資25,250元計算，依霍夫曼式計算法扣除中間利息，核計看護費為489萬5,591元。
6.車輛維修費用4萬4,000元：
原告汽車因本件車禍受損，共支出維修費用4萬4,000元。
7.精神慰撫金100萬元：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萬元。</t>
        </is>
      </c>
      <c r="C39" s="2" t="inlineStr">
        <is>
          <t>一、事實概述：
緣被告王煜翔於000年0月00日下午2時49分許，駕駛車牌號碼000-0000號自用小貨車，沿花蓮縣吉安鄉中山路一段由南往北方向行駛，行經中山路一段222之1號時，原告駕駛之車牌號碼0000-00號自用小客車已在前方行駛。被告王煜翔於此時應注意車前狀況，隨時採取必要之安全措施，然依當時天候晴朗、日間自然光線充足、柏油路面乾燥、路面無明顯缺陷、視距良好且無任何障礙物等客觀情形，並無不能注意之情事，被告王煜翔竟疏未注意，貿然前行，不慎撞擊前方原告所駕駛之自用小客車，造成原告車輛受損及原告受傷。又查被告王煜翔肇事時受雇於被告張治國即高銘瓦斯行，並駕駛車斗上噴塗有「高銘瓦斯行」等字之自用小貨車，故被告張治國亦應與被告王煜翔就本件車禍事故所生之損害賠償責任連帶負責。
二、法律依據：
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三、損害項目：
（一）醫療費用：43,795元
原告因本次事故受傷就醫，支出醫療費用共計43,795元。
（二）交通費：9,600元
原告因本次事故無法自行交通，支出交通費用共計9,600元。
（三）醫療器材支出：6,000元
原告因本次事故行動不便，購買醫療器材支出共計6,000元。
（四）減少勞動損失：3,003,560元
原告因本次事故致失能，導致勞動能力減少，共計3,003,560元。
（五）看護費：4,895,591元
原告因本次事故致失能，需他人照護，支出看護費用共計4,895,591元。
（六）車輛維修費用：44,000元
原告因本次事故車輛受損，支出維修費用共計44,000元。
（七）精神慰撫金：1,000,000元
原告因本次事故身心遭受痛苦，請求精神慰撫金共計1,000,000元。
四、結論：綜上所陳，被告王煜翔、張治國應連帶賠償原告之損害，包含原告醫療費用43,795元、交通費9,600元、醫療器材支出6,000元、看護費4,895,591元，總計4,954,986元，並自起訴狀副本送達翌日起至清償日止，按年息5%計算之利息。</t>
        </is>
      </c>
      <c r="D39" s="4" t="inlineStr">
        <is>
          <t>一、緣被告王煜翔於110年5月12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查王煜翔肇事時係受雇於被告張治國即高銘瓦斯行（下稱張治國），並駕駛車斗上噴塗有「高銘瓦斯行」等字之被告汽車，故張治國亦應與王煜翔就本件車禍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煜翔、張治國因上開侵權行為，致原告受有下列損害，依前揭規定，被告應負連帶損害賠償責任：
（一）醫療費用：43,795元
原告因本次事故受有腦震盪、頸椎挫傷、頸椎韌帶扭傷、疑似頸椎損傷合併揮鞭樣損傷，並因此使原告受有慢性創傷後壓力症候群及歸類於他處其他疾病所致之失智症，伴有行為障礙等傷害，自110年5月12日至111年8月2日共支出醫藥費43,795元。
（二）交通費用：9,600元
原告因系爭傷害無法開車，自110年5月14日至111年8月2日就醫而支出交通費9,600元。
（三）醫療器材費用：6,000元
原告因步態不穩，行動需要輔助，購買輪椅、助行器共計6,000元。
（四）減少勞動損失：3,003,560元
原告於110年5月薪資為45,800元，自110年5月12日車禍發生時起至116年8月20日年滿65歲止，尚有6年3月8日，依霍夫曼式計算法扣除中間利息，核計減少勞動損失之金額為3,003,560元。
（五）看護費用：4,895,591元
原告於111年8月2日經身心醫學科診斷確定認知功能有明顯缺陷，無法從事輕便工作，並且需要他人協助照料日常生活。原告於111年8月2日診斷確定需看護時為60歲，參照109年簡易生命表，平均餘命尚有24.81年，以基本薪資25,250元計算，依霍夫曼式計算法扣除中間利息，核計看護費為4,895,591元。
（六）車輛維修費用：44,000元
原告汽車因本次事故受損，支出維修費用44,000元。
（七）慰撫金：1,000,000元
原告於00年0月0日生，教育程度為二專，從事服務業，家庭經濟狀況為勉持，此次事故已影響其智力及工作能力，需坐輪椅，日常生活相當不便，身心遭受極大苦痛，爰請求慰撫金1,000,000元。
（八）綜上所陳，被告應連帶賠償原告之損害，包含醫療費用43,795元、交通費用9,600元、醫療器材費用6,000元、減少勞動損失3,003,560元、看護費用4,895,591元、車輛維修費用44,000元及慰撫金1,000,000元，總計9,002,546元。</t>
        </is>
      </c>
      <c r="E39" s="10" t="n">
        <v>70</v>
      </c>
      <c r="F39" s="2" t="inlineStr">
        <is>
          <t>法條錯誤把§188引用成§185
事實少了原告受傷情形、慰撫金相關事實</t>
        </is>
      </c>
    </row>
    <row r="40" ht="30" customHeight="1" thickBot="1">
      <c r="A40" t="n">
        <v>39</v>
      </c>
      <c r="B40" s="2" t="inlineStr">
        <is>
          <t>一、事故發生緣由:
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二、原告受傷情形:
原告受有右大腿15公分撕裂傷（下稱系爭體傷）、急性創傷後壓力疾患及伴有混合憂鬱情緒及焦慮之適應疾患（下稱系爭心理疾患，與系爭體傷合稱系爭傷害）等傷害。
三、請求賠償的事實根據:
原告主張就系爭體傷支出之醫療費用2,185元部分，業據提出國泰綜合醫院（下稱國泰醫院）診斷證明書、醫療費用單據作為證據。另外關於系爭心理疾患部分，原告係於系爭事故發生後至馬偕紀念醫院精神科就診，並確診系爭心理疾患，治療心理疾患共花費2萬1,670元。原告另主張其因系爭體傷所生傷口疤痕紅腫發癢之後遺症（下稱系爭後遺症）支出醫療費用1,520元，並提出馬偕紀念醫院診斷證明書、醫療費用單據作為證據。從而，原告得向王俊傑請求之已支出醫療費用總額為2萬5,375元。
原告另主張其因系爭後遺症後續治療之費用、以及將來除疤費用預計為20萬元，並提出馬偕紀念醫院診斷證明書作為證據。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萬5,247元計算，原告因系爭體傷受有2週不能工作之損失金額為2萬2,624元（計算式：45,247元÷2≒22,624元）。
原告主張其所有之A車因系爭事故毀損，支出修理費1萬7,660元，並可提出估價單及收據作為證據。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萬7,340元。</t>
        </is>
      </c>
      <c r="C40" s="2" t="inlineStr">
        <is>
          <t>一、事實概述：
緣原告於106年8月5日凌晨騎乘車牌號碼000-000號普通重型機車，沿臺北市松山區南京東路5段由西往東方向之第4車道行駛。詎因訴外人康家誠將車牌號碼000-0000號自用小客車違規停放於同路段116號前紅線處，遮蔽原告視線，致原告無法及時發現斜停於該自用小客車前方，由王俊傑駕駛且正在執行拖吊機車業務之車牌號碼000-0000號拖吊車將車尾拖板起落架放下。且王俊傑並未於車後適當位置設置警告標誌，導致原告行經該自用小客車後，始發現該拖吊車之起落架放置於原告行進路線上，因時速及距離關係，原告不及閃避而與該拖吊車發生擦撞。查王俊傑受僱於王俊楠即楠德車業工作室，而該拖吊車車身上漆有「TMS」字樣（即全鋒公司之英文名稱縮寫），且係因執行拖吊業務而發生系爭事故，王俊楠、全鋒公司均應分別就王俊傑之侵權行為負僱用人責任。原告因該系爭事故遭受傷害，詳情於後述。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（一）醫療費用：25,375元
原告因本次事故就醫，支出醫療費用共計25,375元。
（二）未來醫療費用：200,000元
原告因本次事故後續除疤治療，預計支出費用共計200,000元。
（三）工作損失：22,624元
原告因本次事故無法工作，受有薪資損失共計22,624元。
（四）車輛損壞：17,660元
原告所屬車輛因事故受損，支出修理費用共計17,660元。
（五）精神慰撫金：397,340元
原告因本次事故身心受創，請求精神慰撫金共計397,340元。
四、結論：綜上所陳，被告王俊傑、王俊楠、全鋒公司應連帶賠償原告原告之損害，包含醫療費用25,375元、未來醫療費用200,000元、工作損失22,624元，總計247,999元，並自起訴狀副本送達翌日起至清償日止，按年息5%計算之利息。</t>
        </is>
      </c>
      <c r="D40" s="4" t="inlineStr">
        <is>
          <t>一、緣原告於民國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又王俊傑受僱於王俊楠即楠德車業工作室，而B車車身上漆有「TMS」字樣（即全鋒公司之英文名稱縮寫），且係因執行拖吊業務而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俊傑、王俊楠因上開侵權行為，致原告受有下列損害，依前揭規定，被告應負連帶損害賠償責任：
（一）醫療費用：25,375元
1. 系爭體傷醫療費用：2,185元
2. 系爭心理疾患治療費用：21,670元
3. 系爭後遺症醫療費用：1,520元
（二）未來醫療費用：200,000元
原告因系爭後遺症需進行後續治療及除疤手術，預計支出費用200,000元。
（三）工作損失：22,624元
原告因系爭體傷接受縫合手術治療，需休養2週，以原告平均月薪資45,247元計算，受有22,624元之工作損失。
（四）車輛修理費用：17,660元
原告所有之A車因系爭事故毀損，支出修理費17,660元。
（五）慰撫金：397,340元
原告因系爭事故受有右大腿15公分撕裂傷、急性創傷後壓力疾患及伴有混合憂鬱情緒及焦慮之適應疾患等傷害，且因傷害影響工作，需持續進行除疤治療，造成身體及精神上之痛苦，爰請求慰撫金397,340元。
（六）綜上所陳，被告應連帶賠償原告之損害，包含醫療費用25,375元、未來醫療費用200,000元、工作損失22,624元、車輛修理費用17,660元及慰撫金397,340元，總計663,999元。</t>
        </is>
      </c>
      <c r="E40" s="9" t="n">
        <v>85</v>
      </c>
      <c r="F40" s="2" t="inlineStr">
        <is>
          <t>事實少了原告受傷情形</t>
        </is>
      </c>
    </row>
    <row r="41" ht="30" customHeight="1" thickBot="1">
      <c r="A41" t="n">
        <v>40</v>
      </c>
      <c r="B41" s="2" t="inlineStr">
        <is>
          <t>一、事故發生緣由: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二、原告受傷情形:
原告因為本件交通事故受有臉部多處挫傷、左上門牙脫落、右胸部挫傷、雙膝挫傷、左第五腳趾挫傷、頭部挫傷合併腦震盪之傷害。
三、請求賠償的事實根據: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另外原告因為本件交通事故受傷而不良於行，因此回診時需要乘坐計程車，因而增加生活上需要（交通費用），依Google map顯示，原告居所至台大雲林分院斗六院區距離為8.7公里，共計回診11次；原告居所至台大雲林分院虎尾院區距離為19.4公里，回診1次；原告居所至翁牙醫診所距離為71.1公里，共計回診13次。依照雲林縣政府所公告之計程車費率「計程費率:1.25公里100元、續程費率:每250公尺5元」作為計算標準，從原告居所來回台大雲林分院斗六院區共6,400元、來回台大雲林分院虎尾院區共920元、來回翁牙醫診所共44,730元。此外原告因本件交通事故造成牙齒脫落而需施作齒列矯正，且口齒不清，而無法外出招攬保險3個月，每月57,000元，工作損失費用共計171,000元。系爭機車因本件交通事故受損，修復費用為24,590元（計算式: 14,790+9,800=24,590），並且車主張吳錦治已將損害賠償請求權讓與原告；本件交通事故致原告隨身所攜帶之蘋果筆記型電腦之顯示器外觀機殼、鍵盤模組外觀機殼及下機殼底蓋機殼變形損害，支出修理費用26,200元。原告是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is>
      </c>
      <c r="C41" s="2" t="inlineStr">
        <is>
          <t>一、事實概述：
緣被告乙○○○受僱於被告甲○○○○○○○○○○（即小博士幼兒園）從事駕駛工作，於民國110年3月29日上午7時50分許，駕駛車牌號碼0000-00號自小客車（車身噴（貼）有被告小博士幼兒園設立許可文號：「府教特字第9204000437號」字樣）搭載隨車之教保人員及幼童，沿雲林縣斗六市石榴路由東向西行駛，行經石榴路與振興路口右轉彎時，原應注意汽車行駛至交岔路口轉彎時，應於交岔路口30公尺前顯示方向燈光，且轉彎車應禮讓直行車，而依當時之天候及路況，客觀上並無不能注意之情事，竟疏未注意原告騎乘車牌號碼000-0000號普通重型機車同向行駛在其右側後方。詎被告乙○○○未禮讓直行之原告先行即貿然右轉彎，原告見狀閃避不及，兩車因而發生擦撞，致原告人車倒地。又被告乙○○○於本件交通事故當時所駕駛之系爭幼童車，其車身噴（貼）有被告小博士幼兒園相關核准登記字號及文字，客觀上即為執行職務之行為，則被告小博士幼兒園因被告乙○○○之過失所造成原告之損害，應與被告乙○○○負連帶賠償責任。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（一）醫療費用：33,112元
原告因本次事故受傷就醫，支出醫療費用共計33,112元。
（二）牙齒治療費用：172,200元
原告因牙齒脫落進行治療，支出牙齒治療費用共計172,200元。
（三）交通費：51,050元
原告因就醫需搭乘計程車，增加交通費用共計51,050元。
（四）工作損失：171,000元
原告因事故導致口齒不清，無法外出工作，造成工作損失共計171,000元。
（五）機車修復費用：24,590元
原告因事故導致機車受損，支出修復費用共計24,590元。
（六）電腦修理費用：26,200元
原告因事故導致電腦損壞，支出修理費用共計26,200元。
（七）精神慰撫金：250,000元
原告因事故受到身心痛苦，請求精神慰撫金共計250,000元。
四、結論：綜上所陳，被告乙○○○、甲○○○○○○○○○○應連帶賠償原告原告之損害，包含醫療費用33,112元、交通費用51,050元、工作損失171,000元、車輛修復費用26,200元、精神慰撫金250,000元，總計531,362元，並自起訴狀副本送達翌日起至清償日止，按年息5%計算之利息。</t>
        </is>
      </c>
      <c r="D41" s="4" t="inlineStr">
        <is>
          <t>一、緣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致原告閃避不及，兩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甲○○○○○○○○○○因上開侵權行為，致原告受有下列損害，依前揭規定，被告應負連帶損害賠償責任：
（一）醫療費用：205,312元
1. 台大雲林分院醫療費用：33,112元
2. 翁牙醫診所牙齒醫療費用：172,200元
（二）交通費用：51,050元
1. 往返台大雲林分院斗六院區：6,400元
2. 往返台大雲林分院虎尾院區：920元
3. 往返翁牙醫診所：44,730元
（三）工作損失：171,000元
原告因本件交通事故造成牙齒脫落而需施作齒列矯正，且口齒不清，無法外出招攬保險3個月，每月收入57,000元，共計工作損失171,000元。
（四）車輛修復費用：24,590元
系爭機車因本件交通事故受損，修復費用為24,590元，車主張吳錦治已將損害賠償請求權讓與原告。
（五）筆記型電腦修理費用：26,200元
原告隨身所攜帶之蘋果筆記型電腦因本件交通事故受損，支出修理費用26,200元。
（六）慰撫金：250,000元
原告係國泰人壽保險股份有限公司員工，每月收入57,000元。因本件交通事故造成臉部多處挫傷、左上門牙脫落、右胸部挫傷、雙膝挫傷、左第五腳趾挫傷、頭部挫傷合併腦震盪之傷害，且日後仍須為齒列矯正，對於身為女性而言，所受之精神傷害實無可比擬，爰請求慰撫金250,000元。
（七）綜上所陳，被告應連帶賠償原告之損害，包含醫療費用205,312元、交通費用51,050元、工作損失171,000元、車輛修復費用24,590元、筆記型電腦修理費用26,200元及慰撫金250,000元，總計728,152元。</t>
        </is>
      </c>
      <c r="E41" s="9" t="n">
        <v>80</v>
      </c>
      <c r="F41" s="2" t="inlineStr">
        <is>
          <t>事實少了部分原告受傷情形、許多慰撫金相關敘述</t>
        </is>
      </c>
    </row>
    <row r="42" ht="30" customHeight="1" thickBot="1">
      <c r="A42" t="n">
        <v>41</v>
      </c>
      <c r="B42" s="2" t="inlineStr">
        <is>
          <t>一、事故發生緣由:
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二、原告受傷情形:
原告因為系爭事故受有腰薦椎和骨盆未明示部位閉鎖性骨折、左側恥骨閉鎖性骨折、左側手肘挫傷之傷害。
三、請求賠償的事實根據: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原告因系爭事故所受傷勢，受有回診治療來回共35趟之交通費用損失16,975元，有大都會衛星車隊之免用統一發票收據可佐證。
（五）其他費用損失14,673元
原告因系爭事故受有其他費用14,637元（含醫療用品費用1,959元、價值9,578元之手錶毀損、安全帽換新費用3,100元）之損害，已提出統一發票、物品損壞照片及收據為證。
（六）系爭機車修繕費用20,750元
原告並主張其因系爭事故受有系爭機車零件修繕費用20,750元，並有估價單可證。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t>
        </is>
      </c>
      <c r="C42" s="2" t="inlineStr">
        <is>
          <t>一、事實概述：
緣被告騰達國際人力開發股份有限公司之受僱人即被告謝斐伊，於民國111年9月22日下午5時18分許，因執行騰達國際人力開發股份有限公司之職務，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與原告騎乘自身所有車牌號碼000-0000號普通重型機車發生碰撞，原告因此人車倒地，系爭機車亦因此損壞。而事發當日，謝斐伊係代表騰達國際人力開發股份有限公司前往川湖科技股份有限公司辦理外籍移工文件之用印業務，故謝斐伊於系爭事故，既確實受僱於騰達國際人力開發股份有限公司，更係在協助騰達國際人力開發股份有限公司業務期間發生系爭事故，依據民法1881條規定，騰達國際人力開發股份有限公司應對原告所受之損害負連帶責任。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（一）醫療費用：121,698元
原告因本次事故就醫治療，支出醫療費用共計121,698元。
（二）醫美除疤費用：17,000元
原告因本次事故留下疤痕，需進行醫美治療，預估費用為17,000元。
（三）看護費用：91,200元
原告因本次事故行動不便，需專人看護38日，費用共計91,200元。
（四）交通費用：16,975元
原告因本次事故多次回診，產生交通費用共計16,975元。
（五）其他費用：14,673元
原告因本次事故產生醫療用品、物品損壞及更換費用共計14,673元。
（六）機車修繕費用：20,750元
原告因本次事故機車受損，需支出修繕費用共計20,750元。
（七）工作損失：96,000元
原告因本次事故無法工作，受有薪資損失共計96,000元。
（八）精神慰撫金：500,000元
原告因本次事故身心受創，請求精神慰撫金共計500,000元。
四、結論：綜上所陳，被告謝斐伊及騰達國際人力開發股份有限公司應連帶賠償原告原告之損害，包含醫療費用121,698元、看護費用91,200元、交通費用16,975元、其他費用14,673元、工作損失96,000元、精神慰撫金500,000元，總計840,546元，並自起訴狀副本送達翌日起至清償日止，按年息5%計算之利息。</t>
        </is>
      </c>
      <c r="D42" s="4" t="inlineStr">
        <is>
          <t>一、緣被告謝斐伊係被告騰達國際人力開發股份有限公司（下稱騰達公司）之受僱人，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竟疏未注意即貿然跨越快慢車道行駛，並與原告騎乘自身所有車牌號碼000-0000號普通重型機車發生碰撞，致原告人車倒地受傷，系爭機車亦因此損壞。且事發當日，謝斐伊係代表騰達公司前往川湖科技股份有限公司辦理外籍移工文件之用印業務，故謝斐伊於系爭事故，既確實受僱於騰達公司，更係在協助騰達公司業務期間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斐伊、騰達公司因上開侵權行為，致原告受有下列損害，依前揭規定，被告應負連帶損害賠償責任：
（一）醫療費用：121,698元
原告因本次事故受有腰薦椎和骨盆未明示部位閉鎖性骨折、左側恥骨閉鎖性骨折、左側手肘挫傷之傷害，前往台南市立醫院急診、門診、住院治療，支出醫療費用121,698元。
（二）後續醫美除疤預估費用：17,000元
原告因本次事故受傷勢，經醫院治療後，因傷勢仍有明顯疤痕外觀，需前往醫美診所就醫，預估需支出費用17,000元。
（三）看護費用：91,200元
原告因本次事故受傷，住院8日及出院後1個月期間需專人24小時照料，以每日2,400元計算，共計38日，總計91,200元。
（四）交通費用：16,975元
原告因本次事故受傷，需回診治療共35趟，支出交通費用16,975元。
（五）其他費用損失：14,673元
原告因本次事故受有醫療用品費用1,959元、手錶毀損9,578元、安全帽換新費用3,100元，共計14,637元之損害。
（六）系爭機車修繕費用：20,750元
原告因本次事故導致系爭機車受損，修繕費用為20,750元。
（七）不能工作之損失：96,000元
原告因本次事故自111年9月23日至111年12月31日共100日不能工作，受有96,000元之損失。
（八）慰撫金：500,000元
原告因本次事故受有腰薦椎、骨盆、恥骨等處之傷害，且傷勢造成其日常生活之不便、困擾，爰請求慰撫金500,000元。
（九）綜上所陳，被告應連帶賠償原告之損害，包含醫療費用121,698元、後續醫美除疤預估費用17,000元、看護費用91,200元、交通費用16,975元、其他費用損失14,673元、系爭機車修繕費用20,750元、不能工作之損失96,000元及慰撫金500,000元，總計878,296元。</t>
        </is>
      </c>
      <c r="E42" s="9" t="n">
        <v>70</v>
      </c>
      <c r="F42" s="2" t="inlineStr">
        <is>
          <t>事實少了原告受傷情形
然後車禍事實敘述的最後一句話「依據民法1881條規定，騰達國際人力開發股份有限公司應對原告所受之損害負連帶責任。」是虛構法條的明顯錯誤（民法最多也只有1225條而已）</t>
        </is>
      </c>
    </row>
    <row r="43" ht="30" customHeight="1" thickBot="1">
      <c r="A43" t="n">
        <v>42</v>
      </c>
      <c r="B43" s="2" t="inlineStr">
        <is>
          <t>一、事故發生緣由:
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二、原告受傷情形:
原告受有左側腕部三角纖維軟骨複合體撕裂、左側腕部挫傷、右側中指遠端指骨移位骨折、左側腕部遠端尺骨骨折合併橈尺骨關節半脫位等傷害（下合稱系爭傷害）。
三、請求賠償的事實根據:
原告於112年2月21日系爭事故發生當日因系爭傷勢前往臺北市立萬芳醫院（下稱萬芳醫院）就診支出2萬569元，另於馬偕醫院及耕莘醫院共支出8 萬1549元，合計10萬2118元，此有醫療單據為證。
按親屬看護時雖無現實看護費之支付，仍應認被害人受有相當於看護費之損害，得向加害人請求賠償，始符公平原則；查原告經醫師診斷住院期間及出院後1個月需專人照顧，有萬芳醫院診斷書為證，故原告自112年2月21日至同年3月底，112年5月2日至6月5日，共計72天需母親看顧，以一日2500元計算，請求看護費用一共18萬元。
原告實際所有之系爭機車因本件事故受損而須維修，故請求支出之修繕費用6550元，此有估價單為證。
原告事發前就職於刁民酸菜信義店，月薪4萬5000元，自112年2月21日起至10 月31日止，共計不能工作8月8天，受有不能工作損失37萬2000元（45000×8＋45000÷30×8），此有在職證明書及工作證明書為證。
原告經萬芳醫院鑑定，勞動能力減損8％，每月減少3600元（45000×8％），自112年11月1日起算至65歲止，共計40 年1月又11日，故受有勞動能力減損共計173萬2920元（3600元×40年×12月＋3600＋3600×11/30）。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萬元。</t>
        </is>
      </c>
      <c r="C43" s="2" t="inlineStr">
        <is>
          <t>一、事實概述：
緣被告陳俊雄於112年2月21日17時19分許，駕駛車牌號碼000-0000號營業小貨車，行經臺北市○○區○○○路0段00號前，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前述處所，並且於起駛時，疏未注意，適原告騎乘車牌號碼000-0000號普通重型機車沿同路段後方行駛，致被告陳俊雄不慎與原告發生碰撞，造成原告人車倒地。被告陳俊雄事發時為被告御馬運輸公司執行職務中，故御馬運輸公司自應負連帶責任。且被告陳俊雄上開行為，業經本院刑事庭113年度審交簡字第31號刑事判決判處被告陳俊雄犯過失傷害罪，處有期徒刑4月確定，足資證明其具有過失。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（一）醫療費用：102,118元
原告因本次事故受傷就醫，支出醫療費用共計102,118元。
（二）看護費用：180,000元
原告因本次事故需專人照顧，支出看護費用共計180,000元。
（三）機車修繕費用：6,550元
原告因本次事故機車受損，支出修繕費用共計6,550元。
（四）工作損失：372,000元
原告因本次事故無法工作，受有薪資損失共計372,000元。
（五）勞動能力減損：1,732,920元
原告因本次事故造成勞動能力減損，受有長期損失共計1,732,920元。
（六）精神慰撫金：1,000,000元
原告因本次事故受傷，身心受創，請求精神慰撫金共計1,000,000元。
四、結論：綜上所陳，被告陳俊雄應賠償原告之損害，包含原告醫療費用102,118元、看護費用180,000元、工作損失372,000元、勞動能力減損1,732,920元、精神慰撫金1,000,000元，總計3,387,038元，並自起訴狀副本送達翌日起至清償日止，按年息5%計算之利息。</t>
        </is>
      </c>
      <c r="D43" s="8" t="inlineStr">
        <is>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於起駛時，疏未注意，適原告騎乘車牌號碼000-0000號普通重型機車沿同路段後方行駛，被告陳俊雄不慎與原告發生碰撞。被告陳俊雄事發時為被告御馬運輸公司執行職務中，依第188條第1項本文規定，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雄、御馬運輸公司因上開侵權行為，致原告受有下列損害，依前揭規定，被告應負連帶損害賠償責任：
（一）醫療費用：102,118元
原告因本次事故受有左側腕部三角纖維軟骨複合體撕裂、左側腕部挫傷、右側中指遠端指骨移位骨折、左側腕部遠端尺骨骨折合併橈尺骨關節半脫位等傷害，於萬芳醫院、馬偕醫院及耕莘醫院就診，支出醫療費用102,118元。
（二）看護費用：180,000元
原告經醫師診斷住院期間及出院後1個月需專人照顧，自112年2月21日至同年3月底，112年5月2日至6月5日，共計72天需母親看顧，以每日2,500元計算，支出看護費用180,000元。
（三）車輛修復費用：6,550元
原告所有之機車因本次事故受損，支出修復費用6,550元。
（四）工作損失：372,000元
原告原任職於刁民酸菜信義店，月薪45,000元，自112年2月21日起至10月31日止，共計不能工作8月8天，受有工作損失372,000元。
（五）勞動能力減損：1,732,920元
原告經鑑定勞動能力減損8％，每月減少3,600元，自112年11月1日起算至65歲止，共計40年1月又11日，受有勞動能力減損1,732,920元。
（六）慰撫金：1,000,000元
原告為大學畢業，目前沒有工作，需扶養小孩。因本次事故受有上開傷害，需二度住院並長期休養治療，且勞動能力減損，精神上受有相當痛苦，爰請求慰撫金1,000,000元。
（七）綜上所陳，被告應連帶賠償原告之損害，包含醫療費用102,118元、看護費用180,000元、車輛修復費用6,550元、工作損失372,000元、勞動能力減損1,732,920元及慰撫金1,000,000元，總計3,393,588元。</t>
        </is>
      </c>
      <c r="E43" s="9" t="n">
        <v>80</v>
      </c>
      <c r="F43" s="2" t="inlineStr">
        <is>
          <t>事實少了原告受傷情形和慰撫金等相關事實</t>
        </is>
      </c>
    </row>
    <row r="44" ht="30" customHeight="1" thickBot="1">
      <c r="A44" t="n">
        <v>43</v>
      </c>
      <c r="B44" s="2" t="inlineStr">
        <is>
          <t>一、事故發生緣由:
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二、原告受傷情形:
原告因系爭事故受有右側膝部挫傷、下背部和骨盆擦傷及左側手肘擦傷之傷害（下稱系爭傷害）。
三、請求賠償的事實根據:
原告主張因系爭事故受有系爭傷害，支出醫療費用共16,226元、醫療用品費用共2,056元及交通費用29,720元，此有診斷證明書、費用明細表及醫療費用收據影本、各筆交通費用統一發票可證。另按最高法院94年度台上字第1543號判決意旨，親屬看護時雖無現實看護費之支付，仍應認被害人受有相當於看護費之損害，得向加害人請求賠償，始符公平原則；查衛生福利部豐原醫院（下稱豐原醫院）111年12月13日診斷證明書記載「患者（即原告）於110年12月10日至急診就醫，宜休養6個月，需專人全日照護3個月」，可知原告因系爭事故受有系爭傷害，需受專人全日照護3個月，因此原告由其母親全日看護90日，以每日2,200元計算，共198,000元。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又按中國醫藥大學附設醫院（下稱中國附醫）鑑定意見書認定原告永久失能百分比為3%，故原告請求被告等賠償其自111年6月10日起至65歲強制退休即144年3月22日止依前述原告每月合理工作收入係42,500元計算，請求勞動能力減損500,000元。另查系爭機車因系爭事故受有損害，共支出零件費用10,960元、工資費用6,100元，並因系爭車禍致其所有披肩、外套、長褲、手套、鞋子、置物箱、置物箱架、側包、工具箱、鍋具及咖啡壺等物受損金額共15,150元。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t>
        </is>
      </c>
      <c r="C44" s="2" t="inlineStr">
        <is>
          <t>一、事實概述：
緣被告乙○○於110年12月10日上午，駕駛車牌號碼000-0000號自用小客貨車，沿臺中市豐原區豐勢路2段由豐原往東勢方向行駛，於同日上午11時56分許，行經豐勢路2段與豐勢路2段840巷交岔路口時，欲右轉進入豐勢路2段840巷，因疏未注意汽車行駛至交岔路口，且未依規定讓直行車先行，竟貿然右轉。適時原告騎乘車牌號碼000-000號普通重型機車，亦直行至該處，見狀閃避不及，遂與被告乙○○所駕駛之車輛發生碰撞。又乙○○於系爭事故發生時，所駕肇事車輛係登記於三光佛具行名義之自用小貨車，客觀上可見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二、法律依據：
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三、損害項目：
（一）醫療費用：16,226元
原告因本次事故受傷就醫，支出醫療費用共計16,226元。
（二）醫療用品費用：2,056元
原告因本次事故受傷，支出醫療用品費用共計2,056元。
（三）交通費用：29,720元
原告因本次事故就醫，產生交通費用共計29,720元。
（四）看護費用：198,000元
原告因本次事故需專人照顧，支出看護費用共計198,000元。
（五）工作損失：255,000元
原告因本次事故無法工作，受有薪資損失共計255,000元。
（六）勞動能力減損：500,000元
原告因本次事故造成永久失能，請求勞動能力減損賠償金共計500,000元。
（七）機車損害：17,060元
原告因事故導致機車受損，支出零件及工資費用共計17,060元。
（八）財物損害：15,150元
原告因事故導致財物受損，損失金額共計15,150元。
（九）精神慰撫金：500,000元
原告因本次事故身心受創，請求精神慰撫金共計500,000元。
四、結論：綜上所陳，被告應賠償原告之損害，包含原告醫療費用16,226元、醫療用品費用2,056元、交通費用29,720元、看護費用198,000元、工作損失255,000元、勞動能力減損500,000元、財物損失15,150元、精神慰撫金500,000元，總計1,516,152元，並自起訴狀副本送達翌日起至清償日止，按年息5%計算之利息。</t>
        </is>
      </c>
      <c r="D44" s="4" t="inlineStr">
        <is>
          <t>一、緣被告乙○○於110年12月10日上午11時56分許，駕駛車牌號碼000-0000號自用小客貨車，沿臺中市豐原區豐勢路2段由豐原往東勢方向行駛，行經豐勢路2段與豐勢路2段840巷交岔路口欲右轉進入豐勢路2段840巷時，疏未注意轉彎車應讓直行車先行，竟貿然右轉，致與原告所騎乘之車牌號碼000-000號普通重型機車發生碰撞。被告乙○○所駕駛之車輛登記為三光佛具行名義之自用小貨車，客觀上足使一般人認其係受三光佛具行選任、指揮及監督之人，即受雇於三光佛具行之人，並且係在執行職務中肇事，經鈞院111年度交簡字第836號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三光佛具行因上開侵權行為，致原告受有下列損害，依前揭規定，被告應負連帶損害賠償責任：
（一）醫療費用：16,226元
原告因本次事故受有右側膝部挫傷、下背部和骨盆擦傷及左側手肘擦傷之傷害，支出醫療費用16,226元。
（二）醫療用品費用：2,056元
原告因治療上開傷勢，支出醫療用品費用2,056元。
（三）交通費用：29,720元
原告因本次事故支出交通費用29,720元。
（四）看護費用：198,000元
依衛生福利部豐原醫院111年12月13日診斷證明書記載，原告需受專人全日照護3個月，以每日2,200元計算，共90日，總計198,000元。
（五）工作損失：255,000元
原告於事故發生時任職於何時旅行社有限公司擔任領隊從業人員，每月平均薪資42,500元，因本次事故需休養6個月，受有工作收入損失255,000元。
（六）勞動能力減損：500,000元
依中國醫藥大學附設醫院鑑定意見書認定，原告永久失能百分比為3%，自111年6月10日起至65歲強制退休即144年3月22日止，依原告每月合理工作收入42,500元計算，受有勞動能力減損之損害為500,000元。
（七）車輛修復費用：17,060元
系爭機車因本次事故受損，支出零件費用10,960元、工資費用6,100元，共計17,060元。
（八）其他財物損失：15,150元
原告所有之披肩、外套、長褲、手套、鞋子、置物箱、置物箱架、側包、工具箱、鍋具及咖啡壺等物因本次事故受損，損失金額15,150元。
（九）慰撫金：500,000元
原告為大學畢業，前從事導遊，目前無業，因本次事故受有上開傷害，身體及精神均受有痛苦，且被告等事後迄未能與原告達成和解，爰請求慰撫金500,000元。
（十）綜上所陳，被告應連帶賠償原告之損害，包含醫療費用16,226元、醫療用品費用2,056元、交通費用29,720元、看護費用198,000元、工作損失255,000元、勞動能力減損500,000元、車輛修復費用17,060元、其他財物損失15,150元及慰撫金500,000元，總計1,513,212元。</t>
        </is>
      </c>
      <c r="E44" s="9" t="n">
        <v>80</v>
      </c>
      <c r="F44" s="2" t="inlineStr">
        <is>
          <t>事實少了原告受傷情形和慰撫金等相關事實</t>
        </is>
      </c>
    </row>
    <row r="45" ht="30" customHeight="1" thickBot="1">
      <c r="A45" t="n">
        <v>44</v>
      </c>
      <c r="B45" s="2" t="inlineStr">
        <is>
          <t>一、事故發生緣由: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
三、請求賠償的事實根據: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is>
      </c>
      <c r="C45" s="2" t="inlineStr">
        <is>
          <t>一、事實概述：
緣被告於民國109年5月18日晚上8時04分許，在新北市板橋區光復橋上橋處之道路，因疏未注意管束其所飼養之犬隻，致該犬隻掙脫狗鍊奔跑至道路上。原告當時正騎乘車牌號碼000-0000號重型機車沿新北市板橋區中山路2段往台北市方向直行，因閃避不及而撞擊上開犬隻後人車倒地，致原告受有傷害。
二、法律依據：
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（一）醫療費用：28,170元
原告因本次事故受傷就醫，支出醫療費用共計28,170元。
（二）手機維修費用：5,450元
原告因本次事故手機損壞，支出維修費用共計5,450元。
（三）安全帽及鞋子損壞費用：3,300元
原告因本次事故安全帽及鞋子損壞，支出更換費用共計3,300元。
（四）機車維修費用：90,000元
原告因本次事故機車損壞，支出維修費用共計90,000元。
（五）工作損失：90,000元
原告因本次事故無法工作，受有薪資損失共計90,000元。
（六）精神慰撫金：45,000元
原告因本次事故受有身心痛苦，請求精神慰撫金45,000元。
四、結論：綜上所陳，被告應賠償原告之損害，包含原告醫療費用28,170元、手機維修費用5,450元、安全帽及鞋子損壞費用3,300元、機車維修費用90,000元、工作損失90,000元、精神慰撫金45,000元，總計258,620元，並自起訴狀副本送達翌日起至清償日止，按年息5%計算之利息。</t>
        </is>
      </c>
      <c r="D45" s="4" t="inlineStr">
        <is>
          <t>一、緣被告於民國109年5月18日晚間8時4分許，在新北市板橋區光復橋上橋處附近遛狗時，疏未妥善控制所飼養之犬隻，致該犬掙脫狗鍊跑至馬路上。原告當時騎乘車牌號碼000-0000號重型機車，沿新北市板橋區中山路2段往台北市方向直行，因閃避不及而撞擊該犬隻，致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（一）醫療費用：28,170元
原告因本次事故受有臉部多處擦傷和挫傷、左肩、左手肘及左手部多處擦傷和挫傷、右大腿、右腳踝和右腳多處擦傷、左膝多處擦傷和挫傷、左腰擦傷和挫傷，以及雙側大腿多處瘀傷等傷害，為治療上開傷勢而就醫，支出醫療費用28,170元。
（二）財物損失：98,750元
1. 手機維修費用：5,450元
2. 安全帽及鞋子損壞費用：3,300元
3. 機車維修費用：90,000元
（三）工作損失：90,000元
原告因本次事故受傷，需休養及復健治療3個月，致無法工作而受有90,000元之損失。
（四）慰撫金：45,000元
查原告因本次事故不僅造成身體上的傷害，在精神上亦遭受極大痛苦，爰向被告請求慰撫金45,000元。
（五）綜上所陳，被告應賠償原告之損害，包含醫療費用28,170元、財物損失98,750元、工作損失90,000元及慰撫金45,000元，總計261,920元。</t>
        </is>
      </c>
      <c r="E45" s="9" t="n">
        <v>80</v>
      </c>
      <c r="F45" s="2" t="inlineStr">
        <is>
          <t>法條不用引用§191-2
事實少了原告受傷情形</t>
        </is>
      </c>
    </row>
    <row r="46" ht="30" customHeight="1" thickBot="1">
      <c r="A46" t="n">
        <v>45</v>
      </c>
      <c r="B46" s="2" t="inlineStr">
        <is>
          <t>一、事故發生緣由:
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二、原告受傷情形:
原告因系爭事故而受有右側脛骨外側平台骨折併前十字韌帶撕裂性骨折、右側手肘與中指、無名指、小指擦傷併挫傷、右膝與足擦傷併挫傷等傷害（下稱系爭傷害）。
三、請求賠償的事實根據:
1.醫療費用16萬9,857元：
原告主張之醫療費用，自費單人病房共計2萬3,000元；原告因本件事故受傷，導致出現憂鬱症等症狀，故原告於106年8月8日起至107年12月13日間至楠梓心寬診所就診，並支出憂鬱症醫療費用共12萬3,857元，因此原告因被告上開侵權行為總共支出醫療費用16萬9,857元。
2.已支出醫療用品費1萬4,340元、已支出看護費10萬4,800元：
原告因系爭事故而支出醫療用品費1萬4,340元以及看護費10萬4,800元。
3.後續醫療費用14萬6,000元、預估看護費2萬4,000元：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萬元整。（二）後續建議謝君至門診進行皮秒雷射治療，療程共12次、9萬6,000元整。」根據上述診斷書，原告請求後續除疤醫療費用14萬6,000元，以及手術後續全日照顧的看護費2週費用2萬4,000元，且此後續費用平均每日看護費尚未超過目前行情的每日2,000元，應屬於合理範圍。
4.增加生活費負擔2,010元：
原告因本件傷勢嚴重，應有搭乘計程車就醫之必要，故請求就醫時搭乘計程車費用1,730元及原告配偶往返醫探親支出的停車費280元。
5.減少勞動能力損失46萬8,202元：
原告主張經高醫鑑定後，認為原告減損勞動能力百分比為10％，以系爭事故時即106年4月19日之法定基本工資2萬1,009元計算，自106年4月19日至原告65歲退休，還有29年10月又9日之勞動能力，依霍夫曼式計算法扣除中間利息（首期給付不扣除中間利息）核計其金額為46萬8,202元，因此總共勞動能力減損為46萬8,202元。
6.精神慰撫金80萬元：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萬元。</t>
        </is>
      </c>
      <c r="C46" s="2" t="inlineStr">
        <is>
          <t>一、事實概述：
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致該犬隻沿大學62街由東往西跑向德中路上。適有謝佳純騎乘車牌號碼000-000號普通重型機車沿德中路慢車道南往北直行至大學62街口，因閃避不及與該犬隻發生碰撞，致謝佳純受有傷害。被告因未盡妥善飼養及管理之責，導致系爭事故發生，應負賠償責任。
二、法律依據：
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（一）醫療費用：169,857元
原告因本次事故受傷就醫，支出醫療費用共計169,857元。
（二）醫療用品費：14,340元
原告因本次事故支出醫療用品費用共計14,340元。
（三）看護費用：104,800元
原告因本次事故需專人照顧，支出看護費用共計104,800元。
（四）後續醫療費用：146,000元
原告因本次事故需除疤整形手術，請求後續醫療費用共計146,000元。
（五）預估看護費：24,000元
原告因手術後需全日照顧，請求預估看護費用共計24,000元。
（六）交通費：1,730元
原告因就醫搭乘計程車，產生交通費用共計1,730元。
（七）停車費：280元
原告配偶往返探病產生停車費用共計280元。
（八）勞動能力損失：468,202元
原告因本次事故減損勞動能力，請求損失共計468,202元。
（九）精神慰撫金：800,000元
原告因本次事故受有身心痛苦，請求精神慰撫金共計800,000元。
四、結論：綜上所陳，被告應賠償原告之損害，包含原告醫療費用169,857元、醫療用品費14,340元、看護費用104,800元、醫療費用146,000元、手術費用24,000元、交通費用1,730元、勞動能力減損468,202元、精神慰撫金800,000元；原告配偶往返交通費用280元，總計1,729,209元，並自起訴狀副本送達翌日起至清償日止，按年息5%計算之利息。</t>
        </is>
      </c>
      <c r="D46" s="4" t="inlineStr">
        <is>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致原告受有右側脛骨外側平台骨折併前十字韌帶撕裂性骨折、右側手肘與中指、無名指、小指擦傷併挫傷、右膝與足擦傷併挫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（一）醫療費用：316,857元
1. 已支出醫療費用：23,000元
2. 憂鬱症醫療費用：123,857元
3. 後續除疤醫療費用：146,000元
（二）醫療用品費：14,340元
（三）看護費：104,800元
1. 已支出看護費：104,800元
2. 後續看護費：24,000元（手術後需全日照顧2週，每日2,000元）
（四）交通費：2,010元
1. 就醫計程車費：1,730元
2. 停車費：280元
（五）勞動能力減損：468,202元
原告因本次事故減損勞動能力10%，自106年4月19日起至65歲退休時止，尚有29年10月又9日之勞動能力，依霍夫曼式計算法扣除中間利息，計468,202元。
（六）慰撫金：800,000元
原告為專科畢業，105年度名下無不動產，目前為展繹水電工程有限公司負責人。因本次事故受有上開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精神上受有痛苦，爰請求慰撫金800,000元。
（七）綜上所陳，被告應賠償原告之損害，包含醫療費用316,857元、醫療用品費14,340元、看護費104,800元、交通費2,010元、勞動能力減損468,202元及慰撫金800,000元，總計1,706,209元。</t>
        </is>
      </c>
      <c r="E46" s="9" t="n">
        <v>77</v>
      </c>
      <c r="F46" s="2" t="inlineStr">
        <is>
          <t>法條不用引用§191-2
事實少了原告受傷情形、勞動能力減損、慰撫金相關事實</t>
        </is>
      </c>
    </row>
    <row r="47" ht="30" customHeight="1" thickBot="1">
      <c r="A47" t="n">
        <v>46</v>
      </c>
      <c r="B47" s="2" t="inlineStr">
        <is>
          <t>一、事故發生緣由:
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二、原告受傷情形:
原告因為本件事故而受有頭部外傷併腦震盪、右肩胛骨骨折、右側第三至第七肋骨骨折併血胸、四肢多處擦挫傷及臉部擦挫傷等傷害。
三、請求賠償的事實根據:
原告主張其因本件事故受有上開身體傷害結果，共計支出醫療費用15,565元，有上開診斷證明書，及義大醫院之急診、門診收據、進安中醫診所門診費用收據作為證據。
原告因本件傷害結果，致3個月無法自由行動，需搭乘計程車前往岡山買菜，因此支出交通費用10,670元而增加生活需要，並提出計程車費收據23張作為證據。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原告主張其案發前即於安鈜企業有限公司任職，因本件事故發生於上開3 個月之休養期間無法工作而，致受有3個月無法工作之薪資損失86,001元【計算式：23,649 元×3月＝86,001元】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t>
        </is>
      </c>
      <c r="C47" s="2" t="inlineStr">
        <is>
          <t>一、事實概述：
緣被告於民國105年8月25日18時03分許，在高雄市○○區○○○街利勝企業社資源回收場內，飼養犬隻乙隻（下稱Ａ犬），卻未盡妥善照顧義務，疏未對該犬隻加予適當看管，任憑Ａ犬在上開資源回收場外之道路活動。是時，原告騎乘車牌號碼000-000普通重型機車沿高雄市○○○街由西往東方向直行，行經該路段36號前，因Ａ犬突然自其右側路邊竄出至道路上，原告因閃避不及，致人車撞擊Ａ犬而倒地。經高雄地方法院以107年度簡字第394號刑事判決認定被告因過失傷害罪受有罪定讞，可見被告確實存在疏失。原告因本次事故遭受身體及財產損害，特提起本訴以維權益。
二、法律依據：
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（一）醫療費用：15,565元
原告因本次事故受傷就醫，支出醫療費用共計15,565元。
（二）交通費：10,670元
原告因本次事故無法自由行動，增加交通費用共計10,670元。
（三）看護費：180,000元
原告因本次事故需專人照顧，支出看護費用共計180,000元。
（四）工作損失：86,001元
原告因本次事故無法工作，受有薪資損失共計86,001元。
（五）精神慰撫金：150,000元
原告因本次事故受有身心痛苦，請求精神慰撫金150,000元。
四、結論：綜上所陳，被告應賠償原告之損害，包含原告原告醫療費用15,565元、交通費用10,670元、看護費用180,000元、工作損失86,001元、精神慰撫金150,000元，總計442,236元，並自起訴狀副本送達翌日起至清償日止，按年息5%計算之利息。</t>
        </is>
      </c>
      <c r="D47" s="4" t="inlineStr">
        <is>
          <t>一、緣被告在利勝企業社資源回收場（址設高雄市○○區○○○街）內飼養犬隻1隻（下稱Ａ犬），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（一）醫療費用：15,565元
原告因本次事故受有頭部外傷併腦震盪、右肩胛骨骨折、右側第三至第七肋骨骨折併血胸、四肢多處擦挫傷及臉部擦挫傷等傷害，支出醫療費用15,565元，有診斷證明書及義大醫院之急診、門診收據、進安中醫診所門診費用收據可稽。
（二）交通費用：10,670元
原告因本次事故受傷後3個月無法自由行動，需搭乘計程車前往岡山買菜，支出交通費用10,670元，有計程車費收據23張可稽。
（三）看護費用：180,000元
原告因本次事故受傷後3個月休養期間（以每月30日計算，共90日）需人全日看護，以每日看護費2,000元計算，共計180,000元。
（四）工作損失：86,001元
原告於案發前任職於安鈜企業有限公司，因本次事故受傷於上開3個月之休養期間無法工作，受有薪資損失86,001元。
（五）慰撫金：150,000元
原告因本次事故受有頭部外傷併腦震盪、右肩胛骨骨折、右側第三至第七肋骨骨折併血胸、四肢多處擦挫傷及臉部擦挫傷等傷害，於住院及休養期間勢必將對日常生活行動有嚴重影響，且因創傷後發生劇烈胸痛且喘無法正常工作之併發症，精神上受有相當之痛苦，爰請求慰撫金150,000元。
（六）綜上所陳，被告應賠償原告之損害，包含醫療費用15,565元、交通費用10,670元、看護費用180,000元、工作損失86,001元及慰撫金150,000元，總計442,236元。</t>
        </is>
      </c>
      <c r="E47" s="9" t="n">
        <v>80</v>
      </c>
      <c r="F47" s="2" t="inlineStr">
        <is>
          <t>法條不用引用§191-2
事實少了原告受傷情形</t>
        </is>
      </c>
    </row>
    <row r="48" ht="30" customHeight="1" thickBot="1">
      <c r="A48" t="n">
        <v>47</v>
      </c>
      <c r="B48" s="2" t="inlineStr">
        <is>
          <t>一、事故發生緣由:
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二、原告受傷情形:
原告因為本次事故受有左肱骨近端粉碎性骨折之傷害。
三、請求賠償的事實根據:
原告主張因本件事故受有左肱骨近端粉碎性骨折之傷害，醫療費用共支出1萬2,982元。且原告本於檳榔攤幫女兒顧店，每個月薪資約2萬5,000元，因本件事故受有上開傷害並接受手術治療，需休養1年而無法工作，爰請求以前開半薪計算1年之薪資損失共15萬元。另外原告因本件事故受有左肱骨近端粉碎性骨折之傷害，導致無法自行搭乘大眾運輸工具前往就醫，需搭乘計程車往返醫院治療並依醫囑門診追蹤治療，其回診14次，每次來回之車資為120元，共損失車費1,680 元。查原告為小學肄業，已57歲，名下有房地1 筆，因本件事故受有左肱骨近端粉碎性骨折之傷害，須經手術整復滿1 年後尚需二次手術拔除內固定之鋼釘，肉體及精神上自受有相當之痛苦，因此請求被告賠償慰撫金10萬元。</t>
        </is>
      </c>
      <c r="C48" s="2" t="inlineStr">
        <is>
          <t>一、事實概述：
緣於民國104年10月7日上午7時30分許，原告騎乘車號000-000號機車沿三爪子坑路由瑞峯便橋往瑞芳國中方向行駛，行經新北市○○區○○○○路○號住宅前時，被告於住所前洗車，本應注意不得疏縱實際監管之寵物在道路奔走，妨害交通。詎被告疏未注意，任由實際監管之黃色中型狗在三爪子坑路上行走，且該犬隻突然穿越馬路，致原告閃避不及而撞及該狗隻，因而人車倒地。此際，被告已受鈞院105年度易字第296號刑事判決有罪確定，足見被告於本事件中存在過失。
二、法律依據：
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（一）醫療費用：12,982元
原告因本次事故受有骨折傷勢，產生醫療費用共計12,982元。
（二）工作損失：150,000元
原告因本次事故需休養一年無法工作，請求薪資損失共計150,000元。
（三）交通費：1,680元
原告因本次事故無法自行搭乘大眾運輸工具就醫，產生計程車交通費用共計1,680元。
（四）慰撫金：100,000元
原告因本次事故受有身體及精神上痛苦，請求精神慰撫金共計100,000元。
四、結論：綜上所陳，被告應賠償原告之損害，包含原告醫療費用12,982元、工作損失150,000元、交通費1,680元、精神慰撫金100,000元，總計264,662元，並自起訴狀副本送達翌日起至清償日止，按年息5%計算之利息。</t>
        </is>
      </c>
      <c r="D48" s="8" t="inlineStr">
        <is>
          <t>一、緣原告於民國104年10月7日上午7時30分許騎乘車號000-000號機車，沿三爪子坑路由瑞峯便橋往瑞芳國中方向行經新北市○○區○○○○路○號住宅前時，被告於新北市○○區○○○○路○號住所前洗車，本應注意不得疏縱實際監管之寵物在道路奔走，妨害交通，竟疏未注意，任由實際監管之黃色中型狗在三爪子坑路上行走，且突然穿越馬路，致原告閃避不及而撞及該狗隻，因而人車倒地受傷。被告就本件事故業經鈞院105年度易字第296號刑事判決有罪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（一）醫療費用：12,982元
原告因本次事故受有左肱骨近端粉碎性骨折之傷害，支出醫療費用12,982元。
（二）薪資損失：150,000元
原告原於檳榔攤幫女兒顧店，每月薪資約25,000元，因本次事故受傷並接受手術治療，需休養1年而無法工作，依半薪計算，損失薪資150,000元。
（三）交通費用：1,680元
原告因本次事故受傷，無法自行搭乘大眾運輸工具前往就醫，需搭乘計程車往返醫院治療並依醫囑門診追蹤治療，其回診14次，每次來回之車資為120元，共損失交通費用1,680元。
（四）慰撫金：100,000元
查原告為小學肄業，已57歲，名下有房地1筆，因本次事故受有左肱骨近端粉碎性骨折之傷害，須經手術整復滿1年後尚需二次手術拔除內固定之鋼釘，肉體及精神上均受有相當之痛苦，爰請求慰撫金100,000元。
（五）綜上所陳，被告應賠償原告之損害，包含醫療費用12,982元、薪資損失150,000元、交通費用1,680元及慰撫金100,000元，總計264,662元。</t>
        </is>
      </c>
      <c r="E48" s="9" t="n">
        <v>77</v>
      </c>
      <c r="F48" s="2" t="inlineStr">
        <is>
          <t>法條不用引用§191-2
事實少了部分的原告受傷情形、以及慰撫金相關事實</t>
        </is>
      </c>
    </row>
    <row r="49" ht="30" customHeight="1" thickBot="1">
      <c r="A49" t="n">
        <v>48</v>
      </c>
      <c r="B49" s="2" t="inlineStr">
        <is>
          <t>一、事故發生緣由:
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二、原告受傷情形:
原告因本次事故而受有腦挫傷、臉部多處裂傷及擦傷、四處多處裂傷及擦傷等傷害，且被告於原告因上開事故倒臥於地上時，以手壓制原告臉部，另致原告牙齒受有損壞。
三、請求賠償的事實根據:
㈠醫療費用38,073元
原告主張其因受有上開傷害，被告應賠償其至枋寮醫院就診之醫療費用38,073元，並有枋寮醫院醫療費用收據2紙為證。
㈡看護費用9,000元
原告主張因其為00年00月00日出生，於車禍發生時已逾86歲，受此傷害確有僱請看護之必要，而原告當時係住院9日，以1日1,000元看護費用計算，其受有看護費用9,000元之損失，並提出該名看護之結業證書1紙為證。
㈢牙齒損害費用20,000元
如上所述，原告主張車禍後，被告將其臉壓制在地上，致其受有牙齒損害，而需就醫治療共花費20,000元。
㈣精神慰撫金20,000元
查原告係00年00月00日出生，國小肄業，喪偶，有3個兒子，前為務農，目前無業，有土地、房子及1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20,000元精神慰撫金。</t>
        </is>
      </c>
      <c r="C49" s="2" t="inlineStr">
        <is>
          <t>一、事實概述：
緣原告於民國97年9月10日10時40分許，騎乘車牌000-000號機車，途經屏東縣枋山鄉楓港村南平40之1號前時，被告所飼養之小狗突然衝出，致原告所騎乘之機車與該小狗相撞，原告人車倒地。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二、法律依據：
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（一）醫療費用：38,073元
原告因本次事故受傷就醫，支出醫療費用共計38,073元。
（二）看護費用：9,000元
原告因年事已高且事故導致受傷，需僱用看護，支出看護費用共計9,000元。
（三）牙齒損害費用：20,000元
原告因被告行為導致牙齒受損，支出牙齒治療費用共計20,000元。
（四）精神慰撫金：20,000元
原告因本次事故遭受身體及精神傷害，請求精神慰撫金20,000元。
四、結論：綜上所陳，被告應賠償原告之損害，包含原告醫療費用38,073元、看護費用9,000元、牙齒損害費用20,000元、精神慰撫金20,000元，總計87,073元，並自起訴狀副本送達翌日起至清償日止，按年息5%計算之利息。</t>
        </is>
      </c>
      <c r="D49" s="5" t="inlineStr">
        <is>
          <t>一、緣原告於民國97年9月10日10時40分許，騎乘車牌000-000號機車，途經屏東縣枋山鄉楓港村南平40之1號前時，被告所飼養之小狗突然衝出，致原告所騎乘之機車與該小狗相撞，原告人車倒地。經查，上開車禍事故發生之原因，係被告所有之小狗自庭院衝出，與當時騎乘機車行經該處之原告發生碰撞所致。被告身為該狗之飼主，本應注意防止其所飼養之狗無故侵害他人之生命、身體、財產，竟疏未注意管束，未將狗栓有鐵鍊、繩索等必要、確實之安全防護措施，致該小狗與原告所騎乘之機車發生碰撞，且於原告倒臥於地上時，以手壓制原告臉部，另致原告牙齒受有損壞。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（一）醫療費用：38,073元
原告因本次事故受有腦挫傷、臉部多處裂傷及擦傷、四處多處裂傷及擦傷等傷害，為治療上開傷勢而至枋寮醫院就診，支出醫療費用38,073元。
（二）看護費用：9,000元
原告因本次事故受傷住院9日，考量原告於車禍發生時已逾86歲，受此傷害確有僱請看護之必要，以每日1,000元計算，共計9,000元。
（三）牙齒損害費用：20,000元
原告因被告於其倒地時以手壓制原告臉部，致其牙齒受有損壞，需就醫治療，支出費用20,000元。
（四）慰撫金：20,000元
查原告受有上開傷害，其日常生活在療養期間須他人協助照顧，對其工作或家庭皆造成影響。考量原告所受痛苦程度及兩造之年齡、身分、工作所得、經濟狀況等各種情形，爰請求慰撫金20,000元。
（五）綜上所陳，被告應賠償原告之損害，包含醫療費用38,073元、看護費用9,000元、牙齒損害費用20,000元及慰撫金20,000元，總計87,073元。</t>
        </is>
      </c>
      <c r="E49" s="9" t="n">
        <v>80</v>
      </c>
      <c r="F49" s="2" t="inlineStr">
        <is>
          <t>法條不用引用§191-2
事實少了部分原告受傷情形</t>
        </is>
      </c>
    </row>
    <row r="50" ht="30" customHeight="1" thickBot="1">
      <c r="A50" t="n">
        <v>49</v>
      </c>
      <c r="B50" s="2" t="inlineStr">
        <is>
          <t>一、事故發生緣由:
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二、原告受傷情形:
原告因本次事故而受有左側肱骨上端閉鎖性骨折、左肩部挫傷、左足跟撕裂傷等傷害。
三、請求賠償的事實根據:
原告主張因傷送醫住院，支出醫療費用59,736元及醫療用品費275元，並有醫療費用收據及統一發票為證。
又原告經過二場手術治療後有食用營養品之必要，分別支出35,458元、3,750元，並有統一發票為證。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t>
        </is>
      </c>
      <c r="C50" s="2" t="inlineStr">
        <is>
          <t>一、事實概述：
緣被告於民國103年10月1日7時11分許，其飼養之黑白色土狗1隻，於被告位在新北市○○區○○路○○○巷○號居處內，被告負有防止所飼養動物無故侵害他人之生命、身體、自由、財產或安寧及不得疏縱寵物在道路奔走妨害交通等法律上作為義務，即負有對危險源之保證人地位，而依當時情況亦無不能注意之情事，竟疏未注意，帶領該犬隻沿○○○區○○路○○○巷往八德街方向散步行走時，未予以鍊繩牽引或以箱、籠攜帶以防其犬隻脫離其控制，任由該犬隻在路上自由奔跑。適時原告騎乘車牌號碼000-000號普通重型機車行經○○○區○○路○○○巷○號前時，被告所飼養之犬隻因未受防護措施控制而自路旁所停放車輛處奔出，原告見狀受驚緊急煞車後人車倒地。且被告所涉犯刑法過失傷害罪嫌，由臺灣新北地方法院檢察署檢察官以104年度偵字第2970號提起公訴，經鈞院刑事庭以104年度易字第751號刑事判決判處拘役40日，足證被告就此事故之發生具有過失。
二、法律依據：
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（一）醫療費用：62,011元
原告因本次事故受傷就醫，支出醫療費用及醫療用品費共計62,011元。
（二）營養品費用：39,208元
原告因手術治療後需補充營養，支出營養品費用共計39,208元。
（三）看護費用：18,000元
原告因住院需家人看護，因此產生看護費用共計18,000元。
（四）工作損失：129,780元
原告因本次事故無法工作，導致薪資損失共計129,780元。
（五）精神慰撫金：160,000元
原告因本次事故身心受創，請求精神慰撫金共計160,000元。
四、結論：綜上所陳，被告應賠償原告之損害，包含原告原告醫療費用62,011元、營養品費用39,208元；看護費用18,000元、工作損失129,780元、精神慰撫金160,000元，總計408,999元，並自起訴狀副本送達翌日起至清償日止，按年息5%計算之利息。</t>
        </is>
      </c>
      <c r="D50" s="4" t="inlineStr">
        <is>
          <t>一、緣被告於其位在新北市○○區○○路○○○巷○號居處飼養黑白色土狗1隻為寵物，負有防止所飼養動物無故侵害他人之生命、身體、自由、財產或安寧及不得疏縱寵物在道路奔走妨害交通等法律上作為義務。依當時情況亦無不能注意之情事，竟疏未注意，於民國103年10月1日7時11分許，帶領該犬隻往八德街方向散步行走時，未予以鍊繩牽引或以箱、籠攜帶以防其犬隻脫離其控制，任由該犬隻在路上自由奔跑，致原告騎乘車牌號碼000-000號普通重型機車行經該處時，該犬隻因未受防護措施控制而自路旁所停放車輛處奔出，原告見狀受驚嚇緊急煞車後人車倒地受傷。且被告所涉犯刑法過失傷害罪嫌，經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（一）醫療費用：60,011元
1. 醫療費用：59,736元
2. 醫療用品費：275元
（二）營養品費用：39,208元
1. 第一次手術後營養品：35,458元
2. 第二次手術後營養品：3,750元
（三）看護費用：18,000元
原告因左側肱骨上端閉鎖性骨折、左肩部挫傷、左足跟撕裂傷等傷害，於103年10月1日與105年2月18日分別進行骨內鋼釘鋼板固定手術及左足跟傷口縫合，以及鋼板移除手術，2次住院期間均須由家人看護共9日，以全日看護費2,000元計算，共計18,000元。
（四）工作損失：129,780元
1. 第一次住院期間（3個月）：97,360元
2. 第二次住院期間（1個月）：32,420元
（五）慰撫金：160,000元
原告因本次事故受有左側肱骨上端閉鎖性骨折、左肩部挫傷、左足跟撕裂傷等傷害，不可謂輕，精神上自受有相當之痛苦。再衡以被告於偵審過程中未積極與原告和解，致原告歷經刑事偵、審及民事過程所耗之時間、精神非小，爰請求慰撫金160,000元。
（六）綜上所陳，被告應賠償原告之損害，包含醫療費用60,011元、營養品費用39,208元、看護費用18,000元、工作損失129,780元及慰撫金160,000元，總計407,999元。</t>
        </is>
      </c>
      <c r="E50" s="9" t="n">
        <v>77</v>
      </c>
      <c r="F50" s="2" t="inlineStr">
        <is>
          <t>法條不用引用§191-2
事實少了原告受傷情形、慰撫金相關事實</t>
        </is>
      </c>
    </row>
    <row r="51" ht="30" customHeight="1" thickBot="1">
      <c r="A51" t="n">
        <v>50</v>
      </c>
      <c r="B51" s="2" t="inlineStr">
        <is>
          <t>一、事故發生緣由:
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二、原告受傷情形:
原告因本次事故而受有腰椎、兩足挫傷及兩膝多處擦傷等傷害。
三、請求賠償的事實根據:
原告主張其因本件事故受有上開身體傷害結果，共計支出醫療費用15,729元，有上開現場照片、診斷證明書及行政院衛生署桃園醫院原告之門診費用證明書等件為證。又原告主張其因本件傷害結果，致3個月無法自由行動，其每1個月需支出交通費用9,000 元，因而增加生活上支出共計27,000元。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t>
        </is>
      </c>
      <c r="C51" s="2" t="inlineStr">
        <is>
          <t>一、事實概述：
緣被告於民國100年4月21日下午5時20分許，帶著其所豢養之犬在桃園縣中壢市○○○路與陸光一街交口附近之公園溜狗，被告身為動物飼主，本應確實看管犬隻，並妥善管束犬隻在公共道路上活動，以避免對交通安全造成危害。詎被告於當時並無任何不能注意之情事，對其所豢養之犬隻具有控制及管領之能力，竟因疏未注意，致使其所豢養之犬隻衝向陸光一街，而原告騎乘車牌號碼000-000號輕型機車適時行經該處，因反應不及，無法及時煞車，致原告機車與該犬隻發生碰撞，造成原告受有傷害。此被告之行為，顯有違反注意義務，構成過失。而桃園地方法院已於100年度壢交簡字第3001號刑事判決中認定被告因過失傷害，判決有罪確定，足資證明被告確有疏忽過失。
二、法律依據：
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（一）醫療費用：15,729元
原告因本次事故受傷就醫，支出醫療費用共計15,729元。
（二）交通費：27,000元
原告因本次事故致3個月無法自由行動，增加交通支出共計27,000元。
（三）精神慰撫金：157,271元
原告因本次事故受有腰椎、足部及膝部挫傷、擦傷，並經歷近兩年治療復健，請求精神慰撫金157,271元。
四、結論：綜上所陳，被告應賠償原告之損害，包含原告醫療費用15,729元、交通費27,000元；原告精神慰撫金157,271元，總計200,000元，並自起訴狀副本送達翌日起至清償日止，按年息5%計算之利息。</t>
        </is>
      </c>
      <c r="D51" s="4" t="inlineStr">
        <is>
          <t>一、緣被告於民國100年4月21日下午5時20分許，帶著其所豢養之犬隻在桃園縣中壢市○○○路與陸光一街交口附近之公園溜狗。被告為動物飼主，本應看管犬隻並管束其在馬路上玩耍，以避免致生行車安全危險，依當時情形並無任何不能注意之情事，對其犬隻有控制管領之能力，竟疏未注意及此，致使其所豢養之犬隻衝向陸光一街，而原告騎乘車牌號碼000-000號輕型機車（下稱原告機車）適行經該處，因煞車不及而與該犬隻發生車禍。被告之行為違反注意義務，且經鈞院以100年度壢交簡字第3001號刑事判決認定過失傷害有罪確定，足證被告確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民法第184條第1項前段、第190條第1項、第195條第1項前段分別定有明文。查被告因上開侵權行為，致原告受有下列損害，依前揭規定，被告應負損害賠償責任：
（一）醫療費用：15,729元
原告因本次事故受有腰椎、兩足挫傷及兩膝多處擦傷等傷害，為治療上開傷勢而就醫，支出醫療費用15,729元，有現場照片、診斷證明書及行政院衛生署桃園醫院原告之門診費用證明書等件為證。
（二）交通費用：27,000元
原告因本次傷害結果，致3個月無法自由行動，每月需支出交通費用9,000元，共計27,000元。
（三）慰撫金：157,271元
查原告因本次事故受有腰椎、兩足挫傷及兩膝多處擦傷之傷害，自100年4月起至102年3月止曾在行政院衛生署桃園醫院之急診外科、骨科、復建科就診，治療及復健期間前後長達將近2年。考量原告為高職畢業，100年度所得為52,790元，名下有房屋、田賦及土地數筆，及原告因本次車禍所受之精神上痛苦等一切情狀，爰請求慰撫金157,271元。
（四）綜上所陳，被告應賠償原告之損害，包含醫療費用15,729元、交通費用27,000元及慰撫金157,271元，總計200,000元。</t>
        </is>
      </c>
      <c r="E51" s="9" t="n">
        <v>87</v>
      </c>
      <c r="F51" s="2" t="inlineStr">
        <is>
          <t>法條不用引用§191-2</t>
        </is>
      </c>
    </row>
    <row r="52" ht="60" customHeight="1">
      <c r="E52" s="13">
        <f>AVERAGE(E2:E51)</f>
        <v/>
      </c>
      <c r="F52" s="14" t="inlineStr">
        <is>
          <t>缺漏法條 19
錯誤格式 
亂碼簡字 0
事實內容 47</t>
        </is>
      </c>
    </row>
    <row r="54" ht="30" customHeight="1">
      <c r="E54" s="2" t="n"/>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2025-06-01T12:39:23Z</dcterms:created>
  <dcterms:modified xmlns:dcterms="http://purl.org/dc/terms/" xmlns:xsi="http://www.w3.org/2001/XMLSchema-instance" xsi:type="dcterms:W3CDTF">2026-02-27T06:16:52Z</dcterms:modified>
  <cp:lastModifiedBy>莉庭 魯</cp:lastModifiedBy>
</cp:coreProperties>
</file>